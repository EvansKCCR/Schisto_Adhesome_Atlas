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aasa\Desktop\Evans_PHD_Thesis\Integrin_analysis\06_annotation_visualization\"/>
    </mc:Choice>
  </mc:AlternateContent>
  <xr:revisionPtr revIDLastSave="0" documentId="13_ncr:1_{5137B3E4-D3C2-4ABA-8FCE-39324BA14BE1}" xr6:coauthVersionLast="47" xr6:coauthVersionMax="47" xr10:uidLastSave="{00000000-0000-0000-0000-000000000000}"/>
  <bookViews>
    <workbookView xWindow="-38510" yWindow="-9090" windowWidth="38620" windowHeight="21100" xr2:uid="{00000000-000D-0000-FFFF-FFFF00000000}"/>
  </bookViews>
  <sheets>
    <sheet name="Sheet1" sheetId="1" r:id="rId1"/>
    <sheet name="MotifScan_hits" sheetId="2" r:id="rId2"/>
    <sheet name="Orthology_candidate_report" sheetId="3" r:id="rId3"/>
    <sheet name="Orthology_HOGs" sheetId="4" r:id="rId4"/>
    <sheet name="Direct_orthologues" sheetId="5" r:id="rId5"/>
    <sheet name="Orthology_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6" l="1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</calcChain>
</file>

<file path=xl/sharedStrings.xml><?xml version="1.0" encoding="utf-8"?>
<sst xmlns="http://schemas.openxmlformats.org/spreadsheetml/2006/main" count="37021" uniqueCount="4095">
  <si>
    <t>Specie</t>
  </si>
  <si>
    <t>standardized_id</t>
  </si>
  <si>
    <t>protein_id</t>
  </si>
  <si>
    <t>family</t>
  </si>
  <si>
    <t>assigned_family</t>
  </si>
  <si>
    <t>module</t>
  </si>
  <si>
    <t>status</t>
  </si>
  <si>
    <t>length</t>
  </si>
  <si>
    <t>minimum_length</t>
  </si>
  <si>
    <t>length_check</t>
  </si>
  <si>
    <t>domain_match</t>
  </si>
  <si>
    <t>domain_type_fraction</t>
  </si>
  <si>
    <t>domain_copy_fraction</t>
  </si>
  <si>
    <t>matched_domains</t>
  </si>
  <si>
    <t>missing_domains</t>
  </si>
  <si>
    <t>Pfam_architecture</t>
  </si>
  <si>
    <t>NCBI_CDD_architecture</t>
  </si>
  <si>
    <t>DeepLoc_2.1</t>
  </si>
  <si>
    <t>DeepTMHMM</t>
  </si>
  <si>
    <t>SignalP.v6.0</t>
  </si>
  <si>
    <t>S. haematobium</t>
  </si>
  <si>
    <t>Shae</t>
  </si>
  <si>
    <t>MS3_00000278</t>
  </si>
  <si>
    <t>talin</t>
  </si>
  <si>
    <t>membrane_proximal_adaptors</t>
  </si>
  <si>
    <t>supported candidate</t>
  </si>
  <si>
    <t>within_expectation</t>
  </si>
  <si>
    <t>PF00373;PF01608</t>
  </si>
  <si>
    <t>PF00373:206-315;PF01608:3066-3241</t>
  </si>
  <si>
    <t>MS3_00000359</t>
  </si>
  <si>
    <t>actin</t>
  </si>
  <si>
    <t>actin_linking</t>
  </si>
  <si>
    <t>PF00022</t>
  </si>
  <si>
    <t>PF00022:181-372</t>
  </si>
  <si>
    <t>MS3_00000487</t>
  </si>
  <si>
    <t>laminin_like</t>
  </si>
  <si>
    <t>extracellular_matrix</t>
  </si>
  <si>
    <t>PF00053;PF00055</t>
  </si>
  <si>
    <t>PF00055:35-268;PF00053:270-322;PF00053:334-391;PF00053:397-454;PF00053:457-505;PF00053:508-546;PF00053:715-760;PF00053:763-811;PF00053:857-909;PF00053:912-961;PF00053:964-1013;PF00053:1016-1063;PF00053:1066-1105</t>
  </si>
  <si>
    <t>MS3_00000825</t>
  </si>
  <si>
    <t>MS3_00000941</t>
  </si>
  <si>
    <t>collagen_like</t>
  </si>
  <si>
    <t>PF01391</t>
  </si>
  <si>
    <t>PF01391:49-107;PF01391:109-166;PF01391:171-226;PF01391:259-311;PF01391:550-602;PF01391:618-671;PF01391:723-776;PF01391:833-889;PF01391:1074-1131;PF01391:1169-1226;PF01391:1386-1439</t>
  </si>
  <si>
    <t>MS3_00001381</t>
  </si>
  <si>
    <t>paxillin_like</t>
  </si>
  <si>
    <t>focal_adhesion_scaffolds</t>
  </si>
  <si>
    <t>PF00412</t>
  </si>
  <si>
    <t>PF00412:314-369;PF00412:373-429;PF00412:433-487;PF00412:492-547</t>
  </si>
  <si>
    <t>zyxin_like</t>
  </si>
  <si>
    <t>provisional</t>
  </si>
  <si>
    <t>MS3_00001471</t>
  </si>
  <si>
    <t>FAK</t>
  </si>
  <si>
    <t>downstream_signalling</t>
  </si>
  <si>
    <t>PF00069</t>
  </si>
  <si>
    <t>PF00373:1;PF03623:1</t>
  </si>
  <si>
    <t>PF00069:28-277;PF07714:29-271</t>
  </si>
  <si>
    <t>Src</t>
  </si>
  <si>
    <t>PF07714</t>
  </si>
  <si>
    <t>PF00018:1;PF00017:1</t>
  </si>
  <si>
    <t>MS3_00001484</t>
  </si>
  <si>
    <t>PF00169:14-112;PF00018:346-392;PF00017:406-469;PF00069:599-847;PF07714:599-848</t>
  </si>
  <si>
    <t>PF00017;PF00018;PF07714</t>
  </si>
  <si>
    <t>MS3_00001622</t>
  </si>
  <si>
    <t>PF00069:349-612;PF07714:351-615</t>
  </si>
  <si>
    <t>MS3_00001662</t>
  </si>
  <si>
    <t>PF00069:27-311;PF07714:31-226</t>
  </si>
  <si>
    <t>MS3_00001716</t>
  </si>
  <si>
    <t>PF01391:407-464;PF01391:1307-1362</t>
  </si>
  <si>
    <t>MS3_00001770</t>
  </si>
  <si>
    <t>PF00373</t>
  </si>
  <si>
    <t>PF01608:1</t>
  </si>
  <si>
    <t>PF00373:5-113</t>
  </si>
  <si>
    <t>MS3_00001771</t>
  </si>
  <si>
    <t>shorter_than_expected</t>
  </si>
  <si>
    <t>PF01608</t>
  </si>
  <si>
    <t>PF00373:1</t>
  </si>
  <si>
    <t>PF01608:190-302</t>
  </si>
  <si>
    <t>MS3_00001786</t>
  </si>
  <si>
    <t>PF00069:45-309;PF07714:49-274</t>
  </si>
  <si>
    <t>MS3_00001825</t>
  </si>
  <si>
    <t>PF00412:40-95;PF00412:101-152;PF00412:165-218;PF00412:224-276;PF00412:283-336</t>
  </si>
  <si>
    <t>MS3_00001856</t>
  </si>
  <si>
    <t>integrin_alpha</t>
  </si>
  <si>
    <t>integrin_receptors</t>
  </si>
  <si>
    <t>PF01839;PF20806</t>
  </si>
  <si>
    <t>PF01839:484-508;PF20806:1047-1290</t>
  </si>
  <si>
    <t>MS3_00001861</t>
  </si>
  <si>
    <t>PF01391:59-115;PF01391:177-229;PF01391:272-326;PF01391:383-440;PF01391:633-690;PF01391:878-933;PF01391:943-998;PF01391:1025-1084;PF01391:1122-1180;PF01391:1187-1245;PF01391:1396-1453</t>
  </si>
  <si>
    <t>MS3_00001957</t>
  </si>
  <si>
    <t>PF00412:1</t>
  </si>
  <si>
    <t>PF00412:9-64;PF00412:150-189</t>
  </si>
  <si>
    <t>MS3_00002201</t>
  </si>
  <si>
    <t>PF00069:96-348;PF07714:98-343</t>
  </si>
  <si>
    <t>MS3_00002403</t>
  </si>
  <si>
    <t>PF00069:4-291;PF07714:7-198</t>
  </si>
  <si>
    <t>MS3_00002424</t>
  </si>
  <si>
    <t>PF00069:26-305;PF07714:27-301</t>
  </si>
  <si>
    <t>ILK</t>
  </si>
  <si>
    <t>PF12796:1</t>
  </si>
  <si>
    <t>MS3_00002534</t>
  </si>
  <si>
    <t>PF00069:40-336;PF07714:43-246</t>
  </si>
  <si>
    <t>MS3_00002568</t>
  </si>
  <si>
    <t>PF00412:215-250;PF00412:256-312;PF00412:316-372;PF00412:377-433;PF00412:438-492;PF00412:497-551</t>
  </si>
  <si>
    <t>MS3_00002636</t>
  </si>
  <si>
    <t>PF00069:66-319;PF07714:68-302</t>
  </si>
  <si>
    <t>MS3_00002715</t>
  </si>
  <si>
    <t>PF00069:199-451;PF07714:201-447</t>
  </si>
  <si>
    <t>MS3_00002771</t>
  </si>
  <si>
    <t>PF00018:118-165;PF00017:183-262;PF07714:298-549;PF00069:299-547</t>
  </si>
  <si>
    <t>MS3_00002812</t>
  </si>
  <si>
    <t>PF00069:135-392;PF07714:136-373</t>
  </si>
  <si>
    <t>MS3_00002824</t>
  </si>
  <si>
    <t>PF00069;PF03623;PF21477</t>
  </si>
  <si>
    <t>PF21477:219-320;PF07714:382-635;PF00069:383-633;PF03623:981-1101</t>
  </si>
  <si>
    <t>MS3_00002992</t>
  </si>
  <si>
    <t>PF00069:14-319;PF07714:15-246</t>
  </si>
  <si>
    <t>MS3_00003104</t>
  </si>
  <si>
    <t>PF07714:27-277;PF00069:32-273</t>
  </si>
  <si>
    <t>MS3_00003129</t>
  </si>
  <si>
    <t>PF00412:319-356;PF00412:365-420</t>
  </si>
  <si>
    <t>MS3_00003183</t>
  </si>
  <si>
    <t>PTP_PEST</t>
  </si>
  <si>
    <t>PF00102</t>
  </si>
  <si>
    <t>PF00102:58-296</t>
  </si>
  <si>
    <t>MS3_00003185</t>
  </si>
  <si>
    <t>PF00069:59-315;PF07714:62-310</t>
  </si>
  <si>
    <t>MS3_00003218</t>
  </si>
  <si>
    <t>PF00069:46-302;PF07714:47-298</t>
  </si>
  <si>
    <t>MS3_00003235</t>
  </si>
  <si>
    <t>kindlin</t>
  </si>
  <si>
    <t>PF00373;PF18124</t>
  </si>
  <si>
    <t>PF18124:32-115;PF00373:327-731</t>
  </si>
  <si>
    <t>MS3_00003290</t>
  </si>
  <si>
    <t>PF00069:19-232;PF07714:20-240</t>
  </si>
  <si>
    <t>MS3_00003343</t>
  </si>
  <si>
    <t>PF00017;PF07714</t>
  </si>
  <si>
    <t>PF00018:1</t>
  </si>
  <si>
    <t>PF00017:390-470;PF07714:507-728;PF00069:508-782</t>
  </si>
  <si>
    <t>MS3_00003383</t>
  </si>
  <si>
    <t>PF00069:12-270;PF07714:14-263</t>
  </si>
  <si>
    <t>MS3_00003400</t>
  </si>
  <si>
    <t>PF00130:45-95;PF00130:109-160;PF00168:178-285;PF07714:352-590;PF00069:352-605</t>
  </si>
  <si>
    <t>MS3_00003535</t>
  </si>
  <si>
    <t>PF00069:4-284;PF07714:5-196</t>
  </si>
  <si>
    <t>MS3_00003544</t>
  </si>
  <si>
    <t>PF00069:44-339;PF07714:48-249</t>
  </si>
  <si>
    <t>MS3_00003616</t>
  </si>
  <si>
    <t>PF00412:48-105;PF00412:109-165;PF00412:170-225;PF00412:229-283</t>
  </si>
  <si>
    <t>MS3_00003633</t>
  </si>
  <si>
    <t>PF00069:43-297;PF07714:45-280</t>
  </si>
  <si>
    <t>MS3_00003724</t>
  </si>
  <si>
    <t>PF07714:130-385;PF00069:130-386</t>
  </si>
  <si>
    <t>MS3_00003923</t>
  </si>
  <si>
    <t>PF00130:33-83;PF00130:97-148;PF00168:167-272;PF07714:334-574;PF00069:334-590</t>
  </si>
  <si>
    <t>MS3_00003948</t>
  </si>
  <si>
    <t>PF00069:235-551;PF07714:237-465</t>
  </si>
  <si>
    <t>MS3_00003962</t>
  </si>
  <si>
    <t>PF00055:83-319;PF00053:431-475;PF00053:487-537;PF00053:550-593</t>
  </si>
  <si>
    <t>MS3_00004019</t>
  </si>
  <si>
    <t>PF07714:18-232;PF00069:19-236</t>
  </si>
  <si>
    <t>MS3_00004068</t>
  </si>
  <si>
    <t>PF00018:135-182;PF00017:196-279;PF07714:321-569;PF00069:323-566</t>
  </si>
  <si>
    <t>MS3_00004070</t>
  </si>
  <si>
    <t>PF00055:63-276;PF00053:352-415;PF00053:425-476;PF00053:488-531</t>
  </si>
  <si>
    <t>MS3_00004076</t>
  </si>
  <si>
    <t>PF00069:181-430;PF07714:184-423</t>
  </si>
  <si>
    <t>MS3_00004152</t>
  </si>
  <si>
    <t>PF00069:30-280;PF07714:32-276</t>
  </si>
  <si>
    <t>MS3_00004315</t>
  </si>
  <si>
    <t>PF00130:125-175;PF07714:334-540;PF00069:334-598</t>
  </si>
  <si>
    <t>MS3_00004398</t>
  </si>
  <si>
    <t>cofilin</t>
  </si>
  <si>
    <t>PF00241</t>
  </si>
  <si>
    <t>PF00241:5-126</t>
  </si>
  <si>
    <t>MS3_00004405</t>
  </si>
  <si>
    <t>PF07714:520-762;PF00069:520-777</t>
  </si>
  <si>
    <t>MS3_00004459</t>
  </si>
  <si>
    <t>PF00055:3-198;PF00053:200-250;PF00053:262-316;PF00053:319-365;PF00053:368-418;PF00053:557-596;PF00053:608-653;PF00053:662-705;PF00053:726-779;PF00053:782-828;PF00053:831-872</t>
  </si>
  <si>
    <t>MS3_00004470</t>
  </si>
  <si>
    <t>PF00069:56-325;PF07714:107-322</t>
  </si>
  <si>
    <t>MS3_00004525</t>
  </si>
  <si>
    <t>PF00022:4-376</t>
  </si>
  <si>
    <t>MS3_00004635</t>
  </si>
  <si>
    <t>PF07714:18-264;PF00069:20-268</t>
  </si>
  <si>
    <t>MS3_00004657</t>
  </si>
  <si>
    <t>PF00069:192-485;PF07714:194-402</t>
  </si>
  <si>
    <t>MS3_00004774</t>
  </si>
  <si>
    <t>PF00022:9-373</t>
  </si>
  <si>
    <t>MS3_00005021</t>
  </si>
  <si>
    <t>PF00069:79-366;PF07714:80-274</t>
  </si>
  <si>
    <t>MS3_00005028</t>
  </si>
  <si>
    <t>PF07714:572-867;PF00069:625-865</t>
  </si>
  <si>
    <t>MS3_00005037</t>
  </si>
  <si>
    <t>PF00169:106-204;PF07714:245-484;PF00069:245-501</t>
  </si>
  <si>
    <t>MS3_00005166</t>
  </si>
  <si>
    <t>PF00241:237-377</t>
  </si>
  <si>
    <t>MS3_00005180</t>
  </si>
  <si>
    <t>PF07714:51-296;PF00069:52-301</t>
  </si>
  <si>
    <t>MS3_00005251</t>
  </si>
  <si>
    <t>PF00241:18-130;PF00241:179-309</t>
  </si>
  <si>
    <t>MS3_00005260</t>
  </si>
  <si>
    <t>PF00069:19-279;PF07714:21-275</t>
  </si>
  <si>
    <t>MS3_00005288</t>
  </si>
  <si>
    <t>PF01608:979-1127</t>
  </si>
  <si>
    <t>MS3_00005371</t>
  </si>
  <si>
    <t>PF00102:571-808</t>
  </si>
  <si>
    <t>MS3_00005382</t>
  </si>
  <si>
    <t>PF00069:321-612;PF07714:323-544</t>
  </si>
  <si>
    <t>MS3_00005586</t>
  </si>
  <si>
    <t>PF00069:242-555;PF07714:244-443</t>
  </si>
  <si>
    <t>MS3_00005588</t>
  </si>
  <si>
    <t>PF07714:191-396;PF00069:192-453</t>
  </si>
  <si>
    <t>MS3_00005610</t>
  </si>
  <si>
    <t>PF01391:56-114;PF01391:491-548;PF01391:554-612;PF01391:663-720;PF01391:1014-1072</t>
  </si>
  <si>
    <t>MS3_00005611</t>
  </si>
  <si>
    <t>PF01391:42-99;PF01391:690-743;PF01391:1002-1057</t>
  </si>
  <si>
    <t>MS3_00005632</t>
  </si>
  <si>
    <t>PF00023:35-64;PF00023:68-98;PF12796:68-128;PF00023:100-131;PF07714:198-475;PF00069:204-473</t>
  </si>
  <si>
    <t>PF07714;PF12796</t>
  </si>
  <si>
    <t>MS3_00005799</t>
  </si>
  <si>
    <t>filamin</t>
  </si>
  <si>
    <t>PF00307;PF00630</t>
  </si>
  <si>
    <t>PF00307:35-139;PF00307:157-256;PF00630:269-361;PF00630:369-460;PF00630:502-592;PF00630:601-682;PF00630:693-784;PF00630:791-880;PF00630:887-978;PF00630:1012-1095;PF00630:1107-1199;PF00630:1207-1293;PF00630:1300-1392;PF00630:1399-1491;PF00630:1501-1586;PF00630:1642-1694;PF00630:1705-1786;PF00630:1819-1872;PF00630:1882-1967;PF00630:2012-2065;PF00630:2075-2160;PF00630:2190-2261;PF00630:2270-2353;PF00630:2391-2479</t>
  </si>
  <si>
    <t>MS3_00006013</t>
  </si>
  <si>
    <t>PF20806</t>
  </si>
  <si>
    <t>PF01839:1</t>
  </si>
  <si>
    <t>PF20806:1004-1266</t>
  </si>
  <si>
    <t>MS3_00006076</t>
  </si>
  <si>
    <t>PF00069:63-214;PF07714:63-222;PF00069:265-362</t>
  </si>
  <si>
    <t>MS3_00006229</t>
  </si>
  <si>
    <t>alpha_actinin</t>
  </si>
  <si>
    <t>PF00307;PF00435</t>
  </si>
  <si>
    <t>PF00307:312-414;PF00307:430-534;PF00435:560-666;PF00435:679-781;PF00435:785-896;PF00435:900-1001;PF00435:1006-1108;PF00435:1113-1213;PF00435:1218-1321;PF00435:1325-1429;PF00435:1433-1535;PF00435:1538-1637;PF00435:1753-1856;PF00435:1861-1963;PF00435:1967-2069;PF00435:2074-2176;PF00435:2179-2280;PF00435:2286-2348;PF00169:2437-2545</t>
  </si>
  <si>
    <t>MS3_00006308</t>
  </si>
  <si>
    <t>PF00069:10-284;PF07714:11-275</t>
  </si>
  <si>
    <t>MS3_00006313</t>
  </si>
  <si>
    <t>PF00069:10-277;PF07714:13-272</t>
  </si>
  <si>
    <t>MS3_00006333</t>
  </si>
  <si>
    <t>PF00595:7-83;PF00412:234-286;PF00412:293-346;PF00412:352-402</t>
  </si>
  <si>
    <t>MS3_00006334</t>
  </si>
  <si>
    <t>PF07714:456-735;PF00069:460-734</t>
  </si>
  <si>
    <t>MS3_00006521</t>
  </si>
  <si>
    <t>PF00630</t>
  </si>
  <si>
    <t>PF00307:1;PF00630:1</t>
  </si>
  <si>
    <t>PF00630:425-499</t>
  </si>
  <si>
    <t>MS3_00006556</t>
  </si>
  <si>
    <t>PF07714:291-571;PF00069:406-569</t>
  </si>
  <si>
    <t>MS3_00006560</t>
  </si>
  <si>
    <t>PF00069:27-319;PF07714:31-221</t>
  </si>
  <si>
    <t>MS3_00006566</t>
  </si>
  <si>
    <t>PF00241:8-137</t>
  </si>
  <si>
    <t>MS3_00006657</t>
  </si>
  <si>
    <t>PF00307:30-133;PF00307:143-248;PF00435:393-495;PF00435:510-617;PF00435:629-722;PF08726:835-897</t>
  </si>
  <si>
    <t>MS3_00006730</t>
  </si>
  <si>
    <t>PF00018:59-111;PF00017:167-242;PF07714:284-535;PF00069:285-533</t>
  </si>
  <si>
    <t>MS3_00006767</t>
  </si>
  <si>
    <t>PF00069:145-433;PF07714:146-295</t>
  </si>
  <si>
    <t>MS3_00006934</t>
  </si>
  <si>
    <t>PF00307:81-183;PF00307:194-299;PF00435:324-430;PF00435:444-547;PF00435:563-670;PF08726:873-939</t>
  </si>
  <si>
    <t>MS3_00007047</t>
  </si>
  <si>
    <t>vinculin</t>
  </si>
  <si>
    <t>PF01044</t>
  </si>
  <si>
    <t>PF01044:3-1085</t>
  </si>
  <si>
    <t>MS3_00007109</t>
  </si>
  <si>
    <t>PF00069:78-336;PF07714:79-322</t>
  </si>
  <si>
    <t>MS3_00007112</t>
  </si>
  <si>
    <t>PF00069:585-880;PF07714:585-881</t>
  </si>
  <si>
    <t>MS3_00007174</t>
  </si>
  <si>
    <t>PF00069:152-419;PF07714:154-413</t>
  </si>
  <si>
    <t>MS3_00007266</t>
  </si>
  <si>
    <t>PF00017:63-126;PF12796:172-266;PF00023:211-241;PF00023:244-274;PF00023:279-309;PF00017:346-431;PF07714:576-823;PF00069:577-822</t>
  </si>
  <si>
    <t>MS3_00007339</t>
  </si>
  <si>
    <t>PF07714:259-559;PF00069:292-561</t>
  </si>
  <si>
    <t>MS3_00007343</t>
  </si>
  <si>
    <t>PF01044:13-923</t>
  </si>
  <si>
    <t>MS3_00007363</t>
  </si>
  <si>
    <t>PF01391:89-148;PF01391:197-255;PF01391:626-684;PF01391:697-752;PF01391:994-1051</t>
  </si>
  <si>
    <t>MS3_00007411</t>
  </si>
  <si>
    <t>PF00022:9-264</t>
  </si>
  <si>
    <t>MS3_00007430</t>
  </si>
  <si>
    <t>PF00022:11-384</t>
  </si>
  <si>
    <t>MS3_00007449</t>
  </si>
  <si>
    <t>PF07714:374-616;PF00069:374-620</t>
  </si>
  <si>
    <t>MS3_00007496</t>
  </si>
  <si>
    <t>PF00241:10-126;PF00018:456-500</t>
  </si>
  <si>
    <t>MS3_00007604</t>
  </si>
  <si>
    <t>PF07714:22-276;PF00069:22-280</t>
  </si>
  <si>
    <t>MS3_00007688</t>
  </si>
  <si>
    <t>PF00069:8-263;PF07714:9-256</t>
  </si>
  <si>
    <t>MS3_00007700</t>
  </si>
  <si>
    <t>PF00022:4-415</t>
  </si>
  <si>
    <t>MS3_00007701</t>
  </si>
  <si>
    <t>PF01391:2-60;PF01391:197-253;PF01391:377-434;PF01391:498-555;PF01391:579-637;PF01391:690-748;PF01391:853-910</t>
  </si>
  <si>
    <t>MS3_00007742</t>
  </si>
  <si>
    <t>PF01839:312-339;PF01839:404-434;PF20806:902-1137</t>
  </si>
  <si>
    <t>MS3_00007880</t>
  </si>
  <si>
    <t>PF00630:215-335</t>
  </si>
  <si>
    <t>MS3_00007970</t>
  </si>
  <si>
    <t>PF00307:38-142;PF00307:165-264;PF00630:276-368;PF00630:377-470;PF00630:477-568;PF00630:577-658;PF00630:670-769;PF00630:777-854;PF00630:881-971;PF00630:978-1067;PF00630:1074-1173;PF00630:1181-1295;PF00630:1311-1395;PF00630:1506-1588;PF00630:1592-1675;PF00630:1684-1769;PF00630:1796-1868;PF00630:1879-1963;PF00630:2098-2184;PF00630:2233-2320</t>
  </si>
  <si>
    <t>MS3_00008020</t>
  </si>
  <si>
    <t>PF07714:304-594;PF00069:306-593</t>
  </si>
  <si>
    <t>MS3_00008061</t>
  </si>
  <si>
    <t>PF00023</t>
  </si>
  <si>
    <t>PF07714:1</t>
  </si>
  <si>
    <t>PF12796:12-111;PF00023:40-68;PF00023:74-114</t>
  </si>
  <si>
    <t>MS3_00008174</t>
  </si>
  <si>
    <t>PF00022:3-408</t>
  </si>
  <si>
    <t>MS3_00008190</t>
  </si>
  <si>
    <t>PF00069:21-308;PF07714:24-219</t>
  </si>
  <si>
    <t>MS3_00008194</t>
  </si>
  <si>
    <t>PF00307:57-160;PF00307:184-286;PF00435:315-420;PF00435:430-533;PF00435:664-751;PF00435:1152-1254;PF00435:1363-1456;PF00435:1701-1775;PF00435:1828-1925;PF00435:2040-2158;PF00169:2518-2614</t>
  </si>
  <si>
    <t>MS3_00008246</t>
  </si>
  <si>
    <t>PF00022:8-379</t>
  </si>
  <si>
    <t>MS3_00008247</t>
  </si>
  <si>
    <t>PF00022:8-372</t>
  </si>
  <si>
    <t>MS3_00008251</t>
  </si>
  <si>
    <t>PF12796:22-112;PF00023:53-83;PF00023:87-112</t>
  </si>
  <si>
    <t>MS3_00008284</t>
  </si>
  <si>
    <t>PF00412:100-154;PF00412:165-218;PF00412:225-269</t>
  </si>
  <si>
    <t>MS3_00008566</t>
  </si>
  <si>
    <t>PF00069:9-292;PF07714:11-222</t>
  </si>
  <si>
    <t>MS3_00008601</t>
  </si>
  <si>
    <t>PF07714:47-255;PF00069:47-306</t>
  </si>
  <si>
    <t>MS3_00008614</t>
  </si>
  <si>
    <t>PF00069:9-225;PF07714:11-238</t>
  </si>
  <si>
    <t>MS3_00008660</t>
  </si>
  <si>
    <t>PF00022:1-360</t>
  </si>
  <si>
    <t>MS3_00008661</t>
  </si>
  <si>
    <t>MS3_00008672</t>
  </si>
  <si>
    <t>PF00069:8-211;PF07714:8-222</t>
  </si>
  <si>
    <t>MS3_00008673</t>
  </si>
  <si>
    <t>PF00069:36-292;PF07714:38-271</t>
  </si>
  <si>
    <t>MS3_00008679</t>
  </si>
  <si>
    <t>PF00069:14-300;PF07714:15-208</t>
  </si>
  <si>
    <t>MS3_00008682</t>
  </si>
  <si>
    <t>PF00069:99-352;PF07714:101-335</t>
  </si>
  <si>
    <t>MS3_00008685</t>
  </si>
  <si>
    <t>PF07714:405-648;PF00069:407-664</t>
  </si>
  <si>
    <t>MS3_00008738</t>
  </si>
  <si>
    <t>PF00018:339-384;PF00017:414-497;PF07714:537-786;PF00069:539-785</t>
  </si>
  <si>
    <t>MS3_00008744</t>
  </si>
  <si>
    <t>MS3_00008746</t>
  </si>
  <si>
    <t>PF00022:6-378</t>
  </si>
  <si>
    <t>MS3_00008957</t>
  </si>
  <si>
    <t>PF00052;PF00053;PF00055</t>
  </si>
  <si>
    <t>PF00055:44-317;PF00053:319-370;PF00053:373-429;PF00053:443-495;PF00052:640-824;PF00053:831-855;PF00053:890-937;PF00053:940-993;PF00053:1001-1045;PF00053:1048-1086;PF00053:1095-1144;PF00053:1147-1192;PF00053:1208-1246;PF00053:1255-1288;PF00053:1295-1346;PF00053:1706-1746;PF00053:1754-1805;PF00053:1811-1858</t>
  </si>
  <si>
    <t>MS3_00008971</t>
  </si>
  <si>
    <t>PF00069:54-351;PF07714:55-286</t>
  </si>
  <si>
    <t>MS3_00008988</t>
  </si>
  <si>
    <t>PF00023:41-69;PF12796:46-132;PF00023:72-103;PF00023:104-136;PF12796:227-295;PF00023:233-263;PF00023:264-295</t>
  </si>
  <si>
    <t>MS3_00009095</t>
  </si>
  <si>
    <t>PF00102:9-179</t>
  </si>
  <si>
    <t>MS3_00009134</t>
  </si>
  <si>
    <t>PF12796:56-156;PF00023:95-126;PF00023:128-159;PF00023:162-190</t>
  </si>
  <si>
    <t>MS3_00009264</t>
  </si>
  <si>
    <t>PF00018:118-165;PF00017:179-264;PF07714:305-554;PF00069:307-550</t>
  </si>
  <si>
    <t>MS3_00009375</t>
  </si>
  <si>
    <t>PF18124:7-104;PF00373:394-486</t>
  </si>
  <si>
    <t>MS3_00009432</t>
  </si>
  <si>
    <t>PF01391:332-387</t>
  </si>
  <si>
    <t>MS3_00009653</t>
  </si>
  <si>
    <t>PF00018:18-64;PF00017:83-200;PF07714:239-387;PF00069:241-387;PF07714:473-571;PF00069:478-569</t>
  </si>
  <si>
    <t>MS3_00009666</t>
  </si>
  <si>
    <t>PF00069:162-446;PF07714:165-359</t>
  </si>
  <si>
    <t>MS3_00009762</t>
  </si>
  <si>
    <t>PF00017:836-877;PF07714:977-1225;PF00069:978-1222</t>
  </si>
  <si>
    <t>MS3_00009865</t>
  </si>
  <si>
    <t>integrin_beta</t>
  </si>
  <si>
    <t>PF00362;PF08725</t>
  </si>
  <si>
    <t>PF00362:132-390;PF08725:817-860</t>
  </si>
  <si>
    <t>MS3_00009872</t>
  </si>
  <si>
    <t>PF01839;PF20805;PF20806</t>
  </si>
  <si>
    <t>PF01839:353-380;PF20805:763-858;PF20806:1109-1279</t>
  </si>
  <si>
    <t>MS3_00010057</t>
  </si>
  <si>
    <t>PF02210:157-215;PF01391:366-424;PF01391:519-577;PF01391:720-777;PF01391:1320-1378</t>
  </si>
  <si>
    <t>MS3_00010191</t>
  </si>
  <si>
    <t>PF01391:62-107;PF01391:116-170;PF01391:182-234;PF01391:313-371;PF01391:431-491;PF01391:563-618;PF01391:632-690;PF01391:735-789;PF01391:842-900;PF01391:938-993;PF01391:1114-1171;PF01391:1183-1241</t>
  </si>
  <si>
    <t>MS3_00010367</t>
  </si>
  <si>
    <t>PF07714:114-429;PF00069:116-221;PF00069:271-428</t>
  </si>
  <si>
    <t>MS3_00010396</t>
  </si>
  <si>
    <t>PF07714:64-287;PF00069:64-304;PF00069:460-691;PF07714:462-664</t>
  </si>
  <si>
    <t>MS3_00010441</t>
  </si>
  <si>
    <t>PF00412:44-98;PF00412:105-156;PF00412:169-222;PF00412:228-281;PF00412:287-341</t>
  </si>
  <si>
    <t>MS3_00010478</t>
  </si>
  <si>
    <t>PF00307:24-108;PF00307:157-258;PF00435:9687-9790;PF00435:12258-12362;PF00435:12481-12595;PF00435:12649-12721</t>
  </si>
  <si>
    <t>MS3_00010577</t>
  </si>
  <si>
    <t>PF00069:40-294;PF07714:45-290</t>
  </si>
  <si>
    <t>MS3_00010729</t>
  </si>
  <si>
    <t>PF00069:34-323;PF07714:39-233</t>
  </si>
  <si>
    <t>MS3_00010803</t>
  </si>
  <si>
    <t>PF00022:8-391</t>
  </si>
  <si>
    <t>MS3_00010929</t>
  </si>
  <si>
    <t>PF00786:17-71;PF00069:190-443;PF07714:192-439</t>
  </si>
  <si>
    <t>MS3_00011141</t>
  </si>
  <si>
    <t>PF00102:45-302</t>
  </si>
  <si>
    <t>MS3_00011163</t>
  </si>
  <si>
    <t>PF00022:5-246</t>
  </si>
  <si>
    <t>S. japonicum</t>
  </si>
  <si>
    <t>Sjap</t>
  </si>
  <si>
    <t>EWB00_000274</t>
  </si>
  <si>
    <t>PF01391:353-411;PF01391:454-500;PF01391:589-642;PF01391:1307-1365</t>
  </si>
  <si>
    <t>EWB00_000320</t>
  </si>
  <si>
    <t>PF07714:416-657;PF00069:416-674</t>
  </si>
  <si>
    <t>EWB00_000422</t>
  </si>
  <si>
    <t>PF00069:19-233;PF07714:20-241</t>
  </si>
  <si>
    <t>EWB00_000516</t>
  </si>
  <si>
    <t>PF07714:31-249;PF00069:31-290</t>
  </si>
  <si>
    <t>EWB00_000751</t>
  </si>
  <si>
    <t>PF07714:62-262;PF00069:63-369</t>
  </si>
  <si>
    <t>EWB00_000811</t>
  </si>
  <si>
    <t>PF00069:19-237;PF07714:20-242</t>
  </si>
  <si>
    <t>EWB00_001036</t>
  </si>
  <si>
    <t>PF00130:98-148;PF00130:267-317;PF07714:970-1233;PF00069:971-1241</t>
  </si>
  <si>
    <t>EWB00_001091</t>
  </si>
  <si>
    <t>PF00069:55-319;PF07714:60-301</t>
  </si>
  <si>
    <t>EWB00_001102</t>
  </si>
  <si>
    <t>PF01391:68-122;PF01391:172-223;PF01391:256-309;PF01391:366-420;PF01391:658-709;PF01391:769-823;PF01391:831-887;PF01391:927-982;PF01391:1072-1129;PF01391:1167-1224</t>
  </si>
  <si>
    <t>EWB00_001225</t>
  </si>
  <si>
    <t>PF01044:13-907</t>
  </si>
  <si>
    <t>EWB00_001228</t>
  </si>
  <si>
    <t>PF07714:92-393;PF00069:124-394</t>
  </si>
  <si>
    <t>EWB00_001311</t>
  </si>
  <si>
    <t>PF01391:249-304;PF01391:558-614;PF01391:1191-1248</t>
  </si>
  <si>
    <t>EWB00_001328</t>
  </si>
  <si>
    <t>PF00055:67-340;PF00053:396-451;PF00053:466-518;PF00052:663-843;PF00053:850-874;PF00053:908-951;PF00053:958-1011;PF00053:1019-1063;PF00053:1066-1105;PF00053:1113-1162;PF00053:1165-1206;PF00053:1229-1264;PF00053:1273-1310;PF00053:1313-1364;PF00053:1723-1765;PF00053:1771-1824;PF00053:1828-1869</t>
  </si>
  <si>
    <t>EWB00_001343</t>
  </si>
  <si>
    <t>PF00069:54-362;PF07714:56-281</t>
  </si>
  <si>
    <t>EWB00_001391</t>
  </si>
  <si>
    <t>PF00069:8-262;PF07714:10-255</t>
  </si>
  <si>
    <t>EWB00_001408</t>
  </si>
  <si>
    <t>PF00022:2-414</t>
  </si>
  <si>
    <t>EWB00_001471</t>
  </si>
  <si>
    <t>PF00169:13-111;PF00018:345-391;PF00017:405-468;PF00069:595-804;PF07714:595-830</t>
  </si>
  <si>
    <t>EWB00_001594</t>
  </si>
  <si>
    <t>PF07714:305-595;PF00069:307-594</t>
  </si>
  <si>
    <t>EWB00_001618</t>
  </si>
  <si>
    <t>PF00022:3-403</t>
  </si>
  <si>
    <t>EWB00_001961</t>
  </si>
  <si>
    <t>PF07714:47-303;PF00069:48-306</t>
  </si>
  <si>
    <t>EWB00_002103</t>
  </si>
  <si>
    <t>PF18124:32-115;PF00373:328-731;PF00169:509-628</t>
  </si>
  <si>
    <t>EWB00_002182</t>
  </si>
  <si>
    <t>PF00102:96-351</t>
  </si>
  <si>
    <t>EWB00_002194</t>
  </si>
  <si>
    <t>PF07714:66-317;PF00069:91-333;PF00069:490-745;PF07714:491-740</t>
  </si>
  <si>
    <t>EWB00_002313</t>
  </si>
  <si>
    <t>PF00055:85-327;PF00053:433-476;PF00053:489-539;PF00053:552-595</t>
  </si>
  <si>
    <t>EWB00_002386</t>
  </si>
  <si>
    <t>PF00069:192-485;PF07714:194-397</t>
  </si>
  <si>
    <t>EWB00_002413</t>
  </si>
  <si>
    <t>EWB00_002502</t>
  </si>
  <si>
    <t>EWB00_002531</t>
  </si>
  <si>
    <t>PF00069:64-215;PF07714:64-220;PF00069:269-369;PF07714:278-371</t>
  </si>
  <si>
    <t>EWB00_002741</t>
  </si>
  <si>
    <t>PF00055:35-268;PF00053:270-322;PF00053:334-391;PF00053:397-454;PF00053:457-505;PF00053:508-547;PF00053:715-760;PF00053:763-805;PF00053:809-852;PF00053:857-909;PF00053:912-961;PF00053:964-1013;PF00053:1016-1063;PF00053:1066-1106</t>
  </si>
  <si>
    <t>EWB00_002775</t>
  </si>
  <si>
    <t>PF00307:39-143;PF00307:166-265;PF00630:277-369;PF00630:377-471;PF00630:571-662;PF00630:671-752;PF00630:764-863;PF00630:871-946;PF00630:1265-1347;PF00630:1360-1452;PF00630:1459-1548;PF00630:1555-1654;PF00630:1662-1776;PF00630:1792-1875;PF00630:1987-2069;PF00630:2073-2156;PF00630:2165-2250;PF00630:2277-2349;PF00630:2360-2444;PF00630:2579-2665;PF00630:2714-2800</t>
  </si>
  <si>
    <t>EWB00_002781</t>
  </si>
  <si>
    <t>PF00069:18-245;PF07714:20-256</t>
  </si>
  <si>
    <t>EWB00_002797</t>
  </si>
  <si>
    <t>EWB00_002869</t>
  </si>
  <si>
    <t>PF00362:83-341;PF08725:769-812</t>
  </si>
  <si>
    <t>EWB00_002899</t>
  </si>
  <si>
    <t>PF00069:591-881;PF07714:591-882</t>
  </si>
  <si>
    <t>EWB00_002919</t>
  </si>
  <si>
    <t>PF01839;PF20805</t>
  </si>
  <si>
    <t>PF01839:354-379;PF20805:763-871</t>
  </si>
  <si>
    <t>EWB00_003063</t>
  </si>
  <si>
    <t>PF07714:350-665;PF00069:352-457;PF00069:507-664</t>
  </si>
  <si>
    <t>EWB00_003065</t>
  </si>
  <si>
    <t>PF00069:13-271;PF07714:15-264</t>
  </si>
  <si>
    <t>EWB00_003104</t>
  </si>
  <si>
    <t>PF00018:161-208;PF00017:222-305;PF07714:347-595;PF00069:349-592</t>
  </si>
  <si>
    <t>EWB00_003107</t>
  </si>
  <si>
    <t>PF00055:63-276;PF00053:352-415;PF00053:425-476;PF00053:488-530</t>
  </si>
  <si>
    <t>EWB00_003114</t>
  </si>
  <si>
    <t>PF00069:180-429;PF07714:183-418</t>
  </si>
  <si>
    <t>EWB00_003146</t>
  </si>
  <si>
    <t>PF00373:103-211;PF01608:2670-2778</t>
  </si>
  <si>
    <t>EWB00_003272</t>
  </si>
  <si>
    <t>PF00069:14-300;PF07714:15-209</t>
  </si>
  <si>
    <t>EWB00_003359</t>
  </si>
  <si>
    <t>PF00241:4-135</t>
  </si>
  <si>
    <t>EWB00_003429</t>
  </si>
  <si>
    <t>PF00412:225-280;PF00412:284-340;PF00412:344-398;PF00412:403-458</t>
  </si>
  <si>
    <t>EWB00_003470</t>
  </si>
  <si>
    <t>EWB00_003565</t>
  </si>
  <si>
    <t>PF01044:3-842</t>
  </si>
  <si>
    <t>EWB00_003590</t>
  </si>
  <si>
    <t>PF00412:228-264;PF00412:270-326;PF00412:330-386;PF00412:391-447;PF00412:452-506;PF00412:511-565</t>
  </si>
  <si>
    <t>EWB00_003639</t>
  </si>
  <si>
    <t>PF01839:478-506;PF20806:983-1239</t>
  </si>
  <si>
    <t>EWB00_003710</t>
  </si>
  <si>
    <t>PF07714:36-310;PF00069:37-308;PF10409:636-685</t>
  </si>
  <si>
    <t>EWB00_003747</t>
  </si>
  <si>
    <t>PF00017:829-868;PF07714:970-1218;PF00069:971-1217</t>
  </si>
  <si>
    <t>EWB00_003876</t>
  </si>
  <si>
    <t>EWB00_003952</t>
  </si>
  <si>
    <t>PF00412:9-63;PF00412:144-182</t>
  </si>
  <si>
    <t>EWB00_004095</t>
  </si>
  <si>
    <t>PF00069:17-306;PF07714:22-216</t>
  </si>
  <si>
    <t>EWB00_004122</t>
  </si>
  <si>
    <t>PF00412:35-89;PF00412:96-147;PF00412:160-212;PF00412:219-272;PF00412:278-332</t>
  </si>
  <si>
    <t>EWB00_004137</t>
  </si>
  <si>
    <t>PF00307:57-160;PF00307:184-286;PF00435:430-532;PF00435:537-646;PF00435:656-751;PF00435:1152-1254;PF00435:1363-1456;PF00435:1711-1780;PF00435:1837-1935;PF00435:2050-2168;PF00435:2172-2253</t>
  </si>
  <si>
    <t>EWB00_004179</t>
  </si>
  <si>
    <t>PF00069:217-533;PF07714:219-447</t>
  </si>
  <si>
    <t>EWB00_004196</t>
  </si>
  <si>
    <t>EWB00_004212</t>
  </si>
  <si>
    <t>EWB00_004325</t>
  </si>
  <si>
    <t>PF00069:533-794;PF07714:536-795</t>
  </si>
  <si>
    <t>EWB00_004368</t>
  </si>
  <si>
    <t>PF00069:27-311;PF07714:31-228</t>
  </si>
  <si>
    <t>EWB00_004406</t>
  </si>
  <si>
    <t>PF00018:35-82;PF00017:96-181;PF07714:222-470;PF00069:224-466</t>
  </si>
  <si>
    <t>EWB00_004629</t>
  </si>
  <si>
    <t>EWB00_004650</t>
  </si>
  <si>
    <t>PF00069:191-443;PF07714:193-439</t>
  </si>
  <si>
    <t>EWB00_004811</t>
  </si>
  <si>
    <t>PF00069:14-263;PF07714:15-259</t>
  </si>
  <si>
    <t>EWB00_004872</t>
  </si>
  <si>
    <t>PF12796:119-175;PF00023:149-174;PF00023:182-213;PF12796:187-282;PF00023:214-246;PF00023:249-283;PF00023:284-316</t>
  </si>
  <si>
    <t>EWB00_004876</t>
  </si>
  <si>
    <t>EWB00_004878</t>
  </si>
  <si>
    <t>PF00022:2-373</t>
  </si>
  <si>
    <t>EWB00_004965</t>
  </si>
  <si>
    <t>PF00412:72-126;PF00412:137-190;PF00412:197-240</t>
  </si>
  <si>
    <t>EWB00_005112</t>
  </si>
  <si>
    <t>PF00069:46-302;PF07714:48-298</t>
  </si>
  <si>
    <t>EWB00_005166</t>
  </si>
  <si>
    <t>PF00069:34-273;PF07714:45-258</t>
  </si>
  <si>
    <t>EWB00_005385</t>
  </si>
  <si>
    <t>PF00069:148-436;PF07714:149-298</t>
  </si>
  <si>
    <t>EWB00_005467</t>
  </si>
  <si>
    <t>PF00130:125-175;PF07714:334-540;PF00069:334-601</t>
  </si>
  <si>
    <t>EWB00_005528</t>
  </si>
  <si>
    <t>PF01391:312-368</t>
  </si>
  <si>
    <t>EWB00_005624</t>
  </si>
  <si>
    <t>PF07714:27-246;PF00069:27-337</t>
  </si>
  <si>
    <t>EWB00_005849</t>
  </si>
  <si>
    <t>PF00018:19-64;PF00017:83-196;PF07714:235-384;PF00069:237-385</t>
  </si>
  <si>
    <t>EWB00_005902</t>
  </si>
  <si>
    <t>PF01608:953-1055</t>
  </si>
  <si>
    <t>EWB00_006002</t>
  </si>
  <si>
    <t>PF00022:11-302</t>
  </si>
  <si>
    <t>EWB00_006050</t>
  </si>
  <si>
    <t>PF00307:37-139;PF00307:150-255;PF00435:280-386;PF00435:400-502;PF00435:519-626;PF08726:829-895</t>
  </si>
  <si>
    <t>EWB00_006126</t>
  </si>
  <si>
    <t>PF00055:43-276;PF00053:278-328;PF00053:340-394;PF00053:397-443;PF00053:446-496;PF00053:635-683;PF00053:686-732;PF00053:740-783;PF00053:804-857;PF00053:860-906;PF00053:909-950</t>
  </si>
  <si>
    <t>EWB00_006199</t>
  </si>
  <si>
    <t>PF01391:116-172;PF01391:182-234;PF01391:313-370;PF01391:431-487;PF01391:563-618;PF01391:632-690;PF01391:735-789;PF01391:866-918;PF01391:927-982;PF01391:1021-1071;PF01391:1109-1164;PF01391:1211-1269</t>
  </si>
  <si>
    <t>EWB00_006200</t>
  </si>
  <si>
    <t>PF01391:177-229;PF01391:314-372;PF01391:557-613;PF01391:630-686;PF01391:881-933;PF01391:940-996;PF01391:1025-1084;PF01391:1088-1142;PF01391:1184-1238;PF01391:1290-1346;PF01391:1396-1453;PF01391:1458-1500</t>
  </si>
  <si>
    <t>EWB00_006201</t>
  </si>
  <si>
    <t>PF01391:6-63;PF01391:125-180;PF01391:262-319;PF01391:363-417;PF01391:419-471;PF01391:509-566;PF01391:580-637;PF01391:686-743;PF01391:790-844;PF01391:934-992;PF01391:1073-1125;PF01391:1129-1186;PF01391:1239-1296;PF01391:1331-1389;PF01391:1429-1488</t>
  </si>
  <si>
    <t>EWB00_006209</t>
  </si>
  <si>
    <t>PF20806:927-1142</t>
  </si>
  <si>
    <t>EWB00_006234</t>
  </si>
  <si>
    <t>PF00307:34-139;PF00307:157-256;PF00630:269-361;PF00630:369-460;PF00630:502-592;PF00630:601-682;PF00630:693-784;PF00630:791-880;PF00630:887-978;PF00630:1012-1095;PF00630:1107-1199;PF00630:1207-1293;PF00630:1300-1391;PF00630:1399-1491;PF00630:1504-1586;PF00630:1644-1694;PF00630:1705-1786;PF00630:1819-1872;PF00630:1882-1967;PF00630:2012-2065;PF00630:2075-2160;PF00630:2190-2261;PF00630:2271-2353;PF00630:2391-2475</t>
  </si>
  <si>
    <t>EWB00_006315</t>
  </si>
  <si>
    <t>PF00069:301-613;PF07714:304-512</t>
  </si>
  <si>
    <t>EWB00_006350</t>
  </si>
  <si>
    <t>PF00069:26-330;PF07714:28-256</t>
  </si>
  <si>
    <t>EWB00_006505</t>
  </si>
  <si>
    <t>PF00373:229-340;PF01608:3069-3239</t>
  </si>
  <si>
    <t>EWB00_006602</t>
  </si>
  <si>
    <t>PF00069:14-299;PF07714:19-212</t>
  </si>
  <si>
    <t>EWB00_006607</t>
  </si>
  <si>
    <t>PF00630:232-335</t>
  </si>
  <si>
    <t>EWB00_006747</t>
  </si>
  <si>
    <t>PF18124:7-105;PF00373:412-471</t>
  </si>
  <si>
    <t>EWB00_006779</t>
  </si>
  <si>
    <t>PF00630:431-507</t>
  </si>
  <si>
    <t>EWB00_007161</t>
  </si>
  <si>
    <t>PF07714:23-276;PF00069:23-280</t>
  </si>
  <si>
    <t>EWB00_007221</t>
  </si>
  <si>
    <t>PF07714:336-620;PF00069:411-617</t>
  </si>
  <si>
    <t>EWB00_007274</t>
  </si>
  <si>
    <t>PF00241:19-128;PF00018:458-502</t>
  </si>
  <si>
    <t>EWB00_007322</t>
  </si>
  <si>
    <t>PF00069;PF21477</t>
  </si>
  <si>
    <t>PF03623:1</t>
  </si>
  <si>
    <t>PF21477:219-322;PF07714:384-637;PF00069:385-635</t>
  </si>
  <si>
    <t>EWB00_007395</t>
  </si>
  <si>
    <t>PF01391:90-148;PF01391:255-313;PF01391:372-430;PF01391:624-682;PF01391:698-753;PF01391:995-1052</t>
  </si>
  <si>
    <t>EWB00_007426</t>
  </si>
  <si>
    <t>EWB00_007512</t>
  </si>
  <si>
    <t>PF00069:107-360;PF07714:109-343</t>
  </si>
  <si>
    <t>EWB00_007517</t>
  </si>
  <si>
    <t>EWB00_007519</t>
  </si>
  <si>
    <t>PF00069:31-327;PF07714:35-252</t>
  </si>
  <si>
    <t>EWB00_007520</t>
  </si>
  <si>
    <t>PF00018:331-376;PF00017:390-473;PF07714:513-762;PF00069:515-761</t>
  </si>
  <si>
    <t>EWB00_007640</t>
  </si>
  <si>
    <t>PF00018:38-90;PF00069:171-377;PF07714:171-404;PF00786:500-547</t>
  </si>
  <si>
    <t>PF00018;PF07714</t>
  </si>
  <si>
    <t>PF00017:1</t>
  </si>
  <si>
    <t>EWB00_007650</t>
  </si>
  <si>
    <t>PF00069:19-269;PF07714:21-265</t>
  </si>
  <si>
    <t>EWB00_007721</t>
  </si>
  <si>
    <t>PF00069:61-314;PF07714:63-297</t>
  </si>
  <si>
    <t>EWB00_007739</t>
  </si>
  <si>
    <t>PF00241:40-156;PF00241:222-355</t>
  </si>
  <si>
    <t>EWB00_007873</t>
  </si>
  <si>
    <t>EWB00_007959</t>
  </si>
  <si>
    <t>EWB00_007965</t>
  </si>
  <si>
    <t>PF07714:554-848;PF00069:607-846</t>
  </si>
  <si>
    <t>EWB00_008035</t>
  </si>
  <si>
    <t>PF00069:129-384;PF07714:129-384</t>
  </si>
  <si>
    <t>EWB00_008162</t>
  </si>
  <si>
    <t>PF07714:116-370;PF00069:118-369</t>
  </si>
  <si>
    <t>EWB00_008189</t>
  </si>
  <si>
    <t>PF00017:63-126;PF12796:172-266;PF00023:211-241;PF00023:244-274;PF00023:279-309;PF00017:346-431;PF07714:577-824;PF00069:578-823</t>
  </si>
  <si>
    <t>EWB00_008231</t>
  </si>
  <si>
    <t>PF00786:17-71;PF00069:188-441;PF07714:190-437</t>
  </si>
  <si>
    <t>EWB00_008239</t>
  </si>
  <si>
    <t>PF01391:33-90;PF01391:516-573;PF01391:637-694;PF01391:829-887;PF01391:991-1049</t>
  </si>
  <si>
    <t>EWB00_008286</t>
  </si>
  <si>
    <t>PF00069:26-305;PF07714:27-300</t>
  </si>
  <si>
    <t>EWB00_008372</t>
  </si>
  <si>
    <t>PF00069:1-149;PF07714:2-143</t>
  </si>
  <si>
    <t>EWB00_008528</t>
  </si>
  <si>
    <t>PF00102:56-299</t>
  </si>
  <si>
    <t>EWB00_008648</t>
  </si>
  <si>
    <t>PF00069:7-261;PF07714:12-257</t>
  </si>
  <si>
    <t>EWB00_008683</t>
  </si>
  <si>
    <t>EWB00_008724</t>
  </si>
  <si>
    <t>EWB00_008747</t>
  </si>
  <si>
    <t>PF00595:7-83;PF00412:230-283;PF00412:289-342;PF00412:348-398</t>
  </si>
  <si>
    <t>EWB00_008748</t>
  </si>
  <si>
    <t>PF07714:333-594;PF00069:336-593</t>
  </si>
  <si>
    <t>EWB00_008807</t>
  </si>
  <si>
    <t>PF00241:5-132</t>
  </si>
  <si>
    <t>EWB00_008857</t>
  </si>
  <si>
    <t>PF00022:9-342</t>
  </si>
  <si>
    <t>EWB00_008932</t>
  </si>
  <si>
    <t>PF00069:13-267;PF07714:14-262</t>
  </si>
  <si>
    <t>EWB00_008993</t>
  </si>
  <si>
    <t>PF00069:36-292;PF07714:40-271</t>
  </si>
  <si>
    <t>EWB00_009095</t>
  </si>
  <si>
    <t>PF00017:392-472;PF00069:508-727;PF07714:509-747</t>
  </si>
  <si>
    <t>EWB00_009117</t>
  </si>
  <si>
    <t>PF12796:44-110;PF00023:83-112;PF00023:116-147;PF12796:121-196;PF00023:151-180</t>
  </si>
  <si>
    <t>EWB00_009122</t>
  </si>
  <si>
    <t>PF00069:27-311;PF07714:32-221</t>
  </si>
  <si>
    <t>EWB00_009161</t>
  </si>
  <si>
    <t>EWB00_009162</t>
  </si>
  <si>
    <t>EWB00_009224</t>
  </si>
  <si>
    <t>PF00102:310-547</t>
  </si>
  <si>
    <t>EWB00_009267</t>
  </si>
  <si>
    <t>PF00022:1</t>
  </si>
  <si>
    <t>EWB00_009287</t>
  </si>
  <si>
    <t>EWB00_009305</t>
  </si>
  <si>
    <t>PF00022:25-186</t>
  </si>
  <si>
    <t>EWB00_009358</t>
  </si>
  <si>
    <t>PF00130:33-83;PF00130:97-148;PF00168:168-272;PF00069:334-504;PF07714:334-511</t>
  </si>
  <si>
    <t>EWB00_009388</t>
  </si>
  <si>
    <t>EWB00_009456</t>
  </si>
  <si>
    <t>PF00069:59-314;PF07714:62-309</t>
  </si>
  <si>
    <t>EWB00_009479</t>
  </si>
  <si>
    <t>PF00069:14-251;PF07714:15-163</t>
  </si>
  <si>
    <t>EWB00_009480</t>
  </si>
  <si>
    <t>EWB00_009541</t>
  </si>
  <si>
    <t>EWB00_009560</t>
  </si>
  <si>
    <t>PF00412:266-303;PF00412:312-367</t>
  </si>
  <si>
    <t>EWB00_009605</t>
  </si>
  <si>
    <t>PF00023:41-69;PF12796:46-132;PF00023:72-103;PF00023:104-136;PF12796:224-289;PF00023:227-257;PF00023:258-289</t>
  </si>
  <si>
    <t>EWB00_009781</t>
  </si>
  <si>
    <t>PF07714:27-276;PF00069:32-273</t>
  </si>
  <si>
    <t>EWB00_010219</t>
  </si>
  <si>
    <t>EWB00_010398</t>
  </si>
  <si>
    <t>PF00023:35-64;PF00023:68-98;PF12796:68-126;PF00023:100-131;PF07714:198-472;PF00069:204-470</t>
  </si>
  <si>
    <t>EWB00_010448</t>
  </si>
  <si>
    <t>PF01391:29-84</t>
  </si>
  <si>
    <t>EWB00_010449</t>
  </si>
  <si>
    <t>PF01391:184-241;PF01391:985-1043;PF01391:1045-1098</t>
  </si>
  <si>
    <t>EWB00_010450</t>
  </si>
  <si>
    <t>PF01391:56-114;PF01391:554-612;PF01391:663-719;PF01391:1014-1072</t>
  </si>
  <si>
    <t>EWB00_010647</t>
  </si>
  <si>
    <t>EWB00_010649</t>
  </si>
  <si>
    <t>PF00307:30-133;PF00307:143-248;PF00435:393-495;PF00435:510-617;PF00435:630-722</t>
  </si>
  <si>
    <t>EWB00_010687</t>
  </si>
  <si>
    <t>PF00018:60-112;PF00017:168-243;PF07714:285-536;PF00069:286-534</t>
  </si>
  <si>
    <t>EWB00_010727</t>
  </si>
  <si>
    <t>PF00307:55-157;PF00307:173-277;PF00435:303-409;PF00435:422-524;PF00435:528-639;PF00435:643-744;PF00435:749-851;PF00435:856-956;PF00435:961-1064;PF00435:1068-1172;PF00435:1176-1278;PF00435:1281-1380;PF00435:1496-1599;PF00435:1604-1706;PF00435:1710-1812</t>
  </si>
  <si>
    <t>EWB00_011039</t>
  </si>
  <si>
    <t>PF01839:315-348;PF01839:403-437;PF20806:904-1139</t>
  </si>
  <si>
    <t>EWB00_011156</t>
  </si>
  <si>
    <t>PF07714:3-205;PF00069:3-210</t>
  </si>
  <si>
    <t>EWB00_011263</t>
  </si>
  <si>
    <t>PF07714:16-255;PF00069:16-272</t>
  </si>
  <si>
    <t>EWB00_011320</t>
  </si>
  <si>
    <t>PF00069:29-288;PF07714:31-281</t>
  </si>
  <si>
    <t>S. mansoni</t>
  </si>
  <si>
    <t>Sman</t>
  </si>
  <si>
    <t>Smp_000100</t>
  </si>
  <si>
    <t>PF00307:35-139;PF00307:157-256;PF00630:269-361;PF00630:369-460;PF00630:502-592;PF00630:601-682;PF00630:693-784;PF00630:791-880;PF00630:887-978;PF00630:1012-1095;PF00630:1107-1199;PF00630:1207-1293;PF00630:1300-1392;PF00630:1399-1491;PF00630:1512-1586;PF00630:1634-1694;PF00630:1705-1786;PF00630:1819-1872;PF00630:1882-1967;PF00630:2012-2065;PF00630:2075-2160;PF00630:2190-2261;PF00630:2270-2353;PF00630:2391-2479</t>
  </si>
  <si>
    <t>Smp_003000</t>
  </si>
  <si>
    <t>Smp_006920</t>
  </si>
  <si>
    <t>Smp_008260</t>
  </si>
  <si>
    <t>PF00069:27-311;PF07714:31-227</t>
  </si>
  <si>
    <t>Smp_009540</t>
  </si>
  <si>
    <t>PF00630:435-509</t>
  </si>
  <si>
    <t>Smp_009600</t>
  </si>
  <si>
    <t>Smp_009800</t>
  </si>
  <si>
    <t>PF00069:350-613;PF07714:352-616</t>
  </si>
  <si>
    <t>Smp_011660</t>
  </si>
  <si>
    <t>Smp_011700</t>
  </si>
  <si>
    <t>PF07714:384-699;PF00069:386-491;PF00069:540-698</t>
  </si>
  <si>
    <t>Smp_012740</t>
  </si>
  <si>
    <t>PF12796:19-108;PF00023:46-74;PF00023:79-110</t>
  </si>
  <si>
    <t>Smp_014780</t>
  </si>
  <si>
    <t>PF00307:31-134;PF00307:144-249;PF00435:394-496;PF00435:511-617;PF00435:630-723;PF08726:836-898</t>
  </si>
  <si>
    <t>Smp_020540</t>
  </si>
  <si>
    <t>PF00412:39-93;PF00412:100-151;PF00412:164-217;PF00412:223-276;PF00412:282-336</t>
  </si>
  <si>
    <t>Smp_026510</t>
  </si>
  <si>
    <t>PF00069:191-484;PF07714:193-402</t>
  </si>
  <si>
    <t>Smp_034550</t>
  </si>
  <si>
    <t>PF00307:37-139;PF00307:150-255;PF00435:280-386;PF00435:400-503;PF00435:519-626;PF00435:651-738;PF08726:829-895</t>
  </si>
  <si>
    <t>Smp_040190</t>
  </si>
  <si>
    <t>PF00069:94-346;PF07714:96-341</t>
  </si>
  <si>
    <t>Smp_044530</t>
  </si>
  <si>
    <t>PF00017;PF00018</t>
  </si>
  <si>
    <t>PF00018:4-50;PF00017:60-143;PF00018:228-267</t>
  </si>
  <si>
    <t>Smp_047870</t>
  </si>
  <si>
    <t>PF07714:63-215;PF00069:63-221;PF00069:258-357</t>
  </si>
  <si>
    <t>Smp_047900</t>
  </si>
  <si>
    <t>Smp_048560</t>
  </si>
  <si>
    <t>PF00412:217-253;PF00412:259-315;PF00412:319-375;PF00412:380-436;PF00412:441-495;PF00412:500-554</t>
  </si>
  <si>
    <t>Smp_049760</t>
  </si>
  <si>
    <t>Smp_053420</t>
  </si>
  <si>
    <t>PF18124:32-115;PF00373:329-733;PF00169:517-630</t>
  </si>
  <si>
    <t>Smp_053560</t>
  </si>
  <si>
    <t>Smp_058620</t>
  </si>
  <si>
    <t>PF00069:219-535;PF07714:221-449</t>
  </si>
  <si>
    <t>Smp_058790</t>
  </si>
  <si>
    <t>Smp_063040</t>
  </si>
  <si>
    <t>Smp_064040</t>
  </si>
  <si>
    <t>Smp_065290</t>
  </si>
  <si>
    <t>Smp_068960</t>
  </si>
  <si>
    <t>PF00069:309-621;PF07714:312-520</t>
  </si>
  <si>
    <t>Smp_070640</t>
  </si>
  <si>
    <t>PF18124:7-104;PF00373:387-457</t>
  </si>
  <si>
    <t>Smp_072870</t>
  </si>
  <si>
    <t>Smp_073340</t>
  </si>
  <si>
    <t>Smp_073490</t>
  </si>
  <si>
    <t>Smp_073510</t>
  </si>
  <si>
    <t>PF07714:46-298;PF00069:46-302</t>
  </si>
  <si>
    <t>Smp_074080</t>
  </si>
  <si>
    <t>PF07714:80-274;PF00069:80-366</t>
  </si>
  <si>
    <t>Smp_077180</t>
  </si>
  <si>
    <t>PF00069:56-325;PF07714:106-322</t>
  </si>
  <si>
    <t>Smp_077850</t>
  </si>
  <si>
    <t>Smp_077860</t>
  </si>
  <si>
    <t>Smp_078230</t>
  </si>
  <si>
    <t>Smp_079760</t>
  </si>
  <si>
    <t>Smp_080730</t>
  </si>
  <si>
    <t>Smp_080920</t>
  </si>
  <si>
    <t>profilin</t>
  </si>
  <si>
    <t>PF00235</t>
  </si>
  <si>
    <t>PF00235:4-104</t>
  </si>
  <si>
    <t>Smp_085690</t>
  </si>
  <si>
    <t>PF00069:36-292;PF07714:39-275</t>
  </si>
  <si>
    <t>Smp_086590</t>
  </si>
  <si>
    <t>PF00241:4-132</t>
  </si>
  <si>
    <t>Smp_086690</t>
  </si>
  <si>
    <t>PF00069:54-348;PF07714:55-286</t>
  </si>
  <si>
    <t>Smp_089700</t>
  </si>
  <si>
    <t>PF00362:92-350;PF08725:777-820</t>
  </si>
  <si>
    <t>Smp_093230</t>
  </si>
  <si>
    <t>PF00022:66-384</t>
  </si>
  <si>
    <t>Smp_094190</t>
  </si>
  <si>
    <t>Smp_094250</t>
  </si>
  <si>
    <t>PF07714:43-256;PF00069:43-303</t>
  </si>
  <si>
    <t>Smp_094760</t>
  </si>
  <si>
    <t>Smp_096310</t>
  </si>
  <si>
    <t>PF00130:106-156;PF07714:313-519;PF00069:313-577</t>
  </si>
  <si>
    <t>Smp_096640</t>
  </si>
  <si>
    <t>Smp_097940</t>
  </si>
  <si>
    <t>Smp_098840</t>
  </si>
  <si>
    <t>PF00069:25-289;PF07714:27-254</t>
  </si>
  <si>
    <t>Smp_101290</t>
  </si>
  <si>
    <t>PF00022:7-391</t>
  </si>
  <si>
    <t>Smp_103570</t>
  </si>
  <si>
    <t>Smp_103950</t>
  </si>
  <si>
    <t>PF00069:46-329;PF07714:49-240</t>
  </si>
  <si>
    <t>Smp_120700</t>
  </si>
  <si>
    <t>PF00241:4-134</t>
  </si>
  <si>
    <t>Smp_121780</t>
  </si>
  <si>
    <t>Smp_123640</t>
  </si>
  <si>
    <t>Smp_123830</t>
  </si>
  <si>
    <t>PF01391:360-418;PF01391:459-507;PF01391:708-766;PF01391:1076-1128;PF01391:1314-1372</t>
  </si>
  <si>
    <t>Smp_124130</t>
  </si>
  <si>
    <t>Smp_124850</t>
  </si>
  <si>
    <t>PF00169:14-112;PF00018:346-392;PF00017:452-515;PF00069:644-892;PF07714:644-893</t>
  </si>
  <si>
    <t>Smp_125360</t>
  </si>
  <si>
    <t>PF00018:13-59;PF00017:78-195;PF07714:234-382;PF00069:236-382;PF07714:447-545;PF00069:449-543</t>
  </si>
  <si>
    <t>Smp_125790</t>
  </si>
  <si>
    <t>PF00022:27-186</t>
  </si>
  <si>
    <t>Smp_126140</t>
  </si>
  <si>
    <t>PF01839:358-385;PF20805:768-863;PF20806:1108-1276</t>
  </si>
  <si>
    <t>Smp_128480</t>
  </si>
  <si>
    <t>PF00130:45-95;PF00130:109-160;PF00168:178-285;PF07714:354-590;PF00069:354-593</t>
  </si>
  <si>
    <t>Smp_128790</t>
  </si>
  <si>
    <t>PF00018:59-111;PF00017:167-242;PF07714:284-535;PF00069:285-534</t>
  </si>
  <si>
    <t>Smp_128920</t>
  </si>
  <si>
    <t>PF00307:57-160;PF00307:184-286;PF00435:315-420;PF00435:430-533;PF00435:657-751;PF00435:1152-1254;PF00435:1363-1456;PF00435:1701-1775;PF00435:1826-1925;PF00435:2040-2158;PF00435:2162-2224;PF00169:2519-2615</t>
  </si>
  <si>
    <t>Smp_130900</t>
  </si>
  <si>
    <t>PF01044:25-885</t>
  </si>
  <si>
    <t>Smp_131800</t>
  </si>
  <si>
    <t>Smp_133020</t>
  </si>
  <si>
    <t>PF00069:27-311;PF07714:31-221</t>
  </si>
  <si>
    <t>Smp_134260</t>
  </si>
  <si>
    <t>Smp_135560</t>
  </si>
  <si>
    <t>PF01391:35-92;PF01391:340-395;PF01391:522-576;PF01391:639-696;PF01391:720-778;PF01391:831-889;PF01391:996-1051</t>
  </si>
  <si>
    <t>Smp_135570</t>
  </si>
  <si>
    <t>Smp_136300</t>
  </si>
  <si>
    <t>PF00018:118-165;PF00017:179-264;PF07714:305-553;PF00069:307-552</t>
  </si>
  <si>
    <t>Smp_137610</t>
  </si>
  <si>
    <t>PF21477:142-242;PF07714:380-606;PF00069:381-604;PF03623:950-1066</t>
  </si>
  <si>
    <t>Smp_139930</t>
  </si>
  <si>
    <t>PF00102:57-295</t>
  </si>
  <si>
    <t>Smp_140700</t>
  </si>
  <si>
    <t>PF00069:110-417;PF07714:111-310</t>
  </si>
  <si>
    <t>Smp_141230</t>
  </si>
  <si>
    <t>PF00069:252-565;PF07714:254-453</t>
  </si>
  <si>
    <t>Smp_142050</t>
  </si>
  <si>
    <t>Smp_143130</t>
  </si>
  <si>
    <t>Smp_143470</t>
  </si>
  <si>
    <t>PF00307:55-157;PF00307:173-277;PF00435:303-409;PF00435:422-524;PF00435:528-639;PF00435:643-744;PF00435:749-851;PF00435:856-956;PF00435:961-1064;PF00435:1068-1172;PF00435:1176-1278;PF00435:1281-1380;PF00435:1496-1599;PF00435:1604-1706;PF00435:1710-1812;PF00435:1817-1919;PF00435:1922-2023;PF00435:2029-2091;PF00169:2180-2289</t>
  </si>
  <si>
    <t>Smp_145190</t>
  </si>
  <si>
    <t>PF07714:4-234;PF00069:4-241</t>
  </si>
  <si>
    <t>Smp_146200</t>
  </si>
  <si>
    <t>PF00412:319-357;PF00412:366-421</t>
  </si>
  <si>
    <t>Smp_146840</t>
  </si>
  <si>
    <t>PF00055:83-318;PF00053:431-475;PF00053:487-537;PF00053:550-593</t>
  </si>
  <si>
    <t>Smp_148790</t>
  </si>
  <si>
    <t>Smp_150040</t>
  </si>
  <si>
    <t>Smp_150220</t>
  </si>
  <si>
    <t>PF00102:556-793</t>
  </si>
  <si>
    <t>Smp_151310</t>
  </si>
  <si>
    <t>PF00055:63-276;PF00053:352-417;PF00053:425-476;PF00053:488-530</t>
  </si>
  <si>
    <t>Smp_151670</t>
  </si>
  <si>
    <t>PF07714:123-334;PF00069:125-411</t>
  </si>
  <si>
    <t>Smp_152330</t>
  </si>
  <si>
    <t>PF00069:44-297;PF07714:46-280</t>
  </si>
  <si>
    <t>Smp_156870</t>
  </si>
  <si>
    <t>PF00102:75-331</t>
  </si>
  <si>
    <t>Smp_157300</t>
  </si>
  <si>
    <t>PF07714:302-564;PF00069:306-563</t>
  </si>
  <si>
    <t>Smp_157310</t>
  </si>
  <si>
    <t>PF00595:7-83;PF00412:234-287;PF00412:293-346;PF00412:352-402</t>
  </si>
  <si>
    <t>Smp_157350</t>
  </si>
  <si>
    <t>Smp_159600</t>
  </si>
  <si>
    <t>PF01391:46-104;PF01391:106-163;PF01391:168-224;PF01391:255-308;PF01391:615-668;PF01391:768-822;PF01391:830-886;PF01391:896-951;PF01391:1007-1066;PF01391:1071-1128;PF01391:1166-1223;PF01391:1383-1438</t>
  </si>
  <si>
    <t>Smp_162710</t>
  </si>
  <si>
    <t>Smp_163810</t>
  </si>
  <si>
    <t>PF00055:43-276;PF00053:278-328;PF00053:340-394;PF00053:397-443;PF00053:446-496;PF00053:628-666;PF00053:679-725;PF00053:733-776;PF00053:797-850;PF00053:853-899;PF00053:902-943</t>
  </si>
  <si>
    <t>Smp_164380</t>
  </si>
  <si>
    <t>Smp_164590</t>
  </si>
  <si>
    <t>PF01391:181-238;PF01391:283-335;PF01391:661-719;PF01391:730-778;PF01391:823-880;PF01391:883-936;PF01391:1036-1088;PF01391:1141-1196</t>
  </si>
  <si>
    <t>Smp_165070</t>
  </si>
  <si>
    <t>Smp_167010</t>
  </si>
  <si>
    <t>PF00373:206-315;PF01608:3066-3242</t>
  </si>
  <si>
    <t>Smp_169950</t>
  </si>
  <si>
    <t>PF00069:9-225;PF07714:11-237</t>
  </si>
  <si>
    <t>Smp_170280</t>
  </si>
  <si>
    <t>PF20806:1044-1262</t>
  </si>
  <si>
    <t>Smp_170340</t>
  </si>
  <si>
    <t>PF01391:56-108;PF01391:116-171;PF01391:182-235;PF01391:313-371;PF01391:431-491;PF01391:632-690;PF01391:735-788;PF01391:872-929;PF01391:938-993;PF01391:1114-1172;PF01391:1183-1241;PF01391:1287-1346;PF01391:1389-1446</t>
  </si>
  <si>
    <t>Smp_171370</t>
  </si>
  <si>
    <t>PF00069:161-428;PF07714:163-423</t>
  </si>
  <si>
    <t>Smp_172200</t>
  </si>
  <si>
    <t>PF00018:339-384;PF00017:398-481;PF07714:521-770;PF00069:523-769</t>
  </si>
  <si>
    <t>Smp_172240</t>
  </si>
  <si>
    <t>Smp_175590</t>
  </si>
  <si>
    <t>PF00069:579-874;PF07714:579-875</t>
  </si>
  <si>
    <t>Smp_175630</t>
  </si>
  <si>
    <t>PF01391:230-285</t>
  </si>
  <si>
    <t>Smp_176750</t>
  </si>
  <si>
    <t>Smp_179070</t>
  </si>
  <si>
    <t>Smp_181490</t>
  </si>
  <si>
    <t>Smp_183710</t>
  </si>
  <si>
    <t>Smp_194270</t>
  </si>
  <si>
    <t>Smp_194610</t>
  </si>
  <si>
    <t>PF07714:39-278;PF00069:40-295</t>
  </si>
  <si>
    <t>Smp_195080</t>
  </si>
  <si>
    <t>Smp_196840</t>
  </si>
  <si>
    <t>PF01391:352-407;PF01391:1307-1362</t>
  </si>
  <si>
    <t>Smp_197370</t>
  </si>
  <si>
    <t>PF01391:56-114;PF01391:593-651;PF01391:663-720;PF01391:856-913;PF01391:1014-1072</t>
  </si>
  <si>
    <t>Smp_202970</t>
  </si>
  <si>
    <t>Smp_203130</t>
  </si>
  <si>
    <t>Smp_210740</t>
  </si>
  <si>
    <t>PF00022:5-249</t>
  </si>
  <si>
    <t>Smp_212730</t>
  </si>
  <si>
    <t>Smp_213390</t>
  </si>
  <si>
    <t>PF00069:75-333;PF07714:76-306</t>
  </si>
  <si>
    <t>Smp_213900</t>
  </si>
  <si>
    <t>PF01391:68-124;PF01391:187-242;PF01391:281-334;PF01391:391-443;PF01391:481-533;PF01391:573-628;PF01391:642-697;PF01391:747-802;PF01391:851-903;PF01391:950-1005;PF01391:1101-1154;PF01391:1191-1248;PF01391:1402-1458</t>
  </si>
  <si>
    <t>Smp_213910</t>
  </si>
  <si>
    <t>PF01391:53-111;PF01391:175-229;PF01391:271-326;PF01391:383-440;PF01391:561-613;PF01391:633-690;PF01391:878-933;PF01391:943-998;PF01391:1119-1177;PF01391:1187-1244;PF01391:1330-1383</t>
  </si>
  <si>
    <t>Smp_214100</t>
  </si>
  <si>
    <t>PF00069:20-272;PF07714:22-268</t>
  </si>
  <si>
    <t>Smp_241420</t>
  </si>
  <si>
    <t>Smp_243630</t>
  </si>
  <si>
    <t>PF00169:106-204;PF07714:245-484;PF00069:245-500</t>
  </si>
  <si>
    <t>Smp_246050</t>
  </si>
  <si>
    <t>PF01044:1-1099</t>
  </si>
  <si>
    <t>Smp_246550</t>
  </si>
  <si>
    <t>PF01608:955-1103</t>
  </si>
  <si>
    <t>Smp_247600</t>
  </si>
  <si>
    <t>PF07714:17-259;PF00069:17-263</t>
  </si>
  <si>
    <t>Smp_247740</t>
  </si>
  <si>
    <t>PF00241:14-126;PF00018:457-501</t>
  </si>
  <si>
    <t>Smp_248010</t>
  </si>
  <si>
    <t>PF00412:47-101;PF00412:112-165;PF00412:172-210</t>
  </si>
  <si>
    <t>Smp_304500</t>
  </si>
  <si>
    <t>PF00069:13-270;PF07714:15-269</t>
  </si>
  <si>
    <t>Smp_306600</t>
  </si>
  <si>
    <t>Smp_306910</t>
  </si>
  <si>
    <t>Smp_307010</t>
  </si>
  <si>
    <t>Smp_307020</t>
  </si>
  <si>
    <t>Smp_307260</t>
  </si>
  <si>
    <t>Smp_308420</t>
  </si>
  <si>
    <t>PF00241:18-130;PF00241:178-287</t>
  </si>
  <si>
    <t>Smp_309860</t>
  </si>
  <si>
    <t>PF12796:50-110;PF00023:83-110;PF00023:116-147;PF12796:121-196;PF00023:151-180</t>
  </si>
  <si>
    <t>Smp_313640</t>
  </si>
  <si>
    <t>Smp_315700</t>
  </si>
  <si>
    <t>PF00412:318-373;PF00412:377-433;PF00412:437-491;PF00412:496-551</t>
  </si>
  <si>
    <t>Smp_315810</t>
  </si>
  <si>
    <t>PF00307:74-176;PF00307:200-301;PF00435:624-714;PF00435:3546-3649;PF00435:6120-6224;PF00435:6343-6457;PF00435:6510-6583</t>
  </si>
  <si>
    <t>Smp_317420</t>
  </si>
  <si>
    <t>PF00307:38-142;PF00307:166-264;PF00630:277-369;PF00630:377-471;PF00630:478-569;PF00630:578-659;PF00630:671-770;PF00630:778-855;PF00630:882-972;PF00630:979-1068;PF00630:1075-1174;PF00630:1182-1296;PF00630:1312-1396;PF00630:1507-1589;PF00630:1593-1676;PF00630:1685-1770;PF00630:1797-1869;PF00630:1880-1964;PF00630:2099-2185;PF00630:2234-2321</t>
  </si>
  <si>
    <t>Smp_328200</t>
  </si>
  <si>
    <t>Smp_331960</t>
  </si>
  <si>
    <t>PF07714:32-272;PF00069:33-271</t>
  </si>
  <si>
    <t>Smp_332370</t>
  </si>
  <si>
    <t>PF00017:811-852;PF07714:952-1200;PF00069:953-1199</t>
  </si>
  <si>
    <t>Smp_332820</t>
  </si>
  <si>
    <t>PF00307:90-173;PF00307:191-294;PF00435:1553-1671;PF00435:1896-1998;PF00169:3193-3301</t>
  </si>
  <si>
    <t>Smp_333410</t>
  </si>
  <si>
    <t>Smp_334130</t>
  </si>
  <si>
    <t>Smp_334370</t>
  </si>
  <si>
    <t>PF07714:259-530;PF00069:292-561</t>
  </si>
  <si>
    <t>Smp_335730</t>
  </si>
  <si>
    <t>PF07714:1-195;PF00069:3-199</t>
  </si>
  <si>
    <t>Smp_335950</t>
  </si>
  <si>
    <t>PF07714:32-280;PF00069:33-279</t>
  </si>
  <si>
    <t>Smp_336830</t>
  </si>
  <si>
    <t>PF00069:135-392;PF07714:136-364</t>
  </si>
  <si>
    <t>Smp_340300</t>
  </si>
  <si>
    <t>PF07714:64-304;PF00069:64-321;PF00069:478-735;PF07714:480-731</t>
  </si>
  <si>
    <t>Smp_342370</t>
  </si>
  <si>
    <t>PF00017:395-432;PF07714:457-678;PF00069:458-732</t>
  </si>
  <si>
    <t>Smp_343540</t>
  </si>
  <si>
    <t>PF00373:228-336;PF01608:2805-2916</t>
  </si>
  <si>
    <t>Smp_343650</t>
  </si>
  <si>
    <t>PF00055:44-317;PF00053:319-370;PF00053:373-429;PF00053:443-495;PF00052:704-822;PF00053:831-855;PF00053:890-937;PF00053:940-993;PF00053:1001-1045;PF00053:1048-1087;PF00053:1095-1144;PF00053:1147-1192;PF00053:1209-1246;PF00053:1255-1288;PF00053:1295-1346;PF00053:1708-1748;PF00053:1756-1810;PF00053:1813-1860</t>
  </si>
  <si>
    <t>Smp_343740</t>
  </si>
  <si>
    <t>PF01391:89-147;PF01391:197-255;PF01391:419-471;PF01391:626-684;PF01391:697-752;PF01391:994-1051</t>
  </si>
  <si>
    <t>Smp_344780</t>
  </si>
  <si>
    <t>PF07714:195-478;PF00069:292-475</t>
  </si>
  <si>
    <t>Smp_348670</t>
  </si>
  <si>
    <t>PF00018:118-165;PF00017:183-262;PF07714:298-549;PF00069:299-548</t>
  </si>
  <si>
    <t>BUSCA_Accession</t>
  </si>
  <si>
    <t>BUSCA_GOids</t>
  </si>
  <si>
    <t>BUSCA_GOterms</t>
  </si>
  <si>
    <t>BUSCA_Score</t>
  </si>
  <si>
    <t>BUSCA_Signal_Peptide</t>
  </si>
  <si>
    <t>BUSCA_Transmembrane_Alpha_Helix</t>
  </si>
  <si>
    <t>BUSCA_Transmembrane_Beta_Strand</t>
  </si>
  <si>
    <t>BUSCA_GPI_anchor</t>
  </si>
  <si>
    <t>MotifScan_hit_count</t>
  </si>
  <si>
    <t>MotifScan_ELM_classes</t>
  </si>
  <si>
    <t>MotifScan_sites</t>
  </si>
  <si>
    <t>MotifScan_family_priority</t>
  </si>
  <si>
    <t>MotifScan_context_state</t>
  </si>
  <si>
    <t>MotifScan_overlapping_domains</t>
  </si>
  <si>
    <t>MotifScan_disorder_context</t>
  </si>
  <si>
    <t>MotifScan_exact_reference_instances</t>
  </si>
  <si>
    <t>MotifScan_reference_partner_domains</t>
  </si>
  <si>
    <t>MotifScan_evidence</t>
  </si>
  <si>
    <t>MotifScan_review_note</t>
  </si>
  <si>
    <t>Orthology_mapping_status</t>
  </si>
  <si>
    <t>Orthology_Orthogroup</t>
  </si>
  <si>
    <t>Orthology_HOG_status</t>
  </si>
  <si>
    <t>Orthology_Hsap_direct_orthologues</t>
  </si>
  <si>
    <t>Orthology_Hsap_relationship</t>
  </si>
  <si>
    <t>Orthology_Cele_direct_orthologues</t>
  </si>
  <si>
    <t>Orthology_Cele_relationship</t>
  </si>
  <si>
    <t>Orthology_Hsap_HOG_members</t>
  </si>
  <si>
    <t>Orthology_Cele_HOG_members</t>
  </si>
  <si>
    <t>Orthology_Shae_HOG_copy_count</t>
  </si>
  <si>
    <t>Orthology_Sjap_HOG_copy_count</t>
  </si>
  <si>
    <t>Orthology_Sman_HOG_copy_count</t>
  </si>
  <si>
    <t>Orthology_Hsap_source_group_size</t>
  </si>
  <si>
    <t>Orthology_Hsap_target_group_size</t>
  </si>
  <si>
    <t>Orthology_Cele_source_group_size</t>
  </si>
  <si>
    <t>Orthology_Cele_target_group_size</t>
  </si>
  <si>
    <t>Orthology_reference_support</t>
  </si>
  <si>
    <t>Orthology_interpretation</t>
  </si>
  <si>
    <t>FERM_F0_TLN[cd17089]:4-87;FERM_F1_TLN[cd17090]:88-198;FERM_M[pfam00373]:202-315;FERM_C_Talin[cd10569]:311-403;I_LWEQ[pfam01608]:3067-3241</t>
  </si>
  <si>
    <t>Cytoplasm|Cell membrane</t>
  </si>
  <si>
    <t>GLOB; no TM</t>
  </si>
  <si>
    <t>OTHER (p=1.000000)</t>
  </si>
  <si>
    <t>Shae__MS3_00000278</t>
  </si>
  <si>
    <t>GO:0005886</t>
  </si>
  <si>
    <t>C:plasma membrane</t>
  </si>
  <si>
    <t>386-401;658-669;3020-3041</t>
  </si>
  <si>
    <t>LIG_Vh1_VBS_1</t>
  </si>
  <si>
    <t>LIG_Vh1_VBS_1:956-974:LVRKANALASAVDCLVADL | LIG_Vh1_VBS_1:1121-1139:LLAASQNLMKCLEDLLRSA | LIG_Vh1_VBS_1:1780-1798:FIQSVKGLAQVTNHLVQIT | LIG_Vh1_VBS_1:3021-3039:LIIACRNLVHATLSLMYWA | LIG_Vh1_VBS_1:3118-3136:LISAAQTTAGYTAQLVIAC</t>
  </si>
  <si>
    <t>True</t>
  </si>
  <si>
    <t>sequence_only</t>
  </si>
  <si>
    <t>not_assessed</t>
  </si>
  <si>
    <t>regex_candidate_only</t>
  </si>
  <si>
    <t>Candidate vinculin-binding helix; force-dependent exposure and binding require structural/experimental evidence.</t>
  </si>
  <si>
    <t>matched</t>
  </si>
  <si>
    <t>OG0000799</t>
  </si>
  <si>
    <t>shared HOG</t>
  </si>
  <si>
    <t>Hsap__GeneID_59274, Hsap__GeneID_7094, Hsap__GeneID_83660</t>
  </si>
  <si>
    <t>many-to-many</t>
  </si>
  <si>
    <t>Cele__WBGene00006771</t>
  </si>
  <si>
    <t>many-to-one</t>
  </si>
  <si>
    <t>Direct orthologues to H. sapiens + C. elegans</t>
  </si>
  <si>
    <t>Shared HOG with one-to-many, many-to-one and/or many-to-many relationships; supports conserved family membership but indicates paralogy/lineage expansion, so exact gene-name transfer should be cautious.</t>
  </si>
  <si>
    <t>ACTIN[smart00268]:186-373</t>
  </si>
  <si>
    <t>Cytoplasm</t>
  </si>
  <si>
    <t>Shae__MS3_00000359</t>
  </si>
  <si>
    <t>GO:0005737</t>
  </si>
  <si>
    <t>C:cytoplasm</t>
  </si>
  <si>
    <t>OG0000011</t>
  </si>
  <si>
    <t>no direct pairwise orthologue detected</t>
  </si>
  <si>
    <t>Cele__WBGene00044435</t>
  </si>
  <si>
    <t>Direct C. elegans orthologue(s) only</t>
  </si>
  <si>
    <t>Shared HOG but a direct pairwise relationship is absent for at least one reference; this supports deeper family homology while leaving the exact reference orthologue unresolved.</t>
  </si>
  <si>
    <t>Laminin_N[pfam00055]:35-268;EGF_Lam[cd00055]:269-322;Laminin_EGF[pfam00053]:334-394;Laminin_EGF[pfam00053]:397-454;EGF_Lam[cd00055]:456-506;EGF_Lam[smart00180]:508-552;Laminin_EGF[pfam00053]:715-763;Laminin_EGF[pfam00053]:763-811;EGF_Lam[cd00055]:808-855;EGF_Lam[cd00055]:856-907;Laminin_EGF[pfam00053]:912-966;Laminin_EGF[pfam00053]:964-1013;EGF_Lam[cd00055]:1015-1064;EGF_Lam[cd00055]:1065-1105</t>
  </si>
  <si>
    <t>Extracellular</t>
  </si>
  <si>
    <t>SP; SP 1-19; no TM</t>
  </si>
  <si>
    <t>SP (p=0.999857); CS 19-20 (Pr=0.9831)</t>
  </si>
  <si>
    <t>Shae__MS3_00000487</t>
  </si>
  <si>
    <t>GO:0005615</t>
  </si>
  <si>
    <t>C:extracellular space</t>
  </si>
  <si>
    <t>1-19</t>
  </si>
  <si>
    <t>OG0002211</t>
  </si>
  <si>
    <t>Hsap__GeneID_3912, Hsap__GeneID_3913</t>
  </si>
  <si>
    <t>one-to-many</t>
  </si>
  <si>
    <t>Cele__WBGene00002247</t>
  </si>
  <si>
    <t>one-to-one</t>
  </si>
  <si>
    <t>Shared HOG with a one-to-one relationship to one reference and a multi-gene relationship to the other; consistent with lineage-specific duplication in part of the phylogeny.</t>
  </si>
  <si>
    <t>OTHER (p=0.999997)</t>
  </si>
  <si>
    <t>Shae__MS3_00000825</t>
  </si>
  <si>
    <t>Collagen[pfam01391]:52-108;Collagen[pfam01391]:283-338;Collagen[pfam01391]:437-491;Collagen[pfam01391]:617-672;Collagen[pfam01391]:771-825;Collagen[pfam01391]:1341-1397;Collagen[pfam01391]:1457-1517;C4[pfam01413]:1533-1639;C4[pfam01413]:1644-1757</t>
  </si>
  <si>
    <t>SP; SP 1-25; no TM</t>
  </si>
  <si>
    <t>SP (p=0.999771); CS 25-26 (Pr=0.9817)</t>
  </si>
  <si>
    <t>Shae__MS3_00000941</t>
  </si>
  <si>
    <t>1-25</t>
  </si>
  <si>
    <t>OG0000261</t>
  </si>
  <si>
    <t>Hsap__GeneID_1282, Hsap__GeneID_1284, Hsap__GeneID_1285, Hsap__GeneID_1286, Hsap__GeneID_1287, Hsap__GeneID_1288</t>
  </si>
  <si>
    <t>Cele__WBGene00001263, Cele__WBGene00002280</t>
  </si>
  <si>
    <t>LIM[pfam00412]:314-369;LIM[pfam00412]:373-429;LIM[pfam00412]:433-488;LIM4_Leupaxin[cd09412]:492-543</t>
  </si>
  <si>
    <t>Shae__MS3_00001381</t>
  </si>
  <si>
    <t>GO:0005634</t>
  </si>
  <si>
    <t>C:nucleus</t>
  </si>
  <si>
    <t>LIG_FAT_LD_1</t>
  </si>
  <si>
    <t>LIG_FAT_LD_1:4-12:LDSLLNELH | LIG_FAT_LD_1:156-164:LDDLLYSLK</t>
  </si>
  <si>
    <t>PF03623</t>
  </si>
  <si>
    <t>ELM LD-helix candidate; inspect relationship to C-terminal LIM domains, helix conformation and binding partner.</t>
  </si>
  <si>
    <t>OG0002654</t>
  </si>
  <si>
    <t>Hsap__GeneID_7041, Hsap__GeneID_9404</t>
  </si>
  <si>
    <t>Cele__WBGene00016197</t>
  </si>
  <si>
    <t>STKc_PLK[cd14099]:23-277;POLO_box_1[cd13118]:381-469;POLO_box_2[cd13117]:483-564</t>
  </si>
  <si>
    <t>Cytoplasm|Nucleus</t>
  </si>
  <si>
    <t>Shae__MS3_00001471</t>
  </si>
  <si>
    <t>LIG_SH2_SFK_2</t>
  </si>
  <si>
    <t>LIG_SH2_SFK_2:97-103:FIYILLE | LIG_SH2_SFK_2:187-193:PNYIAPE | LIG_SH2_SFK_2:212-218:ILYTLLV | LIG_SH2_SFK_2:524-532:VTYIDANRE</t>
  </si>
  <si>
    <t>PF00069;PF07714</t>
  </si>
  <si>
    <t>IPR000980;PF00017</t>
  </si>
  <si>
    <t>Phosphotyrosine-dependent ligand candidate; phosphorylation and Y397 correspondence cannot be inferred.</t>
  </si>
  <si>
    <t>OG0002253</t>
  </si>
  <si>
    <t>Hsap__GeneID_5347</t>
  </si>
  <si>
    <t>Cele__WBGene00004042, Cele__WBGene00004043</t>
  </si>
  <si>
    <t>PH_Btk[cd01238]:10-157;SH3[smart00326]:341-395;SH2[pfam00017]:406-467;TyrKc[smart00219]:599-849</t>
  </si>
  <si>
    <t>Shae__MS3_00001484</t>
  </si>
  <si>
    <t>LIG_SH2_SFK_2; LIG_SH3_2</t>
  </si>
  <si>
    <t>LIG_SH2_SFK_2:96-102:LLYIVAN | LIG_SH2_SFK_2:349-356:HNYNPVRE | LIG_SH3_2:450-455:PEAPGK | LIG_SH2_SFK_2:803-809:QVYQYIV | LIG_SH2_SFK_2:842-848:FEYICQK</t>
  </si>
  <si>
    <t>PF00169; PF00018; PF00017; PF00069;PF07714</t>
  </si>
  <si>
    <t>IPR000980;PF00017; PF00018;PF07653;PF14604</t>
  </si>
  <si>
    <t>Phosphotyrosine-dependent ligand candidate; phosphorylation and Y397 correspondence cannot be inferred.; Generic SH3 ligand candidate; review position and accessibility.</t>
  </si>
  <si>
    <t>OG0001435</t>
  </si>
  <si>
    <t>Hsap__GeneID_3702, Hsap__GeneID_660, Hsap__GeneID_695, Hsap__GeneID_7006, Hsap__GeneID_7294</t>
  </si>
  <si>
    <t>Direct H. sapiens orthologue(s) only</t>
  </si>
  <si>
    <t>S_TKc[smart00220]:349-611</t>
  </si>
  <si>
    <t>Shae__MS3_00001622</t>
  </si>
  <si>
    <t>GO:0012505</t>
  </si>
  <si>
    <t>C:endomembrane system</t>
  </si>
  <si>
    <t>423-434;543-554</t>
  </si>
  <si>
    <t>LIG_SH2_SFK_2:5-12:STYIDQVE | LIG_SH2_SFK_2:74-80:IDYFAFV | LIG_SH2_SFK_2:96-104:STYIILCLE | LIG_SH2_SFK_2:201-210:DFYAQIIARE | LIG_SH2_SFK_2:324-331:EEYNELIE | LIG_SH2_SFK_2:430-439:HLYIVMELLD | LIG_SH2_SFK_2:576-582:GEYQSVK | LIG_SH2_SFK_2:587-594:NQYSNLVD | LIG_SH2_SFK_2:733-739:LEYEAIK | LIG_SH2_SFK_2:811-817:INYAILM</t>
  </si>
  <si>
    <t>OG0005032</t>
  </si>
  <si>
    <t>Hsap__GeneID_152110</t>
  </si>
  <si>
    <t>Cele__WBGene00017033</t>
  </si>
  <si>
    <t>Shared HOG with one-to-one direct relationships to both references; the orthology output gives a clean conserved-gene pattern.</t>
  </si>
  <si>
    <t>STKc_GSK3[cd14137]:22-314</t>
  </si>
  <si>
    <t>Shae__MS3_00001662</t>
  </si>
  <si>
    <t>OG0001204</t>
  </si>
  <si>
    <t>Hsap__GeneID_2931, Hsap__GeneID_2932</t>
  </si>
  <si>
    <t>Cele__WBGene00001746</t>
  </si>
  <si>
    <t>LamG[cd00110]:93-231;Collagen[pfam01391]:467-521;Collagen[pfam01391]:809-865;Collagen[pfam01391]:1052-1107</t>
  </si>
  <si>
    <t>SP; SP 1-32; no TM</t>
  </si>
  <si>
    <t>OTHER (p=0.805091)</t>
  </si>
  <si>
    <t>Shae__MS3_00001716</t>
  </si>
  <si>
    <t>OG0007168</t>
  </si>
  <si>
    <t>Schistosoma-only in sampled HOG</t>
  </si>
  <si>
    <t>No direct pairwise orthologue to either reference</t>
  </si>
  <si>
    <t>Schistosoma-only HOG in the sampled species and no direct reference orthologue; consistent with lineage-restricted retention/expansion or strong sequence divergence. Orthology alone does not establish adhesome function.</t>
  </si>
  <si>
    <t>FERM_M[pfam00373]:6-113;FERM_C_Talin[cd10569]:109-201;talin-RS[cd12150]:1655-1826</t>
  </si>
  <si>
    <t>Shae__MS3_00001770</t>
  </si>
  <si>
    <t>LIG_Vh1_VBS_1:627-645:VIASVTQTGLCTSQLVACT | LIG_Vh1_VBS_1:752-770:MVASARRLAQATALMIADI | LIG_Vh1_VBS_1:787-805:LFHAAKQLADATTNLINAA</t>
  </si>
  <si>
    <t>non-specific|I_LWEQ[pfam01608]:192-301</t>
  </si>
  <si>
    <t>Shae__MS3_00001771</t>
  </si>
  <si>
    <t>LIG_Vh1_VBS_1:94-112:LLVTARSVAVSVQNLIKTA</t>
  </si>
  <si>
    <t>not found in selected HOG table</t>
  </si>
  <si>
    <t>Candidate mapped in the report, but no selected HOG assignment was recovered; the supplied output provides no direct H. sapiens or C. elegans orthologue.</t>
  </si>
  <si>
    <t>S_TKc[smart00220]:45-309</t>
  </si>
  <si>
    <t>Shae__MS3_00001786</t>
  </si>
  <si>
    <t>GO:0005739</t>
  </si>
  <si>
    <t>C:mitochondrion</t>
  </si>
  <si>
    <t>LIG_SH2_SFK_2:118-126:DAYIFLVSE | LIG_SH2_SFK_2:220-226:GYYEDQP | LIG_SH2_SFK_2:240-246:IMYTLLA | LIG_SH2_SFK_2:346-352:AAYLNIN | LIG_SH2_SFK_2:422-431:VNYTPFNFED</t>
  </si>
  <si>
    <t>OG0001879</t>
  </si>
  <si>
    <t>Hsap__GeneID_389073, Hsap__GeneID_5260, Hsap__GeneID_5261</t>
  </si>
  <si>
    <t>Cele__WBGene00021753</t>
  </si>
  <si>
    <t>LIM1_PINCH[cd09331]:40-98;LIM2_PINCH[cd09332]:101-152;LIM3_PINCH[cd09333]:165-216;LIM4_PINCH[cd09334]:222-275;LIM5_PINCH[cd09335]:283-336</t>
  </si>
  <si>
    <t>Shae__MS3_00001825</t>
  </si>
  <si>
    <t>OG0003602</t>
  </si>
  <si>
    <t>Hsap__GeneID_55679</t>
  </si>
  <si>
    <t>Cele__WBGene00006826</t>
  </si>
  <si>
    <t>non-specific|Integrin_alpha2[pfam08441]:1047-1135</t>
  </si>
  <si>
    <t>Cell membrane</t>
  </si>
  <si>
    <t>SP+TM; SP 1-30; TM 1335-1355 (O→I)</t>
  </si>
  <si>
    <t>Shae__MS3_00001856</t>
  </si>
  <si>
    <t>OG0007192</t>
  </si>
  <si>
    <t>Collagen[pfam01391]:71-126;Collagen[pfam01391]:296-352;Collagen[pfam01391]:750-806;Collagen[pfam01391]:862-919;Collagen[pfam01391]:1125-1179;Collagen[pfam01391]:1345-1399;C4[pfam01413]:1660-1774</t>
  </si>
  <si>
    <t>SP; SP 1-33; no TM</t>
  </si>
  <si>
    <t>SP (p=0.999812); CS 33-34 (Pr=0.9801)</t>
  </si>
  <si>
    <t>Shae__MS3_00001861</t>
  </si>
  <si>
    <t>1-33</t>
  </si>
  <si>
    <t>LIG_Integrin_collagen_1</t>
  </si>
  <si>
    <t>LIG_Integrin_collagen_1:1342-1347:GLPGEA</t>
  </si>
  <si>
    <t>outside_expected_region</t>
  </si>
  <si>
    <t>IPR002035;PF00092</t>
  </si>
  <si>
    <t>Encoded precursor pattern; hydroxylation, triple helix and integrin subtype specificity are not established.</t>
  </si>
  <si>
    <t>LIM1_Lmx1b[cd09371]:9-61;LIM[pfam00412]:152-189;Homeodomain[pfam00046]:331-387</t>
  </si>
  <si>
    <t>Nucleus</t>
  </si>
  <si>
    <t>Shae__MS3_00001957</t>
  </si>
  <si>
    <t>OG0007203</t>
  </si>
  <si>
    <t>S_TKc[smart00220]:96-348;UBA_SNRK[cd14339]:444-490</t>
  </si>
  <si>
    <t>OTHER (p=0.999990)</t>
  </si>
  <si>
    <t>Shae__MS3_00002201</t>
  </si>
  <si>
    <t>LIG_SH2_SFK_2:268-276:EPYIGVKAD | LIG_SH2_SFK_2:283-289:ILYVMVC | LIG_SH2_SFK_2:482-489:ATYLLLGE | LIG_SH2_SFK_2:561-567:PNYSTIP | LIG_SH2_SFK_2:660-668:QSYLPVEDE</t>
  </si>
  <si>
    <t>OG0001129</t>
  </si>
  <si>
    <t>Hsap__GeneID_102724428, Hsap__GeneID_150094, Hsap__GeneID_23235, Hsap__GeneID_23387</t>
  </si>
  <si>
    <t>Cele__WBGene00002210</t>
  </si>
  <si>
    <t>STKc_CDKL1_4[cd07847]:2-291</t>
  </si>
  <si>
    <t>Shae__MS3_00002403</t>
  </si>
  <si>
    <t>OG0001053</t>
  </si>
  <si>
    <t>Hsap__GeneID_344387, Hsap__GeneID_8814</t>
  </si>
  <si>
    <t>Cele__WBGene00012779</t>
  </si>
  <si>
    <t>S_TKc[smart00220]:26-305</t>
  </si>
  <si>
    <t>Shae__MS3_00002424</t>
  </si>
  <si>
    <t>OG0002601</t>
  </si>
  <si>
    <t>Hsap__GeneID_27347, Hsap__GeneID_9943</t>
  </si>
  <si>
    <t>Cele__WBGene00013355</t>
  </si>
  <si>
    <t>S_TKc[smart00220]:40-336</t>
  </si>
  <si>
    <t>Shae__MS3_00002534</t>
  </si>
  <si>
    <t>OG0001181</t>
  </si>
  <si>
    <t>Hsap__GeneID_1025</t>
  </si>
  <si>
    <t>Cele__WBGene00000410</t>
  </si>
  <si>
    <t>LIM[smart00132]:215-247;LIM2_Testin_like[cd09341]:254-309;LIM1_FHL[cd09343]:312-370;LIM4_LIMPETin[cd09425]:377-430;LIM5_LIMPETin[cd09430]:438-489;LIM4_FHL[cd09347]:497-552</t>
  </si>
  <si>
    <t>Shae__MS3_00002568</t>
  </si>
  <si>
    <t>OG0001252</t>
  </si>
  <si>
    <t>Hsap__GeneID_2274</t>
  </si>
  <si>
    <t>Cele__WBGene00006407</t>
  </si>
  <si>
    <t>STKc_PKA[cd14209]:63-352</t>
  </si>
  <si>
    <t>Shae__MS3_00002636</t>
  </si>
  <si>
    <t>OG0000301</t>
  </si>
  <si>
    <t>Hsap__GeneID_5566, Hsap__GeneID_5567, Hsap__GeneID_5568</t>
  </si>
  <si>
    <t>Cele__WBGene00002189</t>
  </si>
  <si>
    <t>HD_3[pfam13023]:13-163;STKc_AMPK_alpha[cd14079]:196-451;UBA_AID_AMPKalpha[cd14336]:468-532;AMPKA_C[cd12122]:652-827</t>
  </si>
  <si>
    <t>Shae__MS3_00002715</t>
  </si>
  <si>
    <t>LIG_SH2_SFK_2:386-392:ILYALLC | LIG_SH2_SFK_2:475-481:AVYEVCQ | LIG_SH2_SFK_2:781-790:NCYDGPNTTE</t>
  </si>
  <si>
    <t>OG0001472</t>
  </si>
  <si>
    <t>Hsap__GeneID_5562, Hsap__GeneID_5563</t>
  </si>
  <si>
    <t>Cele__WBGene00019801, Cele__WBGene00020142</t>
  </si>
  <si>
    <t>SH3_Src_like[cd11845]:116-167;SH2[pfam00017]:181-262;PK_Tyr_Ser-Thr[pfam07714]:297-551</t>
  </si>
  <si>
    <t>OTHER (p=0.999995)</t>
  </si>
  <si>
    <t>Shae__MS3_00002771</t>
  </si>
  <si>
    <t>LIG_SH2_SFK_2:165-172:SNYVCLND | LIG_SH2_SFK_2:259-267:INYYTVHPD | LIG_SH2_SFK_2:377-386:ALYDFLRTEE | LIG_SH2_SFK_2:482-488:LMYEIVT | LIG_SH2_SFK_2:546-552:SLYDVFE</t>
  </si>
  <si>
    <t>PF00018; PF00017; PF00069;PF07714</t>
  </si>
  <si>
    <t>OG0006156</t>
  </si>
  <si>
    <t>MOD_NMyristoyl</t>
  </si>
  <si>
    <t>MOD_NMyristoyl:1-7:MGICLCL</t>
  </si>
  <si>
    <t>terminal_window_only</t>
  </si>
  <si>
    <t>PF02799</t>
  </si>
  <si>
    <t>N-terminal myristoylation-compatible sequence only; modification is unverified and not universal to all SFKs.</t>
  </si>
  <si>
    <t>S_TKc[smart00220]:135-392</t>
  </si>
  <si>
    <t>Shae__MS3_00002812</t>
  </si>
  <si>
    <t>OG0000663</t>
  </si>
  <si>
    <t>Hsap__GeneID_100533105, Hsap__GeneID_10110, Hsap__GeneID_23678, Hsap__GeneID_28966, Hsap__GeneID_64089, Hsap__GeneID_6446, Hsap__GeneID_79856</t>
  </si>
  <si>
    <t>Cele__WBGene00004789</t>
  </si>
  <si>
    <t>PK_Tyr_Ser-Thr[pfam07714]:381-637</t>
  </si>
  <si>
    <t>Shae__MS3_00002824</t>
  </si>
  <si>
    <t>LIG_SH2_SFK_2:3-9:FEYTDVV | LIG_SH2_SFK_2:15-21:LGYTTVK | LIG_SH2_SFK_2:70-76:LTYSEVK | LIG_SH2_SFK_2:116-122:IYYSGLQ | LIG_SH2_SFK_2:459-466:MEYAALGE | LIG_SH2_SFK_2:486-492:YSYQIVT | LIG_SH2_SFK_2:611-617:SLYEILL | LIG_SH3_2:682-687:PPKPPK | LIG_SH2_SFK_2:1049-1055:SMYSLIT | LIG_SH2_SFK_2:1090-1097:TLYTTVYE</t>
  </si>
  <si>
    <t>PF00069;PF07714; PF03623</t>
  </si>
  <si>
    <t>OG0001596</t>
  </si>
  <si>
    <t>Hsap__GeneID_2185, Hsap__GeneID_5747, Hsap__GeneID_84197</t>
  </si>
  <si>
    <t>Cele__WBGene00002213</t>
  </si>
  <si>
    <t>STKc_MAPK15-like[cd07852]:6-358</t>
  </si>
  <si>
    <t>Shae__MS3_00002992</t>
  </si>
  <si>
    <t>OG0000623</t>
  </si>
  <si>
    <t>Hsap__GeneID_225689</t>
  </si>
  <si>
    <t>Cele__WBGene00015478</t>
  </si>
  <si>
    <t>SPS1[COG0515]:28-297</t>
  </si>
  <si>
    <t>Shae__MS3_00003104</t>
  </si>
  <si>
    <t>LIG_SH2_SFK_2:35-42:NVYLGVWE | LIG_SH2_SFK_2:111-117:VHYNLVN</t>
  </si>
  <si>
    <t>OG0006356</t>
  </si>
  <si>
    <t>LIG_SH3_4</t>
  </si>
  <si>
    <t>LIG_SH3_4:56-63:KPLAQKEL</t>
  </si>
  <si>
    <t>PF00018</t>
  </si>
  <si>
    <t>Reference SRC linker-class screen; positions are not transferred from human SRC.</t>
  </si>
  <si>
    <t>LIM[cd08368]:320-356;LIM[pfam00412]:365-421</t>
  </si>
  <si>
    <t>Shae__MS3_00003129</t>
  </si>
  <si>
    <t>OG0007396</t>
  </si>
  <si>
    <t>PTPc[smart00194]:33-297</t>
  </si>
  <si>
    <t>Mitochondrion</t>
  </si>
  <si>
    <t>Shae__MS3_00003183</t>
  </si>
  <si>
    <t>284-299</t>
  </si>
  <si>
    <t>LIG_SH3_2; LIG_SH3_1</t>
  </si>
  <si>
    <t>LIG_SH3_2:94-99:PEVPSR | LIG_SH3_1:140-146:RCHPYFP</t>
  </si>
  <si>
    <t>PF00018;PF07653;PF14604; PF00018</t>
  </si>
  <si>
    <t>Generic SH3 ligand; noncatalytic homology still required.; Generic SH3 ligand; does not distinguish PTP-PEST from other phosphatases.</t>
  </si>
  <si>
    <t>OG0000089</t>
  </si>
  <si>
    <t>Hsap__GeneID_5770, Hsap__GeneID_5771</t>
  </si>
  <si>
    <t>Cele__WBGene00008661, Cele__WBGene00009492, Cele__WBGene00010636, Cele__WBGene00011918, Cele__WBGene00015026, Cele__WBGene00015331, Cele__WBGene00015929, Cele__WBGene00016382, Cele__WBGene00016942, Cele__WBGene00018124, Cele__WBGene00018525, Cele__WBGene00018526, Cele__WBGene00018530, Cele__WBGene00018531, Cele__WBGene00020116, Cele__WBGene00020117, Cele__WBGene00020841, Cele__WBGene00021435, Cele__WBGene00021702, Cele__WBGene00022110, Cele__WBGene00022709, Cele__WBGene00022753</t>
  </si>
  <si>
    <t>Hsap__GeneID_26095, Hsap__GeneID_26191, Hsap__GeneID_26469, Hsap__GeneID_5770, Hsap__GeneID_5771, Hsap__GeneID_5780, Hsap__GeneID_5782</t>
  </si>
  <si>
    <t>S_TKc[smart00220]:57-316</t>
  </si>
  <si>
    <t>Shae__MS3_00003185</t>
  </si>
  <si>
    <t>OG0007405</t>
  </si>
  <si>
    <t>S_TKc[smart00220]:45-302</t>
  </si>
  <si>
    <t>Shae__MS3_00003218</t>
  </si>
  <si>
    <t>OG0007410</t>
  </si>
  <si>
    <t>FERM_F0_kindlins[cd17095]:36-115;B41[smart00295]:280-376;PH[smart00233]:505-627</t>
  </si>
  <si>
    <t>Shae__MS3_00003235</t>
  </si>
  <si>
    <t>OG0001696</t>
  </si>
  <si>
    <t>Hsap__GeneID_10979, Hsap__GeneID_55612, Hsap__GeneID_83706</t>
  </si>
  <si>
    <t>Cele__WBGene00006836</t>
  </si>
  <si>
    <t>STKc_CK1[cd14016]:17-285</t>
  </si>
  <si>
    <t>Shae__MS3_00003290</t>
  </si>
  <si>
    <t>OG0000463</t>
  </si>
  <si>
    <t>Hsap__GeneID_122011, Hsap__GeneID_1452</t>
  </si>
  <si>
    <t>Cele__WBGene00002202</t>
  </si>
  <si>
    <t>SH2[smart00252]:388-476;PK_Tyr_Ser-Thr[pfam07714]:507-786</t>
  </si>
  <si>
    <t>Shae__MS3_00003343</t>
  </si>
  <si>
    <t>558-569;602-617</t>
  </si>
  <si>
    <t>OG0007426</t>
  </si>
  <si>
    <t>STKc_CaMKII[cd14086]:10-301;YybH[COG4319]:377-502</t>
  </si>
  <si>
    <t>Shae__MS3_00003383</t>
  </si>
  <si>
    <t>OG0001263</t>
  </si>
  <si>
    <t>Hsap__GeneID_815, Hsap__GeneID_816, Hsap__GeneID_817, Hsap__GeneID_818</t>
  </si>
  <si>
    <t>Cele__WBGene00006779</t>
  </si>
  <si>
    <t>C1_cPKC_rpt1[cd20833]:43-100;C1_cPKC_rpt2[cd20836]:109-162;C2_PKC_alpha_gamma[cd04026]:166-297;STKc_cPKC[cd05587]:352-671</t>
  </si>
  <si>
    <t>Shae__MS3_00003400</t>
  </si>
  <si>
    <t>LIG_SH3_4:625-632:KPRIKNKR</t>
  </si>
  <si>
    <t>OG0000927</t>
  </si>
  <si>
    <t>Hsap__GeneID_5578, Hsap__GeneID_5579, Hsap__GeneID_5582</t>
  </si>
  <si>
    <t>Cele__WBGene00004033</t>
  </si>
  <si>
    <t>STKc_MAK_like[cd07830]:4-284</t>
  </si>
  <si>
    <t>Shae__MS3_00003535</t>
  </si>
  <si>
    <t>59-70;182-193</t>
  </si>
  <si>
    <t>LIG_SH3_4:505-512:KPPSKKMT</t>
  </si>
  <si>
    <t>OG0002169</t>
  </si>
  <si>
    <t>Hsap__GeneID_22858, Hsap__GeneID_4117</t>
  </si>
  <si>
    <t>Cele__WBGene00001121</t>
  </si>
  <si>
    <t>STKc_CDK9[cd07865]:31-339</t>
  </si>
  <si>
    <t>Shae__MS3_00003544</t>
  </si>
  <si>
    <t>LIG_SH3_4:39-46:KPVDQYVR</t>
  </si>
  <si>
    <t>LIM1_FHL[cd09343]:44-102;LIM[smart00132]:108-161;LIM[smart00132]:169-220;LIM4_FHL[cd09347]:229-284</t>
  </si>
  <si>
    <t>Shae__MS3_00003616</t>
  </si>
  <si>
    <t>S_TKc[smart00220]:43-297</t>
  </si>
  <si>
    <t>Shae__MS3_00003633</t>
  </si>
  <si>
    <t>LIG_SH2_SFK_2:113-121:EVYLFLGLE | LIG_SH2_SFK_2:157-166:LHYLDLIYRD | LIG_SH2_SFK_2:227-233:LIYEMVA</t>
  </si>
  <si>
    <t>MOD_NMyristoyl:1-7:MGNSHAA</t>
  </si>
  <si>
    <t>STKc_Nek6_7[cd08224]:128-390</t>
  </si>
  <si>
    <t>Shae__MS3_00003724</t>
  </si>
  <si>
    <t>LIG_SH2_SFK_2:7-16:YEYEVIIPPE | LIG_SH2_SFK_2:17-23:GGYVSLE | LIG_SH2_SFK_2:307-314:QGYDFASD | LIG_SH2_SFK_2:321-327:LLYEMAA | LIG_SH2_SFK_2:349-357:GDYAPLPKE</t>
  </si>
  <si>
    <t>OG0002018</t>
  </si>
  <si>
    <t>Hsap__GeneID_10783, Hsap__GeneID_140609</t>
  </si>
  <si>
    <t>Cele__WBGene00008956</t>
  </si>
  <si>
    <t>C1_cPKC_nPKC_rpt1[cd20792]:32-84;C1_cPKC_rpt2[cd20836]:97-150;C2_PKC_alpha_gamma[cd04026]:154-284;STKc_cPKC[cd05587]:336-655</t>
  </si>
  <si>
    <t>Shae__MS3_00003923</t>
  </si>
  <si>
    <t>LIG_SH2_SFK_2:75-81:YQYVAFK | LIG_SH2_SFK_2:278-284:GEYYSIP | LIG_SH2_SFK_2:292-300:PPYAEISSE | LIG_SH2_SFK_2:299-308:SEYESQFKGD | LIG_SH2_SFK_2:496-502:PDYIAPE | LIG_SH2_SFK_2:521-527:LLYEMLA</t>
  </si>
  <si>
    <t>PF00130; PF00069;PF07714</t>
  </si>
  <si>
    <t>PKc_CLK[cd14134]:224-550</t>
  </si>
  <si>
    <t>Shae__MS3_00003948</t>
  </si>
  <si>
    <t>OG0000668</t>
  </si>
  <si>
    <t>Hsap__GeneID_1195, Hsap__GeneID_1196, Hsap__GeneID_1198, Hsap__GeneID_57396</t>
  </si>
  <si>
    <t>Cele__WBGene00006517</t>
  </si>
  <si>
    <t>EGF_Lam[cd00055]:430-473;EGF_Lam[cd00055]:487-540;EGF_Lam[cd00055]:549-599</t>
  </si>
  <si>
    <t>SP; SP 1-16; no TM</t>
  </si>
  <si>
    <t>SP (p=0.999654); CS 16-17 (Pr=0.9758)</t>
  </si>
  <si>
    <t>Shae__MS3_00003962</t>
  </si>
  <si>
    <t>1-16</t>
  </si>
  <si>
    <t>OG0000998</t>
  </si>
  <si>
    <t>Hsap__GeneID_4917, Hsap__GeneID_9423</t>
  </si>
  <si>
    <t>Cele__WBGene00006746</t>
  </si>
  <si>
    <t>STKc_Aurora[cd14007]:14-237</t>
  </si>
  <si>
    <t>Shae__MS3_00004019</t>
  </si>
  <si>
    <t>OG0001526</t>
  </si>
  <si>
    <t>Hsap__GeneID_6790, Hsap__GeneID_6795, Hsap__GeneID_9212</t>
  </si>
  <si>
    <t>Cele__WBGene00000099</t>
  </si>
  <si>
    <t>SH3_Src_like[cd11845]:133-184;SH2[pfam00017]:196-279;PTKc_Src_like[cd05034]:324-571</t>
  </si>
  <si>
    <t>Shae__MS3_00004068</t>
  </si>
  <si>
    <t>LIG_SH2_SFK_2:207-216:EHYLQLPGND | LIG_SH2_SFK_2:544-551:ELYDLMLE</t>
  </si>
  <si>
    <t>PF00017; PF00069;PF07714</t>
  </si>
  <si>
    <t>OG0002016</t>
  </si>
  <si>
    <t>Hsap__GeneID_2444</t>
  </si>
  <si>
    <t>Cele__WBGene00005078</t>
  </si>
  <si>
    <t>EGF_Lam[cd00055]:351-415;EGF_Lam[cd00055]:424-478;Laminin_EGF[pfam00053]:488-526;NTR[pfam01759]:583-705</t>
  </si>
  <si>
    <t>SP; SP 1-21; no TM</t>
  </si>
  <si>
    <t>SP (p=0.999820); CS 21-22 (Pr=0.9580)</t>
  </si>
  <si>
    <t>Shae__MS3_00004070</t>
  </si>
  <si>
    <t>1-21</t>
  </si>
  <si>
    <t>S_TKc[smart00220]:179-430</t>
  </si>
  <si>
    <t>Shae__MS3_00004076</t>
  </si>
  <si>
    <t>OG0003849</t>
  </si>
  <si>
    <t>Hsap__GeneID_167359</t>
  </si>
  <si>
    <t>Cele__WBGene00009867</t>
  </si>
  <si>
    <t>STKc_MST3_like[cd06609]:29-300</t>
  </si>
  <si>
    <t>Shae__MS3_00004152</t>
  </si>
  <si>
    <t>LIG_SH3_4:340-347:KPGQKKKH</t>
  </si>
  <si>
    <t>OG0001483</t>
  </si>
  <si>
    <t>Hsap__GeneID_10494, Hsap__GeneID_51765, Hsap__GeneID_8428</t>
  </si>
  <si>
    <t>Cele__WBGene00001526</t>
  </si>
  <si>
    <t>PB1_aPKC[cd06404]:9-91;C1_aPKC[cd20794]:123-177;S_TKc[smart00220]:333-601</t>
  </si>
  <si>
    <t>Shae__MS3_00004315</t>
  </si>
  <si>
    <t>OG0002251</t>
  </si>
  <si>
    <t>Hsap__GeneID_5584, Hsap__GeneID_5590</t>
  </si>
  <si>
    <t>Cele__WBGene00004034</t>
  </si>
  <si>
    <t>Cofilin_ADF[pfam00241]:11-126</t>
  </si>
  <si>
    <t>Shae__MS3_00004398</t>
  </si>
  <si>
    <t>OG0000527</t>
  </si>
  <si>
    <t>Hsap__GeneID_1072, Hsap__GeneID_1073, Hsap__GeneID_11034, Hsap__GeneID_729454</t>
  </si>
  <si>
    <t>Cele__WBGene00006794</t>
  </si>
  <si>
    <t>CAP_ED[cd00038]:231-338;CAP_ED[cd00038]:349-461;STKc_cGK[cd05572]:524-785;S_TK_X[smart00133]:780-810</t>
  </si>
  <si>
    <t>Shae__MS3_00004405</t>
  </si>
  <si>
    <t>OG0000357</t>
  </si>
  <si>
    <t>Hsap__GeneID_5593</t>
  </si>
  <si>
    <t>Cele__WBGene00001173</t>
  </si>
  <si>
    <t>Hsap__GeneID_5592, Hsap__GeneID_5593</t>
  </si>
  <si>
    <t>Laminin_N[pfam00055]:5-198;EGF_Lam[cd00055]:199-250;EGF_Lam[cd00055]:261-316;EGF_Lam[smart00180]:319-365;Laminin_EGF[pfam00053]:368-418;EGF_Lam[cd00055]:557-598;Laminin_EGF[pfam00053]:662-705;Laminin_EGF[pfam00053]:726-779;EGF_Lam[cd00055]:781-829;EGF_Lam[cd00055]:830-877</t>
  </si>
  <si>
    <t>OTHER (p=0.999994)</t>
  </si>
  <si>
    <t>Shae__MS3_00004459</t>
  </si>
  <si>
    <t>OG0002674</t>
  </si>
  <si>
    <t>Hsap__GeneID_10319, Hsap__GeneID_3915</t>
  </si>
  <si>
    <t>Cele__WBGene00016913</t>
  </si>
  <si>
    <t>S_TKc[smart00220]:56-325</t>
  </si>
  <si>
    <t>OTHER (p=0.999998)</t>
  </si>
  <si>
    <t>Shae__MS3_00004470</t>
  </si>
  <si>
    <t>OG0007635</t>
  </si>
  <si>
    <t>ASKHA_NBD_actin[cd10224]:7-371</t>
  </si>
  <si>
    <t>Shae__MS3_00004525</t>
  </si>
  <si>
    <t>OG0000174</t>
  </si>
  <si>
    <t>Hsap__GeneID_105375817, Hsap__GeneID_58, Hsap__GeneID_59, Hsap__GeneID_70, Hsap__GeneID_72</t>
  </si>
  <si>
    <t>Cele__WBGene00000063, Cele__WBGene00000064, Cele__WBGene00000065, Cele__WBGene00000066</t>
  </si>
  <si>
    <t>STKc_MST1_2[cd06612]:13-268;SARAH_MST_Hpo[cd21884]:558-602</t>
  </si>
  <si>
    <t>Shae__MS3_00004635</t>
  </si>
  <si>
    <t>LIG_SH2_SFK_2:561-567:LSYTELE</t>
  </si>
  <si>
    <t>OG0001484</t>
  </si>
  <si>
    <t>Hsap__GeneID_6788, Hsap__GeneID_6789</t>
  </si>
  <si>
    <t>Cele__WBGene00016038, Cele__WBGene00017472</t>
  </si>
  <si>
    <t>S_TKc[smart00220]:192-485</t>
  </si>
  <si>
    <t>Shae__MS3_00004657</t>
  </si>
  <si>
    <t>LIG_SH3_4:228-235:KPIVKTQI</t>
  </si>
  <si>
    <t>OG0002229</t>
  </si>
  <si>
    <t>Hsap__GeneID_5604, Hsap__GeneID_5605</t>
  </si>
  <si>
    <t>Cele__WBGene00003186</t>
  </si>
  <si>
    <t>ASKHA_NBD_Arp1[cd10216]:9-373</t>
  </si>
  <si>
    <t>Shae__MS3_00004774</t>
  </si>
  <si>
    <t>OG0001971</t>
  </si>
  <si>
    <t>Hsap__GeneID_10120, Hsap__GeneID_10121</t>
  </si>
  <si>
    <t>Cele__WBGene00013168</t>
  </si>
  <si>
    <t>S_TKc[smart00220]:83-366</t>
  </si>
  <si>
    <t>OTHER (p=0.999992)</t>
  </si>
  <si>
    <t>Shae__MS3_00005021</t>
  </si>
  <si>
    <t>LIG_SH3_1; LIG_SH3_2; LIG_SH2_SFK_2</t>
  </si>
  <si>
    <t>LIG_SH3_1:9-15:RPAPHRP | LIG_SH3_2:12-17:PHRPFR | LIG_SH2_SFK_2:146-153:ESYLNFEE | LIG_SH2_SFK_2:153-159:EIYFLFE | LIG_SH2_SFK_2:183-189:FVYQILR | LIG_SH2_SFK_2:523-529:ANYNSFI</t>
  </si>
  <si>
    <t>PF00018; PF00018;PF07653;PF14604; IPR000980;PF00017</t>
  </si>
  <si>
    <t>Generic SH3 ligand candidate; not FAK identity or binding evidence.; Generic SH3 ligand candidate; review position and accessibility.; Phosphotyrosine-dependent ligand candidate; phosphorylation and Y397 correspondence cannot be inferred.</t>
  </si>
  <si>
    <t>OG0003338</t>
  </si>
  <si>
    <t>Hsap__GeneID_51701</t>
  </si>
  <si>
    <t>Cele__WBGene00003048</t>
  </si>
  <si>
    <t>FN3[cd00063]:21-60;TyrKc[smart00219]:574-867</t>
  </si>
  <si>
    <t>TM; TM 509-529 (O→I)</t>
  </si>
  <si>
    <t>OTHER (p=0.999991)</t>
  </si>
  <si>
    <t>Shae__MS3_00005028</t>
  </si>
  <si>
    <t>502-531;707-723</t>
  </si>
  <si>
    <t>LIG_SH2_SFK_2:257-263:TEYLFVI | LIG_SH2_SFK_2:288-295:NNYNVIVE | LIG_SH2_SFK_2:467-473:GVYEFQI | LIG_SH2_SFK_2:507-513:HYYILVI | LIG_SH2_SFK_2:859-865:TFYEILS</t>
  </si>
  <si>
    <t>OG0000761</t>
  </si>
  <si>
    <t>Hsap__GeneID_3480, Hsap__GeneID_3643, Hsap__GeneID_3645</t>
  </si>
  <si>
    <t>Cele__WBGene00000898</t>
  </si>
  <si>
    <t>PH_PKB[cd01241]:104-209;STKc_PKB[cd05571]:248-569</t>
  </si>
  <si>
    <t>Shae__MS3_00005037</t>
  </si>
  <si>
    <t>OG0000906</t>
  </si>
  <si>
    <t>Hsap__GeneID_10000, Hsap__GeneID_207, Hsap__GeneID_208</t>
  </si>
  <si>
    <t>Cele__WBGene00000102, Cele__WBGene00000103, Cele__WBGene00004115</t>
  </si>
  <si>
    <t>ADF_cofilin_like[cd11286]:236-377</t>
  </si>
  <si>
    <t>Shae__MS3_00005166</t>
  </si>
  <si>
    <t>OG0000122</t>
  </si>
  <si>
    <t>STKc_Aurora[cd14007]:49-302</t>
  </si>
  <si>
    <t>Shae__MS3_00005180</t>
  </si>
  <si>
    <t>OG0005022</t>
  </si>
  <si>
    <t>Cele__WBGene00000098</t>
  </si>
  <si>
    <t>ADF_Twf-N_like[cd11285]:4-142;Cofilin_ADF[pfam00241]:192-309</t>
  </si>
  <si>
    <t>Shae__MS3_00005251</t>
  </si>
  <si>
    <t>OG0002712</t>
  </si>
  <si>
    <t>Hsap__GeneID_11344, Hsap__GeneID_5756</t>
  </si>
  <si>
    <t>Cele__WBGene00018187</t>
  </si>
  <si>
    <t>STKc_MLCK-like[cd14006]:25-278</t>
  </si>
  <si>
    <t>Shae__MS3_00005260</t>
  </si>
  <si>
    <t>OG0000628</t>
  </si>
  <si>
    <t>Hsap__GeneID_1612, Hsap__GeneID_1613, Hsap__GeneID_23604</t>
  </si>
  <si>
    <t>Cele__WBGene00003400</t>
  </si>
  <si>
    <t>Hsap__GeneID_1612, Hsap__GeneID_1613, Hsap__GeneID_23604, Hsap__GeneID_9262, Hsap__GeneID_9263</t>
  </si>
  <si>
    <t>I_LWEQ[pfam01608]:983-1127</t>
  </si>
  <si>
    <t>OTHER (p=0.999996)</t>
  </si>
  <si>
    <t>Shae__MS3_00005288</t>
  </si>
  <si>
    <t>OG0001678</t>
  </si>
  <si>
    <t>Hsap__GeneID_3092, Hsap__GeneID_9026</t>
  </si>
  <si>
    <t>Cele__WBGene00006484, Cele__WBGene00022717</t>
  </si>
  <si>
    <t>Y_phosphatase[pfam00102]:571-805</t>
  </si>
  <si>
    <t>Cell membrane|Lysosome/Vacuole</t>
  </si>
  <si>
    <t>SP+TM; SP 1-23; TM 445-465 (O→I)</t>
  </si>
  <si>
    <t>SP (p=0.999856); CS 23-24 (Pr=0.9800)</t>
  </si>
  <si>
    <t>Shae__MS3_00005371</t>
  </si>
  <si>
    <t>1-23</t>
  </si>
  <si>
    <t>440-466</t>
  </si>
  <si>
    <t>OG0001591</t>
  </si>
  <si>
    <t>Hsap__GeneID_389075, Hsap__GeneID_5798, Hsap__GeneID_5799</t>
  </si>
  <si>
    <t>Cele__WBGene00002048</t>
  </si>
  <si>
    <t>S_TKc[smart00220]:318-612</t>
  </si>
  <si>
    <t>Shae__MS3_00005382</t>
  </si>
  <si>
    <t>LIG_SH3_2; LIG_SH2_SFK_2</t>
  </si>
  <si>
    <t>LIG_SH3_2:183-188:PPEPSK | LIG_SH2_SFK_2:559-565:PFYSTIK</t>
  </si>
  <si>
    <t>PF00018;PF07653;PF14604; IPR000980;PF00017</t>
  </si>
  <si>
    <t>Generic SH3 ligand candidate; review position and accessibility.; Phosphotyrosine-dependent ligand candidate; phosphorylation and Y397 correspondence cannot be inferred.</t>
  </si>
  <si>
    <t>OG0002382</t>
  </si>
  <si>
    <t>Hsap__GeneID_51755, Hsap__GeneID_8621</t>
  </si>
  <si>
    <t>Cele__WBGene00007135</t>
  </si>
  <si>
    <t>PKc_DYRK2_3[cd14224]:176-555</t>
  </si>
  <si>
    <t>Shae__MS3_00005586</t>
  </si>
  <si>
    <t>LIG_SH3_4:614-621:KPFGKVQS</t>
  </si>
  <si>
    <t>OG0000561</t>
  </si>
  <si>
    <t>Hsap__GeneID_8444, Hsap__GeneID_8445</t>
  </si>
  <si>
    <t>Cele__WBGene00003150</t>
  </si>
  <si>
    <t>Hsap__GeneID_8444, Hsap__GeneID_8445, Hsap__GeneID_8798</t>
  </si>
  <si>
    <t>RGS[smart00315]:59-174;STKc_GRK4_like[cd05605]:189-474</t>
  </si>
  <si>
    <t>OTHER (p=0.999975)</t>
  </si>
  <si>
    <t>Shae__MS3_00005588</t>
  </si>
  <si>
    <t>OG0001584</t>
  </si>
  <si>
    <t>Hsap__GeneID_2868, Hsap__GeneID_2869, Hsap__GeneID_2870</t>
  </si>
  <si>
    <t>Cele__WBGene00001708</t>
  </si>
  <si>
    <t>Collagen[pfam01391]:341-397;Collagen[pfam01391]:527-582;Collagen[pfam01391]:861-917</t>
  </si>
  <si>
    <t>SP; SP 1-24; no TM</t>
  </si>
  <si>
    <t>SP (p=0.999804); CS 24-25 (Pr=0.9832)</t>
  </si>
  <si>
    <t>Shae__MS3_00005610</t>
  </si>
  <si>
    <t>1-24</t>
  </si>
  <si>
    <t>OG0007795</t>
  </si>
  <si>
    <t>Collagen[pfam01391]:66-121;Collagen[pfam01391]:159-215;Collagen[pfam01391]:591-645;Collagen[pfam01391]:882-936</t>
  </si>
  <si>
    <t>Shae__MS3_00005611</t>
  </si>
  <si>
    <t>OG0000449</t>
  </si>
  <si>
    <t>Hsap__GeneID_1277, Hsap__GeneID_1278, Hsap__GeneID_1280, Hsap__GeneID_1281, Hsap__GeneID_1290</t>
  </si>
  <si>
    <t>ANKYR[COG0666]:4-169</t>
  </si>
  <si>
    <t>Shae__MS3_00005632</t>
  </si>
  <si>
    <t>OG0003414</t>
  </si>
  <si>
    <t>Hsap__GeneID_3611</t>
  </si>
  <si>
    <t>Cele__WBGene00003931</t>
  </si>
  <si>
    <t>CH_dFLNA-like_rpt1[cd21311]:20-143;CH[smart00033]:162-254;IG_FLMN[smart00557]:271-367;IG_FLMN[smart00557]:372-466;IG_FLMN[smart00557]:504-597;IG_FLMN[smart00557]:601-688;IG_FLMN[smart00557]:695-790;IG_FLMN[smart00557]:793-885;IG_FLMN[smart00557]:890-984;IG_FLMN[smart00557]:1012-1102;IG_FLMN[smart00557]:1110-1206;IG_FLMN[smart00557]:1209-1296;IG_FLMN[smart00557]:1302-1398;IG_FLMN[smart00557]:1401-1498;IG_FLMN[smart00557]:1512-1586;IG_FLMN[smart00557]:1645-1697;IG_FLMN[smart00557]:1705-1791;IG_FLMN[smart00557]:1883-1972;IG_FLMN[smart00557]:2076-2161;Filamin[pfam00630]:2191-2261;IG_FLMN[smart00557]:2272-2358;IG_FLMN[smart00557]:2393-2482</t>
  </si>
  <si>
    <t>Shae__MS3_00005799</t>
  </si>
  <si>
    <t>242-253</t>
  </si>
  <si>
    <t>OG0000860</t>
  </si>
  <si>
    <t>Hsap__GeneID_2316, Hsap__GeneID_2317, Hsap__GeneID_2318</t>
  </si>
  <si>
    <t>Cele__WBGene00022048</t>
  </si>
  <si>
    <t>No CDD domain hit</t>
  </si>
  <si>
    <t>SP+TM; SP 1-35; TM 1292-1312 (O→I)</t>
  </si>
  <si>
    <t>SP (p=0.666489); CS 35-36 (Pr=0.6441)</t>
  </si>
  <si>
    <t>Shae__MS3_00006013</t>
  </si>
  <si>
    <t>GO:0031090</t>
  </si>
  <si>
    <t>C:organelle membrane</t>
  </si>
  <si>
    <t>1289-1313</t>
  </si>
  <si>
    <t>OG0007856</t>
  </si>
  <si>
    <t>S_TKc[smart00220]:63-362</t>
  </si>
  <si>
    <t>Shae__MS3_00006076</t>
  </si>
  <si>
    <t>OG0000879</t>
  </si>
  <si>
    <t>Hsap__GeneID_26472, Hsap__GeneID_3984, Hsap__GeneID_3985, Hsap__GeneID_81706</t>
  </si>
  <si>
    <t>Hsap__GeneID_26472, Hsap__GeneID_3984, Hsap__GeneID_3985, Hsap__GeneID_81706, Hsap__GeneID_94274</t>
  </si>
  <si>
    <t>RT_nLTR_like[cd01650]:1-219;CH_SPTB-like_rpt1[cd21246]:296-412;CH_SPTB_like_rpt2[cd21248]:429-533;SPEC[smart00150]:682-781;SPEC[cd00176]:785-1004;Spectrin[pfam00435]:1005-1109;SPEC[smart00150]:1114-1214;SPEC[cd00176]:1218-1429;SPEC[smart00150]:1434-1534;SPEC[cd00176]:1538-1748;SPEC[cd00176]:1753-1965;SPEC[cd00176]:1966-2177;SPEC[cd00176]:2179-2368;PH_beta_spectrin[cd10571]:2437-2544</t>
  </si>
  <si>
    <t>Shae__MS3_00006229</t>
  </si>
  <si>
    <t>520-531</t>
  </si>
  <si>
    <t>OG0006263</t>
  </si>
  <si>
    <t>STKc_CaMKI[cd14083]:8-283</t>
  </si>
  <si>
    <t>Shae__MS3_00006308</t>
  </si>
  <si>
    <t>OG0000757</t>
  </si>
  <si>
    <t>Hsap__GeneID_57118, Hsap__GeneID_8536</t>
  </si>
  <si>
    <t>Cele__WBGene00000553</t>
  </si>
  <si>
    <t>Hsap__GeneID_57118, Hsap__GeneID_8536, Hsap__GeneID_85443</t>
  </si>
  <si>
    <t>STKc_ULK1_2-like[cd14120]:15-276</t>
  </si>
  <si>
    <t>Shae__MS3_00006313</t>
  </si>
  <si>
    <t>LIG_SH3_1; LIG_SH2_SFK_2; LIG_SH3_2</t>
  </si>
  <si>
    <t>LIG_SH3_1:29-35:KNNPEEP | LIG_SH2_SFK_2:209-215:IVYQCLT | LIG_SH3_2:301-306:PALPSR | LIG_SH2_SFK_2:326-334:GPYYLAPQD | LIG_SH2_SFK_2:411-417:NNYDDPG | LIG_SH3_2:502-507:PSVPTR | LIG_SH2_SFK_2:542-550:EDYVIVNSD</t>
  </si>
  <si>
    <t>PF00018; IPR000980;PF00017; PF00018;PF07653;PF14604</t>
  </si>
  <si>
    <t>Generic SH3 ligand candidate; not FAK identity or binding evidence.; Phosphotyrosine-dependent ligand candidate; phosphorylation and Y397 correspondence cannot be inferred.; Generic SH3 ligand candidate; review position and accessibility.</t>
  </si>
  <si>
    <t>OG0002360</t>
  </si>
  <si>
    <t>Hsap__GeneID_8408, Hsap__GeneID_9706</t>
  </si>
  <si>
    <t>Cele__WBGene00006786</t>
  </si>
  <si>
    <t>PDZ_ZASP52-like[cd23068]:4-84;LIM[pfam00412]:234-285;LIM[cd08368]:293-344;LIM[smart00132]:352-404</t>
  </si>
  <si>
    <t>Shae__MS3_00006333</t>
  </si>
  <si>
    <t>OG0000951</t>
  </si>
  <si>
    <t>Hsap__GeneID_10611, Hsap__GeneID_11155, Hsap__GeneID_9260</t>
  </si>
  <si>
    <t>Cele__WBGene00001132, Cele__WBGene00004112, Cele__WBGene00014262</t>
  </si>
  <si>
    <t>PTKc[cd00192]:461-737</t>
  </si>
  <si>
    <t>TM; TM 301-323 (O→I)</t>
  </si>
  <si>
    <t>Shae__MS3_00006334</t>
  </si>
  <si>
    <t>299-323</t>
  </si>
  <si>
    <t>LIG_SH2_SFK_2:72-78:LSYELFN | LIG_SH2_SFK_2:130-137:YPYNYVSD | LIG_SH2_SFK_2:154-160:NNYEEPD | LIG_SH2_SFK_2:275-281:GEYSTLM | LIG_SH2_SFK_2:305-311:LPYFLLF | LIG_SH2_SFK_2:342-351:IEYYEFTTGD</t>
  </si>
  <si>
    <t>OG0000952</t>
  </si>
  <si>
    <t>Hsap__GeneID_2260, Hsap__GeneID_2261, Hsap__GeneID_2263, Hsap__GeneID_2264</t>
  </si>
  <si>
    <t>Cele__WBGene00001184, Cele__WBGene00020106</t>
  </si>
  <si>
    <t>RING-HC_PML_C-V[cd16579]:23-77;zf-B_box[pfam00643]:109-144;IG_FLMN[smart00557]:440-506;YncE[COG3391]:515-656</t>
  </si>
  <si>
    <t>Cytoplasm|Lysosome/Vacuole</t>
  </si>
  <si>
    <t>OTHER (p=0.999993)</t>
  </si>
  <si>
    <t>Shae__MS3_00006521</t>
  </si>
  <si>
    <t>OG0003379</t>
  </si>
  <si>
    <t>Hsap__GeneID_220441</t>
  </si>
  <si>
    <t>Cele__WBGene00003599</t>
  </si>
  <si>
    <t>PK_Tyr_Ser-Thr[pfam07714]:289-571</t>
  </si>
  <si>
    <t>Shae__MS3_00006556</t>
  </si>
  <si>
    <t>OG0003336</t>
  </si>
  <si>
    <t>Hsap__GeneID_6259</t>
  </si>
  <si>
    <t>Cele__WBGene00003007</t>
  </si>
  <si>
    <t>STKc_p38[cd07851]:11-362</t>
  </si>
  <si>
    <t>Shae__MS3_00006560</t>
  </si>
  <si>
    <t>OG0001226</t>
  </si>
  <si>
    <t>Hsap__GeneID_1432, Hsap__GeneID_5600, Hsap__GeneID_6300</t>
  </si>
  <si>
    <t>Cele__WBGene00004055, Cele__WBGene00004056</t>
  </si>
  <si>
    <t>ADF_GMF-beta_like[cd11283]:8-129</t>
  </si>
  <si>
    <t>Shae__MS3_00006566</t>
  </si>
  <si>
    <t>OG0004591</t>
  </si>
  <si>
    <t>Hsap__GeneID_2764, Hsap__GeneID_9535</t>
  </si>
  <si>
    <t>Cele__WBGene00021758</t>
  </si>
  <si>
    <t>CH_ACTN_rpt1[cd21214]:26-130;CH_ACTN_rpt2[cd21216]:134-248;SPEC[cd00176]:393-623;Spectrin[pfam00435]:628-722;EFh[cd00051]:748-830</t>
  </si>
  <si>
    <t>Shae__MS3_00006657</t>
  </si>
  <si>
    <t>117-137</t>
  </si>
  <si>
    <t>OG0000638</t>
  </si>
  <si>
    <t>Hsap__GeneID_81, Hsap__GeneID_87, Hsap__GeneID_88, Hsap__GeneID_89</t>
  </si>
  <si>
    <t>Cele__WBGene00000228</t>
  </si>
  <si>
    <t>SH3_Abl[cd11850]:57-116;SH2[smart00252]:165-248;PK_Tyr_Ser-Thr[pfam07714]:283-535</t>
  </si>
  <si>
    <t>Shae__MS3_00006730</t>
  </si>
  <si>
    <t>MOD_NMyristoyl; LIG_SH3_4</t>
  </si>
  <si>
    <t>MOD_NMyristoyl:1-7:MGAQHTK | LIG_SH3_4:1044-1051:KPHFKRSE</t>
  </si>
  <si>
    <t>terminal_window_only; sequence_only</t>
  </si>
  <si>
    <t>PF02799; PF00018</t>
  </si>
  <si>
    <t>N-terminal myristoylation-compatible sequence only; modification is unverified and not universal to all SFKs.; Reference SRC linker-class screen; positions are not transferred from human SRC.</t>
  </si>
  <si>
    <t>OG0000937</t>
  </si>
  <si>
    <t>Hsap__GeneID_25, Hsap__GeneID_27</t>
  </si>
  <si>
    <t>Cele__WBGene00000018</t>
  </si>
  <si>
    <t>MobB_Trc-like[cd21780]:73-137;STKc_NDR_like[cd05599]:140-493</t>
  </si>
  <si>
    <t>Shae__MS3_00006767</t>
  </si>
  <si>
    <t>LIG_SH2_SFK_2:7-13:HPYSNLS | LIG_SH2_SFK_2:82-88:YYYDNLI | LIG_SH2_SFK_2:164-170:NGYIYAM | LIG_SH2_SFK_2:331-340:LAYSTVGTPD | LIG_SH2_SFK_2:339-345:PDYIAPE | LIG_SH2_SFK_2:364-370:IMYEMLI</t>
  </si>
  <si>
    <t>PF00069;PF07714; PF00069</t>
  </si>
  <si>
    <t>OG0000662</t>
  </si>
  <si>
    <t>Hsap__GeneID_11329, Hsap__GeneID_23012</t>
  </si>
  <si>
    <t>Cele__WBGene00004727</t>
  </si>
  <si>
    <t>Hsap__GeneID_11329, Hsap__GeneID_23012, Hsap__GeneID_26524, Hsap__GeneID_9113</t>
  </si>
  <si>
    <t>CH_ACTN_rpt1[cd21214]:78-181;CH_ACTN_rpt2[cd21216]:185-299;SPEC[cd00176]:444-672;EF-hand_7[pfam13499]:798-867;EFhand_Ca_insen[pfam08726]:873-939</t>
  </si>
  <si>
    <t>OTHER (p=0.999989)</t>
  </si>
  <si>
    <t>Shae__MS3_00006934</t>
  </si>
  <si>
    <t>non-specific|Vinculin[pfam01044]:3-1078</t>
  </si>
  <si>
    <t>Shae__MS3_00007047</t>
  </si>
  <si>
    <t>OG0003242</t>
  </si>
  <si>
    <t>Hsap__GeneID_7414</t>
  </si>
  <si>
    <t>Cele__WBGene00000942</t>
  </si>
  <si>
    <t>S_TKc[smart00220]:78-336</t>
  </si>
  <si>
    <t>Shae__MS3_00007109</t>
  </si>
  <si>
    <t>LIG_SH3_4:610-617:KPSSKNST</t>
  </si>
  <si>
    <t>OG0000924</t>
  </si>
  <si>
    <t>Hsap__GeneID_6198, Hsap__GeneID_6199</t>
  </si>
  <si>
    <t>Cele__WBGene00012929, Cele__WBGene00044281</t>
  </si>
  <si>
    <t>IG_like[smart00410]:40-87;STYKc[smart00221]:585-882</t>
  </si>
  <si>
    <t>SP+TM; SP 1-24; TM 419-440 (O→I)</t>
  </si>
  <si>
    <t>SP (p=0.999887); CS 26-27 (Pr=0.8252)</t>
  </si>
  <si>
    <t>Shae__MS3_00007112</t>
  </si>
  <si>
    <t>416-435;649-660;723-737</t>
  </si>
  <si>
    <t>LIG_SH2_SFK_2:141-147:EFYEFVM | LIG_SH2_SFK_2:153-159:ACYFYVR | LIG_SH2_SFK_2:302-308:TNYTEFR | LIG_SH2_SFK_2:663-669:HLYILLE | LIG_SH2_SFK_2:699-705:SSYVIVK | LIG_SH2_SFK_2:887-894:SSYDDPKE</t>
  </si>
  <si>
    <t>OG0008056</t>
  </si>
  <si>
    <t>LIG_SH3_4:479-486:KPEHKLLL</t>
  </si>
  <si>
    <t>FHA_CHK2[cd22666]:27-135;S_TKc[smart00220]:152-419</t>
  </si>
  <si>
    <t>Shae__MS3_00007174</t>
  </si>
  <si>
    <t>OG0002133</t>
  </si>
  <si>
    <t>Hsap__GeneID_11200</t>
  </si>
  <si>
    <t>Cele__WBGene00000499, Cele__WBGene00011612</t>
  </si>
  <si>
    <t>SH2[smart00252]:63-124;ANKYR[COG0666]:160-346;SH2[smart00252]:345-437;TyrKc[smart00219]:572-822</t>
  </si>
  <si>
    <t>Shae__MS3_00007266</t>
  </si>
  <si>
    <t>LIG_SH3_2:44-49:PRMPVR | LIG_SH2_SFK_2:831-840:NVYENVEPPE</t>
  </si>
  <si>
    <t>OG0008075</t>
  </si>
  <si>
    <t>TFP_LU_ECD_BMPR2_like[cd23533]:1-85;STKc_ACVR2[cd14053]:256-574</t>
  </si>
  <si>
    <t>TM; TM 142-163 (O→I)</t>
  </si>
  <si>
    <t>OTHER (p=0.999984)</t>
  </si>
  <si>
    <t>Shae__MS3_00007339</t>
  </si>
  <si>
    <t>137-165</t>
  </si>
  <si>
    <t>LIG_SH3_4:776-783:KPNQQSKT</t>
  </si>
  <si>
    <t>OG0001134</t>
  </si>
  <si>
    <t>Hsap__GeneID_659, Hsap__GeneID_7048, Hsap__GeneID_92, Hsap__GeneID_93</t>
  </si>
  <si>
    <t>Cele__WBGene00000900</t>
  </si>
  <si>
    <t>non-specific|Vinculin[pfam01044]:13-923</t>
  </si>
  <si>
    <t>Shae__MS3_00007343</t>
  </si>
  <si>
    <t>LIG_EVH1_1</t>
  </si>
  <si>
    <t>LIG_EVH1_1:651-655:LPSPP</t>
  </si>
  <si>
    <t>PF00568</t>
  </si>
  <si>
    <t>Candidate EVH1 ligand; proline-rich context/accessibility required, not vinculin identity.</t>
  </si>
  <si>
    <t>OG0001585</t>
  </si>
  <si>
    <t>Hsap__GeneID_1495, Hsap__GeneID_1496, Hsap__GeneID_29119</t>
  </si>
  <si>
    <t>Cele__WBGene00001978</t>
  </si>
  <si>
    <t>Collagen[pfam01391]:287-343;Collagen[pfam01391]:590-645;Collagen[pfam01391]:811-865</t>
  </si>
  <si>
    <t>SP; SP 1-38; no TM</t>
  </si>
  <si>
    <t>SP (p=0.999753); CS 38-39 (Pr=0.9804)</t>
  </si>
  <si>
    <t>Shae__MS3_00007363</t>
  </si>
  <si>
    <t>12-33</t>
  </si>
  <si>
    <t>LIG_Integrin_collagen_1:937-942:GLPGER</t>
  </si>
  <si>
    <t>non-specific|ASKHA_NBD_Arp8-like[cd10206]:10-607</t>
  </si>
  <si>
    <t>Shae__MS3_00007411</t>
  </si>
  <si>
    <t>OG0007038</t>
  </si>
  <si>
    <t>Hsap__GeneID_93973</t>
  </si>
  <si>
    <t>ASKHA_NBD_Arp10[cd10207]:15-390</t>
  </si>
  <si>
    <t>Shae__MS3_00007430</t>
  </si>
  <si>
    <t>OG0004294</t>
  </si>
  <si>
    <t>Hsap__GeneID_55860</t>
  </si>
  <si>
    <t>Cele__WBGene00016793</t>
  </si>
  <si>
    <t>Homeodomain[pfam00046]:57-113;S_TKc[smart00220]:370-620</t>
  </si>
  <si>
    <t>Shae__MS3_00007449</t>
  </si>
  <si>
    <t>LIG_SH2_SFK_2:213-219:NNYQLIE | LIG_SH2_SFK_2:295-301:NSYYLQD | LIG_SH2_SFK_2:383-389:VLYVALH | LIG_SH2_SFK_2:439-446:THYYLVLE | LIG_SH2_SFK_2:440-446:HYYLVLE | LIG_SH2_SFK_2:454-461:FDYILQKE | LIG_SH2_SFK_2:529-535:FAYVAPE | LIG_SH2_SFK_2:555-561:ILYALLC | LIG_SH3_2:565-570:PFDPTK | LIG_SH2_SFK_2:669-675:YDYIMAT | LIG_SH2_SFK_2:880-886:TAYSSLS | LIG_SH2_SFK_2:1018-1027:LVYVSARALE | LIG_SH2_SFK_2:1097-1103:FMYTSLC</t>
  </si>
  <si>
    <t>OG0004540</t>
  </si>
  <si>
    <t>Hsap__GeneID_9833</t>
  </si>
  <si>
    <t>Cele__WBGene00021012</t>
  </si>
  <si>
    <t>ADF_drebrin_like[cd11281]:2-131;SH3_Cortactin_like[cd11819]:453-505</t>
  </si>
  <si>
    <t>Shae__MS3_00007496</t>
  </si>
  <si>
    <t>OG0001327</t>
  </si>
  <si>
    <t>Hsap__GeneID_1627, Hsap__GeneID_28988</t>
  </si>
  <si>
    <t>Cele__WBGene00010664</t>
  </si>
  <si>
    <t>Hsap__GeneID_1627, Hsap__GeneID_23406, Hsap__GeneID_28988</t>
  </si>
  <si>
    <t>STKc_MAPKAPK[cd14089]:17-279</t>
  </si>
  <si>
    <t>Shae__MS3_00007604</t>
  </si>
  <si>
    <t>OG0002375</t>
  </si>
  <si>
    <t>Hsap__GeneID_7867, Hsap__GeneID_9261</t>
  </si>
  <si>
    <t>Cele__WBGene00007007</t>
  </si>
  <si>
    <t>S_TKc[smart00220]:7-263;MIT[pfam04212]:274-338</t>
  </si>
  <si>
    <t>Shae__MS3_00007688</t>
  </si>
  <si>
    <t>OG0005751</t>
  </si>
  <si>
    <t>Hsap__GeneID_25989</t>
  </si>
  <si>
    <t>ASKHA_NBD_Arp6[cd10210]:5-407</t>
  </si>
  <si>
    <t>Shae__MS3_00007700</t>
  </si>
  <si>
    <t>OG0003661</t>
  </si>
  <si>
    <t>Hsap__GeneID_64431</t>
  </si>
  <si>
    <t>Cele__WBGene00007434</t>
  </si>
  <si>
    <t>Collagen[pfam01391]:35-86;Collagen[pfam01391]:167-223;Collagen[pfam01391]:368-422;Collagen[pfam01391]:609-664;Collagen[pfam01391]:845-895</t>
  </si>
  <si>
    <t>Cytoplasm|Extracellular</t>
  </si>
  <si>
    <t>Shae__MS3_00007701</t>
  </si>
  <si>
    <t>LIG_Integrin_collagen_1:122-127:GRPGER | LIG_Integrin_collagen_1:167-172:GRPGER</t>
  </si>
  <si>
    <t>Int_alpha[smart00191]:308-359;Int_alpha[smart00191]:400-449;Int_alpha[smart00191]:463-501</t>
  </si>
  <si>
    <t>SP+TM; SP 1-28; TM 1177-1197 (O→I)</t>
  </si>
  <si>
    <t>SP (p=0.999680); CS 28-29 (Pr=0.9526)</t>
  </si>
  <si>
    <t>Shae__MS3_00007742</t>
  </si>
  <si>
    <t>3-23;977-988;1173-1198</t>
  </si>
  <si>
    <t>OG0000910</t>
  </si>
  <si>
    <t>Hsap__GeneID_3655, Hsap__GeneID_3675, Hsap__GeneID_3676, Hsap__GeneID_3679, Hsap__GeneID_3680</t>
  </si>
  <si>
    <t>Cele__WBGene00002081</t>
  </si>
  <si>
    <t>NHL_TRIM2_like[cd14960]:400-671</t>
  </si>
  <si>
    <t>Shae__MS3_00007880</t>
  </si>
  <si>
    <t>OG0000399</t>
  </si>
  <si>
    <t>Hsap__GeneID_10612, Hsap__GeneID_23321, Hsap__GeneID_387921</t>
  </si>
  <si>
    <t>Cele__WBGene00003026</t>
  </si>
  <si>
    <t>Hsap__GeneID_10612, Hsap__GeneID_131405, Hsap__GeneID_23321, Hsap__GeneID_387921, Hsap__GeneID_80263, Hsap__GeneID_81844</t>
  </si>
  <si>
    <t>CH_dFLNA-like_rpt1[cd21311]:23-146;CH_FLN_rpt2[cd21230]:165-266;IG_FLMN[smart00557]:278-373;IG_FLMN[smart00557]:378-475;IG_FLMN[smart00557]:479-573;IG_FLMN[smart00557]:577-658;IG_FLMN[smart00557]:671-774;Filamin[pfam00630]:778-872;IG_FLMN[smart00557]:884-977;IG_FLMN[smart00557]:980-1070;IG_FLMN[smart00557]:1076-1177;IG_FLMN[smart00557]:1183-1297;IG_FLMN[smart00557]:1507-1594;IG_FLMN[smart00557]:1686-1775;IG_FLMN[smart00557]:1879-1969;IG_FLMN[smart00557]:2100-2190;IG_FLMN[smart00557]:2234-2323</t>
  </si>
  <si>
    <t>Shae__MS3_00007970</t>
  </si>
  <si>
    <t>126-143</t>
  </si>
  <si>
    <t>GS[smart00467]:275-304;STKc_TGFbR1_ACVR1b_ACVR1c[cd14143]:308-599</t>
  </si>
  <si>
    <t>TM; TM 136-158 (O→I)</t>
  </si>
  <si>
    <t>OTHER (p=0.829911)</t>
  </si>
  <si>
    <t>Shae__MS3_00008020</t>
  </si>
  <si>
    <t>133-158</t>
  </si>
  <si>
    <t>LIG_SH2_SFK_2:154-160:TFYFLLR | LIG_SH2_SFK_2:346-352:DIYQTVM | LIG_SH2_SFK_2:386-392:SLYEFLQ | LIG_SH2_SFK_2:529-538:LPYQDLVSAD | LIG_SH2_SFK_2:721-727:ILYSSLL</t>
  </si>
  <si>
    <t>OG0004988</t>
  </si>
  <si>
    <t>Cele__WBGene00004860</t>
  </si>
  <si>
    <t>ANKYR[COG0666]:12-186;zf-MYND[pfam01753]:340-383</t>
  </si>
  <si>
    <t>Shae__MS3_00008061</t>
  </si>
  <si>
    <t>122-133</t>
  </si>
  <si>
    <t>OG0000948</t>
  </si>
  <si>
    <t>Hsap__GeneID_148741, Hsap__GeneID_170961, Hsap__GeneID_26064, Hsap__GeneID_55075, Hsap__GeneID_57037</t>
  </si>
  <si>
    <t>Cele__WBGene00000917</t>
  </si>
  <si>
    <t>ASKHA_NBD_Arp4_ACTL6-like[cd13395]:3-400</t>
  </si>
  <si>
    <t>Shae__MS3_00008174</t>
  </si>
  <si>
    <t>OG0002843</t>
  </si>
  <si>
    <t>Hsap__GeneID_51412, Hsap__GeneID_86</t>
  </si>
  <si>
    <t>Cele__WBGene00022774</t>
  </si>
  <si>
    <t>STKc_ERK1_2_like[cd07849]:14-346</t>
  </si>
  <si>
    <t>Shae__MS3_00008190</t>
  </si>
  <si>
    <t>OG0002002</t>
  </si>
  <si>
    <t>Hsap__GeneID_5603</t>
  </si>
  <si>
    <t>Cele__WBGene00003402, Cele__WBGene00017277</t>
  </si>
  <si>
    <t>CH[pfam00307]:57-161;CH_SPTB_like_rpt2[cd21248]:181-285;Spectrin[pfam00435]:315-420;SPEC[cd00176]:434-646;SPEC[cd00176]:657-871;SPEC[cd00176]:1033-1254;SPEC[cd00176]:1258-1458;SPEC[cd00176]:1702-1928;SPEC[cd00176]:1931-2157;PH[smart00233]:2518-2616</t>
  </si>
  <si>
    <t>Shae__MS3_00008194</t>
  </si>
  <si>
    <t>OG0000004</t>
  </si>
  <si>
    <t>Hsap__GeneID_27238</t>
  </si>
  <si>
    <t>Cele__WBGene00011237</t>
  </si>
  <si>
    <t>ASKHA_NBD_actin_Arp-T1-3[cd13397]:10-371</t>
  </si>
  <si>
    <t>Shae__MS3_00008246</t>
  </si>
  <si>
    <t>OG0001972</t>
  </si>
  <si>
    <t>Hsap__GeneID_102723382, Hsap__GeneID_105379417</t>
  </si>
  <si>
    <t>Cele__WBGene00000067</t>
  </si>
  <si>
    <t>ACTIN[smart00268]:8-370</t>
  </si>
  <si>
    <t>Shae__MS3_00008247</t>
  </si>
  <si>
    <t>OG0008229</t>
  </si>
  <si>
    <t>ANKYR[COG0666]:21-144</t>
  </si>
  <si>
    <t>Shae__MS3_00008251</t>
  </si>
  <si>
    <t>OG0001547</t>
  </si>
  <si>
    <t>Hsap__GeneID_23294, Hsap__GeneID_51454, Hsap__GeneID_56899</t>
  </si>
  <si>
    <t>Cele__WBGene00000420</t>
  </si>
  <si>
    <t>LIM[smart00132]:100-152;LIM2_Ajuba_like[cd09355]:165-217;LIM[smart00132]:225-268</t>
  </si>
  <si>
    <t>Shae__MS3_00008284</t>
  </si>
  <si>
    <t>OG0000802</t>
  </si>
  <si>
    <t>Hsap__GeneID_126374, Hsap__GeneID_4026, Hsap__GeneID_7205, Hsap__GeneID_7791, Hsap__GeneID_84962, Hsap__GeneID_8994</t>
  </si>
  <si>
    <t>Cele__WBGene00006999</t>
  </si>
  <si>
    <t>STKc_CDK5[cd07839]:8-292</t>
  </si>
  <si>
    <t>Shae__MS3_00008566</t>
  </si>
  <si>
    <t>OG0001507</t>
  </si>
  <si>
    <t>Hsap__GeneID_1020, Hsap__GeneID_5218, Hsap__GeneID_65061</t>
  </si>
  <si>
    <t>Cele__WBGene00000407</t>
  </si>
  <si>
    <t>S_TKc[smart00220]:47-304</t>
  </si>
  <si>
    <t>Shae__MS3_00008601</t>
  </si>
  <si>
    <t>97-108;241-252</t>
  </si>
  <si>
    <t>LIG_SH2_SFK_2:18-24:ASYNNLG | LIG_SH2_SFK_2:115-121:GIYEVLL | LIG_SH2_SFK_2:252-261:ICYFNLPFGD | LIG_SH2_SFK_2:287-294:IGYILCVD | LIG_SH2_SFK_2:441-447:FSYSNIL | LIG_SH2_SFK_2:517-523:IEYTSVG</t>
  </si>
  <si>
    <t>OG0002302</t>
  </si>
  <si>
    <t>Hsap__GeneID_22848, Hsap__GeneID_55589</t>
  </si>
  <si>
    <t>Cele__WBGene00004762</t>
  </si>
  <si>
    <t>STKc_CK1_delta_epsilon[cd14125]:8-282</t>
  </si>
  <si>
    <t>Shae__MS3_00008614</t>
  </si>
  <si>
    <t>OG0001490</t>
  </si>
  <si>
    <t>Hsap__GeneID_102800317, Hsap__GeneID_1453, Hsap__GeneID_1454</t>
  </si>
  <si>
    <t>Cele__WBGene00002203</t>
  </si>
  <si>
    <t>ASKHA_NBD_actin[cd10224]:1-355</t>
  </si>
  <si>
    <t>Shae__MS3_00008660</t>
  </si>
  <si>
    <t>Shae__MS3_00008661</t>
  </si>
  <si>
    <t>CYCc[smart00044]:262-453</t>
  </si>
  <si>
    <t>Shae__MS3_00008672</t>
  </si>
  <si>
    <t>OG0000351</t>
  </si>
  <si>
    <t>Hsap__GeneID_2986, Hsap__GeneID_3000</t>
  </si>
  <si>
    <t>Cele__WBGene00001533, Cele__WBGene00001534, Cele__WBGene00001539, Cele__WBGene00001540, Cele__WBGene00001542, Cele__WBGene00001545, Cele__WBGene00001547</t>
  </si>
  <si>
    <t>S_TKc[smart00220]:36-292</t>
  </si>
  <si>
    <t>Shae__MS3_00008673</t>
  </si>
  <si>
    <t>S_TKc[smart00220]:12-300</t>
  </si>
  <si>
    <t>Shae__MS3_00008679</t>
  </si>
  <si>
    <t>OG0002124</t>
  </si>
  <si>
    <t>Hsap__GeneID_1018, Hsap__GeneID_983</t>
  </si>
  <si>
    <t>Cele__WBGene00000405</t>
  </si>
  <si>
    <t>STKc_PKA[cd14209]:97-385</t>
  </si>
  <si>
    <t>Shae__MS3_00008682</t>
  </si>
  <si>
    <t>CAP_ED[cd00038]:139-240;CAP_ED[cd00038]:258-380;STKc_cGK[cd05572]:411-671</t>
  </si>
  <si>
    <t>Shae__MS3_00008685</t>
  </si>
  <si>
    <t>LIG_SH2_SFK_2:246-252:NDYITFL | LIG_SH2_SFK_2:293-299:NFYIIAD | LIG_SH2_SFK_2:364-372:ESYSLLIAD | LIG_SH2_SFK_2:478-484:YVYLLLE | LIG_SH2_SFK_2:507-515:QFYVACVVE</t>
  </si>
  <si>
    <t>Hsap__GeneID_5592</t>
  </si>
  <si>
    <t>LIG_SH3_4:394-401:KPEFQNLQ</t>
  </si>
  <si>
    <t>SH3_Src_like[cd11845]:338-386;SH2[pfam00017]:414-497;PTKc_Src_like[cd05034]:543-789</t>
  </si>
  <si>
    <t>Shae__MS3_00008738</t>
  </si>
  <si>
    <t>MOD_NMyristoyl:1-7:MGNCAGK</t>
  </si>
  <si>
    <t>OG0000467</t>
  </si>
  <si>
    <t>Hsap__GeneID_2268, Hsap__GeneID_2534, Hsap__GeneID_3055, Hsap__GeneID_4067, Hsap__GeneID_6714, Hsap__GeneID_7525</t>
  </si>
  <si>
    <t>Cele__WBGene00005077</t>
  </si>
  <si>
    <t>Shae__MS3_00008744</t>
  </si>
  <si>
    <t>ASKHA_NBD_actin[cd10224]:9-373</t>
  </si>
  <si>
    <t>Shae__MS3_00008746</t>
  </si>
  <si>
    <t>EGF_Lam[cd00055]:319-367;EGF_Lam[cd00055]:442-497;Laminin_B[pfam00052]:640-824;EGF_Lam[cd00055]:890-933;EGF_Lam[cd00055]:1000-1046;EGF_Lam[smart00180]:1048-1092;EGF_Lam[smart00180]:1095-1144;EGF_Lam[smart00180]:1147-1192;EGF_Lam[smart00180]:1212-1246;EGF_Lam[smart00180]:1255-1288;Laminin_EGF[pfam00053]:1295-1346;Laminin_EGF[pfam00053]:1344-1401;EGF_Lam[cd00055]:1706-1752;EGF_Lam[cd00055]:1779-1809;EGF_Lam[cd00055]:1810-1859</t>
  </si>
  <si>
    <t>SP; SP 1-20; no TM</t>
  </si>
  <si>
    <t>SP (p=0.999867); CS 20-21 (Pr=0.9756)</t>
  </si>
  <si>
    <t>Shae__MS3_00008957</t>
  </si>
  <si>
    <t>1-20</t>
  </si>
  <si>
    <t>OG0001213</t>
  </si>
  <si>
    <t>Hsap__GeneID_284217, Hsap__GeneID_3908</t>
  </si>
  <si>
    <t>Cele__WBGene00002248</t>
  </si>
  <si>
    <t>S_TKc[smart00220]:56-351</t>
  </si>
  <si>
    <t>Shae__MS3_00008971</t>
  </si>
  <si>
    <t>OG0002039</t>
  </si>
  <si>
    <t>Hsap__GeneID_6416</t>
  </si>
  <si>
    <t>Cele__WBGene00003368, Cele__WBGene00012162</t>
  </si>
  <si>
    <t>ANKYR[COG0666]:10-207;Ank_2[pfam12796]:234-295</t>
  </si>
  <si>
    <t>Shae__MS3_00008988</t>
  </si>
  <si>
    <t>OG0008354</t>
  </si>
  <si>
    <t>PTPc[cd00047]:8-177</t>
  </si>
  <si>
    <t>Cytoplasm|Mitochondrion</t>
  </si>
  <si>
    <t>Shae__MS3_00009095</t>
  </si>
  <si>
    <t>OG0004572</t>
  </si>
  <si>
    <t>Hsap__GeneID_5795</t>
  </si>
  <si>
    <t>Cele__WBGene00021507</t>
  </si>
  <si>
    <t>ANKYR[COG0666]:55-208</t>
  </si>
  <si>
    <t>Shae__MS3_00009134</t>
  </si>
  <si>
    <t>OG0002421</t>
  </si>
  <si>
    <t>Hsap__GeneID_54851</t>
  </si>
  <si>
    <t>Cele__WBGene00007985, Cele__WBGene00017831</t>
  </si>
  <si>
    <t>SH3_Src_like[cd11845]:116-167;SH2_Src_family[cd09933]:175-278;PTKc_Src_like[cd05034]:308-554</t>
  </si>
  <si>
    <t>Shae__MS3_00009264</t>
  </si>
  <si>
    <t>FERM_B-lobe[cd14473]:398-433</t>
  </si>
  <si>
    <t>Shae__MS3_00009375</t>
  </si>
  <si>
    <t>OG0008413</t>
  </si>
  <si>
    <t>TM; TM 177-197 (I→O)</t>
  </si>
  <si>
    <t>Shae__MS3_00009432</t>
  </si>
  <si>
    <t>182-193</t>
  </si>
  <si>
    <t>OG0008427</t>
  </si>
  <si>
    <t>SH3[smart00326]:13-69;SH2[cd00173]:82-200;PK_Tyr_Ser-Thr[pfam07714]:238-571</t>
  </si>
  <si>
    <t>Shae__MS3_00009653</t>
  </si>
  <si>
    <t>OG0002145</t>
  </si>
  <si>
    <t>Hsap__GeneID_1445, Hsap__GeneID_4145</t>
  </si>
  <si>
    <t>Cele__WBGene00000812</t>
  </si>
  <si>
    <t>STKc_GSK3[cd14137]:157-450</t>
  </si>
  <si>
    <t>Shae__MS3_00009666</t>
  </si>
  <si>
    <t>LIG_SH2_SFK_2:45-51:PDYVSQY | LIG_SH2_SFK_2:49-55:SQYLVFL | LIG_SH2_SFK_2:216-222:SLYYYFY | LIG_SH2_SFK_2:231-239:ETYLNLIQE | LIG_SH2_SFK_2:238-244:QEYIPQT | LIG_SH2_SFK_2:392-398:PHYSEFK</t>
  </si>
  <si>
    <t>SH2_Fps_family[cd10361]:830-952;PK_Tyr_Ser-Thr[pfam07714]:976-1226</t>
  </si>
  <si>
    <t>Shae__MS3_00009762</t>
  </si>
  <si>
    <t>1071-1087</t>
  </si>
  <si>
    <t>OG0000736</t>
  </si>
  <si>
    <t>Hsap__GeneID_2241, Hsap__GeneID_2242</t>
  </si>
  <si>
    <t>Cele__WBGene00001487, Cele__WBGene00002198, Cele__WBGene00020659</t>
  </si>
  <si>
    <t>Integrin_beta[pfam00362]:133-390;EGF_2[pfam07974]:623-645;Integrin_b_cyt[pfam08725]:820-860</t>
  </si>
  <si>
    <t>SP+TM; SP 1-25; TM 794-816 (O→I)</t>
  </si>
  <si>
    <t>SP (p=0.999845); CS 25-26 (Pr=0.9776)</t>
  </si>
  <si>
    <t>Shae__MS3_00009865</t>
  </si>
  <si>
    <t>793-823</t>
  </si>
  <si>
    <t>LIG_PTB_Apo_2; LIG_PTB_Phospho_1</t>
  </si>
  <si>
    <t>LIG_PTB_Apo_2:122-129:MMVNFTFQ | LIG_PTB_Phospho_1:634-640:CFCNSGY | LIG_PTB_Apo_2:634-641:CFCNSGYT | LIG_PTB_Apo_2:842-849:MAENPIFE | LIG_PTB_Apo_2:854-861:NVLNPTFE</t>
  </si>
  <si>
    <t>outside_expected_window; terminal_window_only</t>
  </si>
  <si>
    <t>PF08725</t>
  </si>
  <si>
    <t>PF00640;PF02174; PF00640;PF02174;PF08416;PF10480</t>
  </si>
  <si>
    <t>Generic phosphorylation-independent PTB-ligand class; compatible sequence is not specific talin/kindlin binding proof.; Phosphorylation-dependent PTB-ligand candidate; phosphorylation is not assessed.</t>
  </si>
  <si>
    <t>OG0000657</t>
  </si>
  <si>
    <t>Hsap__GeneID_3688, Hsap__GeneID_3689, Hsap__GeneID_3690, Hsap__GeneID_3693, Hsap__GeneID_3694, Hsap__GeneID_3695, Hsap__GeneID_9358</t>
  </si>
  <si>
    <t>Cele__WBGene00003930</t>
  </si>
  <si>
    <t>Int_alpha[smart00191]:350-424;Int_alpha[smart00191]:455-513</t>
  </si>
  <si>
    <t>SP+TM; SP 1-19; TM 1314-1336 (O→I)</t>
  </si>
  <si>
    <t>SP (p=0.999717); CS 19-20 (Pr=0.9839)</t>
  </si>
  <si>
    <t>Shae__MS3_00009872</t>
  </si>
  <si>
    <t>1311-1336</t>
  </si>
  <si>
    <t>OG0001146</t>
  </si>
  <si>
    <t>Hsap__GeneID_3674, Hsap__GeneID_3678, Hsap__GeneID_3685, Hsap__GeneID_8516</t>
  </si>
  <si>
    <t>Cele__WBGene00003929</t>
  </si>
  <si>
    <t>Collagen[pfam01391]:549-605;Collagen[pfam01391]:951-1007;Collagen[pfam01391]:1257-1312</t>
  </si>
  <si>
    <t>SP; SP 1-36; no TM</t>
  </si>
  <si>
    <t>SP (p=0.938264); CS 36-37 (Pr=0.8920)</t>
  </si>
  <si>
    <t>Shae__MS3_00010057</t>
  </si>
  <si>
    <t>12-34</t>
  </si>
  <si>
    <t>LIG_Integrin_collagen_1:1227-1232:GLPGER</t>
  </si>
  <si>
    <t>OG0008542</t>
  </si>
  <si>
    <t>Collagen[pfam01391]:71-126;Collagen[pfam01391]:549-604;Collagen[pfam01391]:845-901;Collagen[pfam01391]:990-1041;Collagen[pfam01391]:1299-1355;C4[pfam01413]:1546-1652;C4[pfam01413]:1656-1769</t>
  </si>
  <si>
    <t>SP (p=0.999783); CS 36-37 (Pr=0.9785)</t>
  </si>
  <si>
    <t>Shae__MS3_00010191</t>
  </si>
  <si>
    <t>LIG_Integrin_collagen_1:750-755:GFPGEK</t>
  </si>
  <si>
    <t>region_supported</t>
  </si>
  <si>
    <t>STYKc[smart00221]:113-430</t>
  </si>
  <si>
    <t>TM; TM 4-26 (O→I)</t>
  </si>
  <si>
    <t>Shae__MS3_00010367</t>
  </si>
  <si>
    <t>3-27</t>
  </si>
  <si>
    <t>LIG_SH2_SFK_2; LIG_SH3_1; LIG_SH3_2</t>
  </si>
  <si>
    <t>LIG_SH2_SFK_2:5-11:LTYSLLS | LIG_SH3_1:333-339:RNEPKLP | LIG_SH3_2:336-341:PKLPVR | LIG_SH2_SFK_2:404-410:ELYNQLL</t>
  </si>
  <si>
    <t>IPR000980;PF00017; PF00018; PF00018;PF07653;PF14604</t>
  </si>
  <si>
    <t>Phosphotyrosine-dependent ligand candidate; phosphorylation and Y397 correspondence cannot be inferred.; Generic SH3 ligand candidate; not FAK identity or binding evidence.; Generic SH3 ligand candidate; review position and accessibility.</t>
  </si>
  <si>
    <t>OG0004825</t>
  </si>
  <si>
    <t>Hsap__GeneID_238, Hsap__GeneID_4058</t>
  </si>
  <si>
    <t>S_TKc[smart00220]:60-304;S_TKc[smart00220]:460-691</t>
  </si>
  <si>
    <t>Shae__MS3_00010396</t>
  </si>
  <si>
    <t>OG0006348</t>
  </si>
  <si>
    <t>LIM1_PINCH[cd09331]:44-102;LIM[smart00132]:105-155;LIM4_PINCH[cd09334]:226-279</t>
  </si>
  <si>
    <t>Shae__MS3_00010441</t>
  </si>
  <si>
    <t>OG0008599</t>
  </si>
  <si>
    <t>CH[pfam00307]:26-109;CH[pfam00307]:156-258;SPEC[cd00176]:592-759;SPEC[smart00150]:9165-9270;SPEC[cd00176]:9687-9867;SPEC[cd00176]:11019-11206;SPEC[cd00176]:11893-12144;SPEC[cd00176]:12258-12475;SPEC[cd00176]:12481-12723;FRQ1[COG5126]:12983-13050;GAS2[pfam02187]:13075-13142</t>
  </si>
  <si>
    <t>Shae__MS3_00010478</t>
  </si>
  <si>
    <t>94-110;183-194</t>
  </si>
  <si>
    <t>OG0000394</t>
  </si>
  <si>
    <t>Hsap__GeneID_1832, Hsap__GeneID_23499, Hsap__GeneID_5339, Hsap__GeneID_667, Hsap__GeneID_83481</t>
  </si>
  <si>
    <t>Cele__WBGene00000819, Cele__WBGene00000821, Cele__WBGene00006876, Cele__WBGene00017078, Cele__WBGene00019792</t>
  </si>
  <si>
    <t>STKc_MLCK[cd14103]:46-294</t>
  </si>
  <si>
    <t>Shae__MS3_00010577</t>
  </si>
  <si>
    <t>OG0001138</t>
  </si>
  <si>
    <t>Hsap__GeneID_340156, Hsap__GeneID_4638, Hsap__GeneID_85366, Hsap__GeneID_91807</t>
  </si>
  <si>
    <t>Cele__WBGene00013869</t>
  </si>
  <si>
    <t>S_TKc[smart00220]:34-323</t>
  </si>
  <si>
    <t>Shae__MS3_00010729</t>
  </si>
  <si>
    <t>106-117</t>
  </si>
  <si>
    <t>OG0002001</t>
  </si>
  <si>
    <t>Hsap__GeneID_5594, Hsap__GeneID_5595</t>
  </si>
  <si>
    <t>Cele__WBGene00003401</t>
  </si>
  <si>
    <t>ASKHA_NBD_Arp2[cd10220]:9-391</t>
  </si>
  <si>
    <t>Shae__MS3_00010803</t>
  </si>
  <si>
    <t>OG0003170</t>
  </si>
  <si>
    <t>Hsap__GeneID_10097</t>
  </si>
  <si>
    <t>Cele__WBGene00000200</t>
  </si>
  <si>
    <t>CRIB_PAK_like[cd01093]:16-61;STKc_PAK[cd06614]:196-444</t>
  </si>
  <si>
    <t>Shae__MS3_00010929</t>
  </si>
  <si>
    <t>LIG_SH3_4:404-411:KPRPKTKN</t>
  </si>
  <si>
    <t>OG0000666</t>
  </si>
  <si>
    <t>Hsap__GeneID_10298, Hsap__GeneID_106821730, Hsap__GeneID_56924, Hsap__GeneID_57144</t>
  </si>
  <si>
    <t>Cele__WBGene00006443</t>
  </si>
  <si>
    <t>PTPc[smart00194]:31-302</t>
  </si>
  <si>
    <t>Shae__MS3_00011141</t>
  </si>
  <si>
    <t>Hsap__GeneID_26095</t>
  </si>
  <si>
    <t>ASKHA_NBD_Arp3-like[cd10221]:7-413</t>
  </si>
  <si>
    <t>Shae__MS3_00011163</t>
  </si>
  <si>
    <t>OG0002108</t>
  </si>
  <si>
    <t>Hsap__GeneID_10096, Hsap__GeneID_57180</t>
  </si>
  <si>
    <t>Cele__WBGene00000199</t>
  </si>
  <si>
    <t>Collagen[pfam01391]:536-592;Collagen[pfam01391]:941-996;Collagen[pfam01391]:1235-1290</t>
  </si>
  <si>
    <t>SP; SP 1-28; no TM</t>
  </si>
  <si>
    <t>SP (p=0.999741); CS 28-29 (Pr=0.8062)</t>
  </si>
  <si>
    <t>Sjap__EWB00_000274</t>
  </si>
  <si>
    <t>CAP_ED[cd00038]:149-250;CAP_ED[cd00038]:268-390;STKc_cGK[cd05572]:421-681</t>
  </si>
  <si>
    <t>Sjap__EWB00_000320</t>
  </si>
  <si>
    <t>LIG_SH2_SFK_2:185-191:LVYVLAE | LIG_SH2_SFK_2:256-262:NDYITFL | LIG_SH2_SFK_2:303-309:NFYIIAD | LIG_SH2_SFK_2:374-382:ESYSLLIAD | LIG_SH2_SFK_2:488-494:YLYLLLE | LIG_SH2_SFK_2:517-525:QFYVACVIE</t>
  </si>
  <si>
    <t>LIG_SH3_4:404-411:KPEFKSLQ</t>
  </si>
  <si>
    <t>Sjap__EWB00_000422</t>
  </si>
  <si>
    <t>STKc_PDK1[cd05581]:28-305;PH_PDK1[cd01262]:374-476</t>
  </si>
  <si>
    <t>Sjap__EWB00_000516</t>
  </si>
  <si>
    <t>OG0005116</t>
  </si>
  <si>
    <t>Hsap__GeneID_5170</t>
  </si>
  <si>
    <t>Cele__WBGene00003965</t>
  </si>
  <si>
    <t>S_TKc[smart00220]:62-369</t>
  </si>
  <si>
    <t>Sjap__EWB00_000751</t>
  </si>
  <si>
    <t>OG0010562</t>
  </si>
  <si>
    <t>Sjap__EWB00_000811</t>
  </si>
  <si>
    <t>C1_PKD_rpt1[cd20795]:98-150;C1_PKD_rpt2[cd20796]:266-319;PH_PKD[cd01239]:564-763;STKc_PKD[cd14082]:964-1240</t>
  </si>
  <si>
    <t>Sjap__EWB00_001036</t>
  </si>
  <si>
    <t>LIG_SH2_SFK_2:714-720:IYYVGQL | LIG_SH2_SFK_2:963-971:ALYEIFPDE | LIG_SH2_SFK_2:1174-1180:ILYVSLS</t>
  </si>
  <si>
    <t>OG0001779</t>
  </si>
  <si>
    <t>Hsap__GeneID_23683, Hsap__GeneID_25865, Hsap__GeneID_5587</t>
  </si>
  <si>
    <t>Cele__WBGene00012019</t>
  </si>
  <si>
    <t>S_TKc[smart00220]:55-319</t>
  </si>
  <si>
    <t>Sjap__EWB00_001091</t>
  </si>
  <si>
    <t>Collagen[pfam01391]:281-336;Collagen[pfam01391]:1170-1226;Collagen[pfam01391]:1339-1395;C4[pfam01413]:1531-1637;C4[pfam01413]:1642-1755</t>
  </si>
  <si>
    <t>SP (p=0.999827); CS 25-26 (Pr=0.9800)</t>
  </si>
  <si>
    <t>Sjap__EWB00_001102</t>
  </si>
  <si>
    <t>non-specific|Vinculin[pfam01044]:13-907</t>
  </si>
  <si>
    <t>Sjap__EWB00_001225</t>
  </si>
  <si>
    <t>STKc_ACVR2[cd14053]:89-406</t>
  </si>
  <si>
    <t>Sjap__EWB00_001228</t>
  </si>
  <si>
    <t>LamG[cd00110]:2-128;Collagen[pfam01391]:364-418;Collagen[pfam01391]:706-762;Collagen[pfam01391]:936-991</t>
  </si>
  <si>
    <t>Sjap__EWB00_001311</t>
  </si>
  <si>
    <t>EGF_Lam[cd00055]:342-390;EGF_Lam[cd00055]:426-464;EGF_Lam[cd00055]:465-520;Laminin_EGF[pfam00053]:523-572;Laminin_B[pfam00052]:663-843;EGF_Lam[cd00055]:907-952;EGF_Lam[cd00055]:1018-1064;Laminin_EGF[pfam00053]:1066-1115;EGF_Lam[smart00180]:1113-1162;EGF_Lam[smart00180]:1165-1210;EGF_Lam[cd00055]:1212-1265;EGF_Lam[smart00180]:1273-1306;Laminin_EGF[pfam00053]:1313-1364;Laminin_EGF[pfam00053]:1362-1419;EGF_Lam[cd00055]:1723-1769;EGF_Lam[cd00055]:1771-1826;EGF_Lam[cd00055]:1827-1876</t>
  </si>
  <si>
    <t>SP; SP 1-43; no TM</t>
  </si>
  <si>
    <t>Sjap__EWB00_001328</t>
  </si>
  <si>
    <t>20-42;2684-2695</t>
  </si>
  <si>
    <t>S_TKc[smart00220]:56-362</t>
  </si>
  <si>
    <t>Sjap__EWB00_001343</t>
  </si>
  <si>
    <t>S_TKc[smart00220]:7-262;MIT[pfam04212]:273-337</t>
  </si>
  <si>
    <t>Sjap__EWB00_001391</t>
  </si>
  <si>
    <t>ASKHA_NBD_Arp6[cd10210]:4-406</t>
  </si>
  <si>
    <t>Sjap__EWB00_001408</t>
  </si>
  <si>
    <t>PH_Btk[cd01238]:9-156;SH3[smart00326]:340-394;SH2[pfam00017]:405-466;TyrKc[smart00219]:595-830</t>
  </si>
  <si>
    <t>Sjap__EWB00_001471</t>
  </si>
  <si>
    <t>GS[smart00467]:276-305;SPS1[COG0515]:306-572</t>
  </si>
  <si>
    <t>OTHER (p=0.666736)</t>
  </si>
  <si>
    <t>Sjap__EWB00_001594</t>
  </si>
  <si>
    <t>130-157</t>
  </si>
  <si>
    <t>LIG_SH2_SFK_2; LIG_SH3_1</t>
  </si>
  <si>
    <t>LIG_SH2_SFK_2:154-160:TFYFLLR | LIG_SH3_1:213-219:KVLPPDP | LIG_SH2_SFK_2:347-353:DIYQTVM | LIG_SH2_SFK_2:387-393:SLYEFLQ | LIG_SH2_SFK_2:530-539:LPYQDLVSAD</t>
  </si>
  <si>
    <t>IPR000980;PF00017; PF00018</t>
  </si>
  <si>
    <t>Phosphotyrosine-dependent ligand candidate; phosphorylation and Y397 correspondence cannot be inferred.; Generic SH3 ligand candidate; not FAK identity or binding evidence.</t>
  </si>
  <si>
    <t>Sjap__EWB00_001618</t>
  </si>
  <si>
    <t>Sjap__EWB00_001961</t>
  </si>
  <si>
    <t>LIG_SH2_SFK_2:18-24:TSYNNLG | LIG_SH2_SFK_2:287-294:IGYILCVD | LIG_SH3_1:398-404:RPRPNCP</t>
  </si>
  <si>
    <t>FERM_F0_kindlins[cd17095]:36-115;B41[smart00295]:281-370;PH[smart00233]:507-627</t>
  </si>
  <si>
    <t>Sjap__EWB00_002103</t>
  </si>
  <si>
    <t>PTPc[smart00194]:63-351</t>
  </si>
  <si>
    <t>Sjap__EWB00_002182</t>
  </si>
  <si>
    <t>STKc_RSK_N[cd05582]:65-394;STKc_RSK_C[cd14091]:487-779</t>
  </si>
  <si>
    <t>Sjap__EWB00_002194</t>
  </si>
  <si>
    <t>EGF_Lam[cd00055]:432-475;EGF_Lam[cd00055]:489-542;EGF_Lam[cd00055]:551-601</t>
  </si>
  <si>
    <t>SP (p=0.999672); CS 19-20 (Pr=0.9424)</t>
  </si>
  <si>
    <t>Sjap__EWB00_002313</t>
  </si>
  <si>
    <t>Sjap__EWB00_002386</t>
  </si>
  <si>
    <t>255-266;369-380</t>
  </si>
  <si>
    <t>STKc_MST1_2[cd06612]:13-268;SARAH_MST_Hpo[cd21884]:531-578</t>
  </si>
  <si>
    <t>Sjap__EWB00_002413</t>
  </si>
  <si>
    <t>Sjap__EWB00_002502</t>
  </si>
  <si>
    <t>S_TKc[smart00220]:63-366</t>
  </si>
  <si>
    <t>Sjap__EWB00_002531</t>
  </si>
  <si>
    <t>Laminin_N[pfam00055]:35-268;EGF_Lam[cd00055]:269-322;Laminin_EGF[pfam00053]:334-394;Laminin_EGF[pfam00053]:397-454;EGF_Lam[cd00055]:456-506;EGF_Lam[cd00055]:508-546;EGF_Lam[smart00180]:715-760;Laminin_EGF[pfam00053]:763-811;EGF_Lam[cd00055]:808-855;EGF_Lam[cd00055]:856-907;Laminin_EGF[pfam00053]:912-966;EGF_Lam[cd00055]:963-1014;EGF_Lam[cd00055]:1015-1064;EGF_Lam[cd00055]:1065-1113;YhaN[COG4717]:1122-1600</t>
  </si>
  <si>
    <t>SP; SP 1-18; no TM</t>
  </si>
  <si>
    <t>SP (p=0.999884); CS 19-20 (Pr=0.6560)</t>
  </si>
  <si>
    <t>Sjap__EWB00_002741</t>
  </si>
  <si>
    <t>1-18</t>
  </si>
  <si>
    <t>CH_dFLNA-like_rpt1[cd21311]:24-147;CH_FLN_rpt2[cd21230]:166-267;IG_FLMN[smart00557]:279-374;IG_FLMN[smart00557]:379-477;IG_FLMN[smart00557]:573-667;IG_FLMN[smart00557]:671-752;IG_FLMN[smart00557]:765-868;Filamin[pfam00630]:872-945;IG_FLMN[smart00557]:1265-1354;IG_FLMN[smart00557]:1362-1458;IG_FLMN[smart00557]:1461-1552;IG_FLMN[smart00557]:1557-1658;IG_FLMN[smart00557]:1664-1778;IG_FLMN[smart00557]:1988-2075;IG_FLMN[smart00557]:2167-2256;IG_FLMN[smart00557]:2360-2450;IG_FLMN[smart00557]:2581-2671;IG_FLMN[smart00557]:2715-2804</t>
  </si>
  <si>
    <t>Sjap__EWB00_002775</t>
  </si>
  <si>
    <t>SPS1[COG0515]:11-226</t>
  </si>
  <si>
    <t>Sjap__EWB00_002781</t>
  </si>
  <si>
    <t>31-42;214-225</t>
  </si>
  <si>
    <t>S_TKc[smart00220]:96-348;UBA_SNRK[cd14339]:446-492</t>
  </si>
  <si>
    <t>Sjap__EWB00_002797</t>
  </si>
  <si>
    <t>Integrin_beta[pfam00362]:84-341;EGF_Lam[cd00055]:512-555;EGF_2[pfam07974]:574-596;Integrin_b_cyt[pfam08725]:772-812</t>
  </si>
  <si>
    <t>SP+TM; SP 1-27; TM 746-768 (O→I)</t>
  </si>
  <si>
    <t>OTHER (p=0.999999)</t>
  </si>
  <si>
    <t>Sjap__EWB00_002869</t>
  </si>
  <si>
    <t>746-775</t>
  </si>
  <si>
    <t>LIG_PTB_Apo_2:73-80:MIVNFTFQ | LIG_PTB_Phospho_1:585-591:CFCNSGY | LIG_PTB_Apo_2:585-592:CFCNSGYT | LIG_PTB_Phospho_1:714-720:VFFNYRY | LIG_PTB_Apo_2:714-721:VFFNYRYS | LIG_PTB_Apo_2:794-801:MAENPIFE | LIG_PTB_Apo_2:806-813:NVLNPTFE</t>
  </si>
  <si>
    <t>IG_like[smart00410]:37-87;PTKc[cd00192]:594-885</t>
  </si>
  <si>
    <t>SP+TM; SP 1-26; TM 423-444 (O→I)</t>
  </si>
  <si>
    <t>OTHER (p=0.974274)</t>
  </si>
  <si>
    <t>Sjap__EWB00_002899</t>
  </si>
  <si>
    <t>419-441;660-671;726-741</t>
  </si>
  <si>
    <t>LIG_SH2_SFK_2:153-159:SCYFYFR | LIG_SH2_SFK_2:210-218:TIYSIVGSD | LIG_SH2_SFK_2:258-266:DDYEAPNFE | LIG_SH2_SFK_2:286-293:DAYSDIND | LIG_SH2_SFK_2:306-312:TNYTQFQ | LIG_SH2_SFK_2:341-347:VWYSGLS | LIG_SH2_SFK_2:358-367:TLYESLRNNE | LIG_SH2_SFK_2:666-672:QPYILLE | LIG_SH2_SFK_2:702-708:SSYVIVS | LIG_SH2_SFK_2:829-838:TPYEGINDDE</t>
  </si>
  <si>
    <t>Int_alpha[smart00191]:50-98;Int_alpha[smart00191]:351-420;Int_alpha[smart00191]:456-514</t>
  </si>
  <si>
    <t>SP; SP 1-22; no TM</t>
  </si>
  <si>
    <t>SP (p=0.999841); CS 22-23 (Pr=0.8792)</t>
  </si>
  <si>
    <t>Sjap__EWB00_002919</t>
  </si>
  <si>
    <t>3-24</t>
  </si>
  <si>
    <t>FN3[cd00063]:155-239;STYKc[smart00221]:349-666</t>
  </si>
  <si>
    <t>TM; TM 253-262 (O→I)</t>
  </si>
  <si>
    <t>Sjap__EWB00_003063</t>
  </si>
  <si>
    <t>LIG_SH3_4:250-257:KPSNKLAD</t>
  </si>
  <si>
    <t>STKc_CaMKII[cd14086]:11-302</t>
  </si>
  <si>
    <t>Sjap__EWB00_003065</t>
  </si>
  <si>
    <t>SH3_Src_like[cd11845]:159-210;SH2[pfam00017]:222-305;PTKc_Src_like[cd05034]:350-597</t>
  </si>
  <si>
    <t>Sjap__EWB00_003104</t>
  </si>
  <si>
    <t>401-412;440-456</t>
  </si>
  <si>
    <t>LIG_SH3_2; LIG_SH3_1; LIG_SH2_SFK_2</t>
  </si>
  <si>
    <t>LIG_SH3_2:39-44:PIFPSK | LIG_SH3_1:73-79:RYQPYNP | LIG_SH2_SFK_2:233-242:EHYLQLPGND | LIG_SH2_SFK_2:570-577:ELYDLMLE</t>
  </si>
  <si>
    <t>PF00018;PF07653;PF14604; PF00018; IPR000980;PF00017</t>
  </si>
  <si>
    <t>Generic SH3 ligand candidate; review position and accessibility.; Generic SH3 ligand candidate; not FAK identity or binding evidence.; Phosphotyrosine-dependent ligand candidate; phosphorylation and Y397 correspondence cannot be inferred.</t>
  </si>
  <si>
    <t>MOD_NMyristoyl:1-7:MGNSSSS</t>
  </si>
  <si>
    <t>EGF_Lam[cd00055]:351-415;EGF_Lam[cd00055]:424-478;EGF_Lam[smart00180]:488-526;NTR[pfam01759]:583-705</t>
  </si>
  <si>
    <t>SP (p=0.999808); CS 21-22 (Pr=0.9698)</t>
  </si>
  <si>
    <t>Sjap__EWB00_003107</t>
  </si>
  <si>
    <t>S_TKc[smart00220]:178-429</t>
  </si>
  <si>
    <t>Sjap__EWB00_003114</t>
  </si>
  <si>
    <t>B41[smart00295]:58-211;FERM_C_Talin[cd10569]:207-299;talin-RS[cd12150]:1741-1912</t>
  </si>
  <si>
    <t>Sjap__EWB00_003146</t>
  </si>
  <si>
    <t>LIG_Vh1_VBS_1:725-743:VIASVTQTGLCTSQLVACT | LIG_Vh1_VBS_1:850-868:MVASARRLAQATALMIADI | LIG_Vh1_VBS_1:885-903:LFLAAKQLADATTNLINAA | LIG_Vh1_VBS_1:2168-2186:IARTARALVDDTQSLVSGT | LIG_Vh1_VBS_1:2574-2592:LLVSARSVAVSVQNLIRTA</t>
  </si>
  <si>
    <t>Sjap__EWB00_003272</t>
  </si>
  <si>
    <t>ADF_cofilin_like[cd11286]:3-134</t>
  </si>
  <si>
    <t>Sjap__EWB00_003359</t>
  </si>
  <si>
    <t>LIM[pfam00412]:225-280;LIM[pfam00412]:284-340;LIM[pfam00412]:344-399;LIM4_Leupaxin[cd09412]:403-454</t>
  </si>
  <si>
    <t>Sjap__EWB00_003429</t>
  </si>
  <si>
    <t>LIG_FAT_LD_1:67-75:LDDLLHSLR</t>
  </si>
  <si>
    <t>FHA_CHK2[cd22666]:27-136;S_TKc[smart00220]:152-419</t>
  </si>
  <si>
    <t>Sjap__EWB00_003470</t>
  </si>
  <si>
    <t>non-specific|Vinculin[pfam01044]:3-1124</t>
  </si>
  <si>
    <t>Sjap__EWB00_003565</t>
  </si>
  <si>
    <t>LIM2_Testin_like[cd09341]:268-323;LIM1_FHL[cd09343]:326-384;LIM4_LIMPETin[cd09425]:391-444;LIM5_LIMPETin[cd09430]:452-503;LIM4_FHL[cd09347]:511-566</t>
  </si>
  <si>
    <t>Sjap__EWB00_003590</t>
  </si>
  <si>
    <t>Int_alpha[smart00191]:476-516</t>
  </si>
  <si>
    <t>SP+TM; SP 1-36; TM 1272-1292 (O→I)</t>
  </si>
  <si>
    <t>OTHER (p=0.999954)</t>
  </si>
  <si>
    <t>Sjap__EWB00_003639</t>
  </si>
  <si>
    <t>1269-1294</t>
  </si>
  <si>
    <t>S_TKc[smart00220]:37-308</t>
  </si>
  <si>
    <t>Sjap__EWB00_003710</t>
  </si>
  <si>
    <t>111-122;242-253</t>
  </si>
  <si>
    <t>LIG_SH2_SFK_2:49-58:IVYEAQDINE | LIG_SH2_SFK_2:285-291:PFYSLIR | LIG_SH2_SFK_2:620-626:IDYVAQL | LIG_SH2_SFK_2:677-686:TDYDNLSKVD | LIG_SH2_SFK_2:720-726:FMYSVLN</t>
  </si>
  <si>
    <t>PF00069;PF07714; PF10409</t>
  </si>
  <si>
    <t>OG0001566</t>
  </si>
  <si>
    <t>Hsap__GeneID_2580, Hsap__GeneID_9829</t>
  </si>
  <si>
    <t>Cele__WBGene00001043, Cele__WBGene00018516</t>
  </si>
  <si>
    <t>SH2_Fps_family[cd10361]:823-945;TyrKc[smart00219]:969-1219</t>
  </si>
  <si>
    <t>Sjap__EWB00_003747</t>
  </si>
  <si>
    <t>1021-1032;1064-1080</t>
  </si>
  <si>
    <t>Sjap__EWB00_003876</t>
  </si>
  <si>
    <t>LIM1_Lmx1b[cd09371]:9-61;LIM[cd08368]:145-180;Homeodomain[pfam00046]:308-364</t>
  </si>
  <si>
    <t>Sjap__EWB00_003952</t>
  </si>
  <si>
    <t>STKc_ERK1_2_like[cd07849]:11-346</t>
  </si>
  <si>
    <t>Sjap__EWB00_004095</t>
  </si>
  <si>
    <t>LIM1_PINCH[cd09331]:35-93;LIM[smart00132]:96-146;LIM3_PINCH[cd09333]:160-211;LIM4_PINCH[cd09334]:217-270</t>
  </si>
  <si>
    <t>Sjap__EWB00_004122</t>
  </si>
  <si>
    <t>CH[pfam00307]:57-161;CH_SPTB_like_rpt2[cd21248]:181-285;SPEC[cd00176]:434-646;SPEC[cd00176]:650-825;SPEC[cd00176]:1032-1254;SPEC[cd00176]:1258-1458;SPEC[cd00176]:1712-1938;SPEC[cd00176]:1941-2167;SPEC[smart00150]:2174-2267</t>
  </si>
  <si>
    <t>Sjap__EWB00_004137</t>
  </si>
  <si>
    <t>PKc_CLK[cd14134]:206-532</t>
  </si>
  <si>
    <t>Sjap__EWB00_004179</t>
  </si>
  <si>
    <t>Sjap__EWB00_004196</t>
  </si>
  <si>
    <t>Sjap__EWB00_004212</t>
  </si>
  <si>
    <t>SNARE_GS27[cd15863]:161-225;S_TKc[smart00220]:533-795</t>
  </si>
  <si>
    <t>Lysosome/Vacuole</t>
  </si>
  <si>
    <t>Sjap__EWB00_004325</t>
  </si>
  <si>
    <t>232-250;606-617;727-738</t>
  </si>
  <si>
    <t>Sjap__EWB00_004368</t>
  </si>
  <si>
    <t>SH3_Src_like[cd11845]:34-84;SH2_Src_family[cd09933]:92-195;PTKc_Src_like[cd05034]:225-473</t>
  </si>
  <si>
    <t>Sjap__EWB00_004406</t>
  </si>
  <si>
    <t>LIG_SH2_SFK_2:407-413:VIYEIIT | LIG_SH2_SFK_2:446-452:PIYDILL</t>
  </si>
  <si>
    <t>Sjap__EWB00_004629</t>
  </si>
  <si>
    <t>HD_3[pfam13023]:13-171;STKc_AMPK_alpha[cd14079]:188-443;UBA_AID_AMPKalpha[cd14336]:460-524;AMPKA_C[cd12122]:645-821</t>
  </si>
  <si>
    <t>Sjap__EWB00_004650</t>
  </si>
  <si>
    <t>LIG_SH2_SFK_2:378-384:ILYALLC | LIG_SH2_SFK_2:467-473:AVYEVCQ</t>
  </si>
  <si>
    <t>STKc_Aurora[cd14007]:12-264</t>
  </si>
  <si>
    <t>Sjap__EWB00_004811</t>
  </si>
  <si>
    <t>FN3[cd00063]:13-109;ANKYR[COG0666]:116-321</t>
  </si>
  <si>
    <t>Sjap__EWB00_004872</t>
  </si>
  <si>
    <t>OG0000464</t>
  </si>
  <si>
    <t>Hsap__GeneID_100131244, Hsap__GeneID_92565</t>
  </si>
  <si>
    <t>Cele__WBGene00016616</t>
  </si>
  <si>
    <t>Hsap__GeneID_100131244, Hsap__GeneID_100287718, Hsap__GeneID_116729, Hsap__GeneID_136319, Hsap__GeneID_157567, Hsap__GeneID_92565</t>
  </si>
  <si>
    <t>Sjap__EWB00_004876</t>
  </si>
  <si>
    <t>ASKHA_NBD_actin[cd10224]:5-368</t>
  </si>
  <si>
    <t>Sjap__EWB00_004878</t>
  </si>
  <si>
    <t>LIM[smart00132]:72-124;LIM2_Ajuba_like[cd09355]:137-189;LIM[smart00132]:197-241</t>
  </si>
  <si>
    <t>Sjap__EWB00_004965</t>
  </si>
  <si>
    <t>S_TKc[smart00220]:49-302</t>
  </si>
  <si>
    <t>Sjap__EWB00_005112</t>
  </si>
  <si>
    <t>S_TKc[smart00220]:28-273</t>
  </si>
  <si>
    <t>Sjap__EWB00_005166</t>
  </si>
  <si>
    <t>LIG_SH3_4:534-541:KPSDKNLT</t>
  </si>
  <si>
    <t>MobB_Trc-like[cd21780]:76-140;STKc_NDR_like[cd05599]:143-496</t>
  </si>
  <si>
    <t>OTHER (p=0.999983)</t>
  </si>
  <si>
    <t>Sjap__EWB00_005385</t>
  </si>
  <si>
    <t>LIG_SH2_SFK_2:7-13:HPYSSLS | LIG_SH2_SFK_2:85-91:YYYDNLI | LIG_SH2_SFK_2:167-173:NGYIYAM | LIG_SH2_SFK_2:334-343:LAYSTVGTPD | LIG_SH2_SFK_2:342-348:PDYIAPE | LIG_SH2_SFK_2:367-373:IMYEMLI</t>
  </si>
  <si>
    <t>Sjap__EWB00_005467</t>
  </si>
  <si>
    <t>LIG_SH3_4:180-187:KPTYQNMC</t>
  </si>
  <si>
    <t>TM; TM 166-187 (I→O)</t>
  </si>
  <si>
    <t>Sjap__EWB00_005528</t>
  </si>
  <si>
    <t>STKc_CDK8_like[cd07842]:21-337</t>
  </si>
  <si>
    <t>Sjap__EWB00_005624</t>
  </si>
  <si>
    <t>OG0002125</t>
  </si>
  <si>
    <t>Hsap__GeneID_1024, Hsap__GeneID_23097</t>
  </si>
  <si>
    <t>Cele__WBGene00000409</t>
  </si>
  <si>
    <t>SH3[smart00326]:13-69;SH2[smart00252]:83-202;PK_Tyr_Ser-Thr[pfam07714]:234-513</t>
  </si>
  <si>
    <t>Sjap__EWB00_005849</t>
  </si>
  <si>
    <t>I_LWEQ[pfam01608]:957-1052</t>
  </si>
  <si>
    <t>Sjap__EWB00_005902</t>
  </si>
  <si>
    <t>ASKHA_NBD_Arp10[cd10207]:15-302</t>
  </si>
  <si>
    <t>Sjap__EWB00_006002</t>
  </si>
  <si>
    <t>CH_ACTN_rpt1[cd21214]:34-137;CH_ACTN_rpt2[cd21216]:141-255;Spectrin[pfam00435]:399-503;SPEC[cd00176]:521-739;EF-hand_7[pfam13499]:754-823</t>
  </si>
  <si>
    <t>Sjap__EWB00_006050</t>
  </si>
  <si>
    <t>Laminin_N[pfam00055]:43-276;EGF_Lam[cd00055]:277-328;EGF_Lam[cd00055]:339-394;Laminin_EGF[pfam00053]:397-446;Laminin_EGF[pfam00053]:446-496;Laminin_EGF[pfam00053]:635-683;EGF_Lam[cd00055]:685-738;Laminin_EGF[pfam00053]:740-783;EGF_Lam[cd00055]:803-858;EGF_Lam[cd00055]:859-907;EGF_Lam[cd00055]:908-955</t>
  </si>
  <si>
    <t>SP (p=0.999849); CS 20-21 (Pr=0.9821)</t>
  </si>
  <si>
    <t>Sjap__EWB00_006126</t>
  </si>
  <si>
    <t>Collagen[pfam01391]:549-604;Collagen[pfam01391]:768-824;Collagen[pfam01391]:1208-1262;C4[pfam01413]:1535-1641;C4[pfam01413]:1645-1758</t>
  </si>
  <si>
    <t>SP (p=0.967263); CS 36-37 (Pr=0.9784)</t>
  </si>
  <si>
    <t>Sjap__EWB00_006199</t>
  </si>
  <si>
    <t>LIG_Integrin_collagen_1:750-755:GFPGEK | LIG_Integrin_collagen_1:964-969:GFPGEK</t>
  </si>
  <si>
    <t>Collagen[pfam01391]:53-109;Collagen[pfam01391]:1119-1173;Collagen[pfam01391]:1345-1399;C4[pfam01413]:1660-1774</t>
  </si>
  <si>
    <t>SP (p=0.999773); CS 33-34 (Pr=0.9793)</t>
  </si>
  <si>
    <t>Sjap__EWB00_006200</t>
  </si>
  <si>
    <t>Collagen[pfam01391]:125-180;Collagen[pfam01391]:393-448;Collagen[pfam01391]:701-755;Collagen[pfam01391]:1049-1104;Collagen[pfam01391]:1177-1228</t>
  </si>
  <si>
    <t>Sjap__EWB00_006201</t>
  </si>
  <si>
    <t>LIG_Integrin_collagen_1:829-834:GLPGER | LIG_Integrin_collagen_1:1106-1111:GFPGEK</t>
  </si>
  <si>
    <t>non-specific|Integrin_alpha2[pfam08441]:927-1059</t>
  </si>
  <si>
    <t>TM; TM 1220-1240 (O→I)</t>
  </si>
  <si>
    <t>Sjap__EWB00_006209</t>
  </si>
  <si>
    <t>1217-1240</t>
  </si>
  <si>
    <t>CH_dFLNA-like_rpt1[cd21311]:20-143;CH[smart00033]:162-254;IG_FLMN[smart00557]:271-367;IG_FLMN[smart00557]:371-466;IG_FLMN[smart00557]:504-597;IG_FLMN[smart00557]:601-688;IG_FLMN[smart00557]:695-790;IG_FLMN[smart00557]:793-885;IG_FLMN[smart00557]:890-984;IG_FLMN[smart00557]:1012-1102;IG_FLMN[smart00557]:1110-1206;IG_FLMN[smart00557]:1209-1296;IG_FLMN[smart00557]:1302-1398;IG_FLMN[smart00557]:1401-1498;IG_FLMN[smart00557]:1501-1586;IG_FLMN[smart00557]:1627-1697;IG_FLMN[smart00557]:1705-1791;IG_FLMN[smart00557]:1883-1972;IG_FLMN[smart00557]:2076-2161;Filamin[pfam00630]:2191-2261;IG_FLMN[smart00557]:2272-2358;IG_FLMN[smart00557]:2393-2475</t>
  </si>
  <si>
    <t>Sjap__EWB00_006234</t>
  </si>
  <si>
    <t>STKc_PRP4[cd14135]:296-613</t>
  </si>
  <si>
    <t>Sjap__EWB00_006315</t>
  </si>
  <si>
    <t>OG0000332</t>
  </si>
  <si>
    <t>Hsap__GeneID_8899</t>
  </si>
  <si>
    <t>Cele__WBGene00004186</t>
  </si>
  <si>
    <t>STKc_MAPK15-like[cd07852]:18-369</t>
  </si>
  <si>
    <t>Sjap__EWB00_006350</t>
  </si>
  <si>
    <t>FERM_F0_TLN[cd17089]:29-112;FERM_F1_TLN[cd17090]:113-223;FERM_M[pfam00373]:227-340;FERM_C_Talin[cd10569]:336-428;I_LWEQ[pfam01608]:3070-3239</t>
  </si>
  <si>
    <t>Sjap__EWB00_006505</t>
  </si>
  <si>
    <t>LIG_Vh1_VBS_1:972-990:LVRKANALASAVECLVADL | LIG_Vh1_VBS_1:1137-1155:LLAASQNLMRCLEDLLRSA | LIG_Vh1_VBS_1:3024-3042:VIIACRNLIHATLSLMYWA | LIG_Vh1_VBS_1:3121-3139:LISAAQTTAGYTAQLIIAC</t>
  </si>
  <si>
    <t>STKc_CDK7[cd07841]:13-312</t>
  </si>
  <si>
    <t>Sjap__EWB00_006602</t>
  </si>
  <si>
    <t>OG0005074</t>
  </si>
  <si>
    <t>Hsap__GeneID_1022</t>
  </si>
  <si>
    <t>Cele__WBGene00000408</t>
  </si>
  <si>
    <t>non-specific|IG_FLMN[smart00557]:232-342</t>
  </si>
  <si>
    <t>Sjap__EWB00_006607</t>
  </si>
  <si>
    <t>FERM_B-lobe[cd14473]:416-451</t>
  </si>
  <si>
    <t>Sjap__EWB00_006747</t>
  </si>
  <si>
    <t>384-395</t>
  </si>
  <si>
    <t>RING-HC_PML_C-V[cd16579]:23-77;IG_FLMN[smart00557]:448-514</t>
  </si>
  <si>
    <t>Sjap__EWB00_006779</t>
  </si>
  <si>
    <t>Sjap__EWB00_007161</t>
  </si>
  <si>
    <t>PK_Tyr_Ser-Thr[pfam07714]:334-620</t>
  </si>
  <si>
    <t>Cell membrane|Endoplasmic reticulum</t>
  </si>
  <si>
    <t>TM; TM 8-27 (O→I)</t>
  </si>
  <si>
    <t>Sjap__EWB00_007221</t>
  </si>
  <si>
    <t>389-400;465-478</t>
  </si>
  <si>
    <t>ADF_drebrin_like[cd11281]:3-133;SH3_Cortactin_like[cd11819]:454-507</t>
  </si>
  <si>
    <t>Sjap__EWB00_007274</t>
  </si>
  <si>
    <t>PK_Tyr_Ser-Thr[pfam07714]:383-639</t>
  </si>
  <si>
    <t>Sjap__EWB00_007322</t>
  </si>
  <si>
    <t>LIG_SH2_SFK_2; LIG_SH3_2; LIG_SH3_1</t>
  </si>
  <si>
    <t>LIG_SH2_SFK_2:15-21:LGYTTVK | LIG_SH2_SFK_2:70-77:LTYAEVKE | LIG_SH2_SFK_2:116-122:IYYSGLQ | LIG_SH2_SFK_2:461-468:MEYAALGE | LIG_SH2_SFK_2:488-494:YSYQIVT | LIG_SH2_SFK_2:613-619:DLYEILL | LIG_SH3_2:683-688:PPQPAR | LIG_SH3_1:802-808:KSLPSSP | LIG_SH2_SFK_2:862-871:WNYILMKISD</t>
  </si>
  <si>
    <t>IPR000980;PF00017; PF00018;PF07653;PF14604; PF00018</t>
  </si>
  <si>
    <t>Phosphotyrosine-dependent ligand candidate; phosphorylation and Y397 correspondence cannot be inferred.; Generic SH3 ligand candidate; review position and accessibility.; Generic SH3 ligand candidate; not FAK identity or binding evidence.</t>
  </si>
  <si>
    <t>Collagen[pfam01391]:288-344;Collagen[pfam01391]:582-638;Collagen[pfam01391]:812-866</t>
  </si>
  <si>
    <t>SP; SP 1-39; no TM</t>
  </si>
  <si>
    <t>SP (p=0.747940); CS 39-40 (Pr=0.8155)</t>
  </si>
  <si>
    <t>Sjap__EWB00_007395</t>
  </si>
  <si>
    <t>LIG_Integrin_collagen_1:938-943:GLPGER</t>
  </si>
  <si>
    <t>Sjap__EWB00_007426</t>
  </si>
  <si>
    <t>S_TKc[smart00220]:106-360</t>
  </si>
  <si>
    <t>Sjap__EWB00_007512</t>
  </si>
  <si>
    <t>Sjap__EWB00_007517</t>
  </si>
  <si>
    <t>STKc_JNK[cd07850]:30-366</t>
  </si>
  <si>
    <t>Sjap__EWB00_007519</t>
  </si>
  <si>
    <t>OG0002204</t>
  </si>
  <si>
    <t>Hsap__GeneID_5599, Hsap__GeneID_5601, Hsap__GeneID_5602</t>
  </si>
  <si>
    <t>Cele__WBGene00002178</t>
  </si>
  <si>
    <t>SH3_Src_like[cd11845]:330-378;SH2_Src_family[cd09933]:386-485;PTKc_Src_like[cd05034]:519-765</t>
  </si>
  <si>
    <t>Sjap__EWB00_007520</t>
  </si>
  <si>
    <t>SH3[smart00326]:33-93;S_TKc[smart00220]:173-406</t>
  </si>
  <si>
    <t>Sjap__EWB00_007640</t>
  </si>
  <si>
    <t>LIG_SH2_SFK_2:34-40:SEYVTAI | LIG_SH2_SFK_2:39-45:AIYSYFP | LIG_SH2_SFK_2:149-155:SSYSDIV | LIG_SH2_SFK_2:390-399:TLYIPPGVPD | LIG_SH3_1:392-398:YIPPGVP</t>
  </si>
  <si>
    <t>PF00018; PF07714</t>
  </si>
  <si>
    <t>OG0001154</t>
  </si>
  <si>
    <t>Hsap__GeneID_4293, Hsap__GeneID_4294, Hsap__GeneID_4296, Hsap__GeneID_84451</t>
  </si>
  <si>
    <t>Cele__WBGene00003374</t>
  </si>
  <si>
    <t>STKc_MST3_like[cd06609]:18-289</t>
  </si>
  <si>
    <t>Sjap__EWB00_007650</t>
  </si>
  <si>
    <t>STKc_PKA[cd14209]:58-347</t>
  </si>
  <si>
    <t>Sjap__EWB00_007721</t>
  </si>
  <si>
    <t>ADF_Twf-N_like[cd11285]:36-153;Cofilin_ADF[pfam00241]:235-355</t>
  </si>
  <si>
    <t>Sjap__EWB00_007739</t>
  </si>
  <si>
    <t>OTHER (p=0.999988)</t>
  </si>
  <si>
    <t>Sjap__EWB00_007873</t>
  </si>
  <si>
    <t>LIG_SH2_SFK_2:165-172:SNYVCLDD | LIG_SH2_SFK_2:259-267:VNYYTVHPD | LIG_SH2_SFK_2:377-386:ALYDFLRTEE | LIG_SH2_SFK_2:482-488:LMYEIVT | LIG_SH2_SFK_2:546-552:SLYDVFE</t>
  </si>
  <si>
    <t>Sjap__EWB00_007959</t>
  </si>
  <si>
    <t>LIG_SH3_1:9-15:RPAPHRP | LIG_SH3_2:12-17:PHRPFR | LIG_SH2_SFK_2:146-153:ESYLNFEE | LIG_SH2_SFK_2:153-159:EIYFLFE | LIG_SH2_SFK_2:183-189:FVYQILR | LIG_SH2_SFK_2:519-525:ANYSNFI</t>
  </si>
  <si>
    <t>FN3[cd00063]:2-43;FN3[cd00063]:363-476;TyrKc[smart00219]:555-849</t>
  </si>
  <si>
    <t>TM; TM 493-513 (O→I)</t>
  </si>
  <si>
    <t>Sjap__EWB00_007965</t>
  </si>
  <si>
    <t>488-515;637-648;689-704</t>
  </si>
  <si>
    <t>LIG_SH2_SFK_2:84-90:TSYVNLS | LIG_SH2_SFK_2:248-254:SEYLFVI | LIG_SH2_SFK_2:387-393:TLYYWIR | LIG_SH2_SFK_2:451-457:GVYEFQI | LIG_SH2_SFK_2:490-496:EHYYILI | LIG_SH2_SFK_2:491-497:HYYILIL</t>
  </si>
  <si>
    <t>LIG_SH3_4:108-115:KPSVQLEK</t>
  </si>
  <si>
    <t>STKc_Nek6_7[cd08224]:127-389</t>
  </si>
  <si>
    <t>Sjap__EWB00_008035</t>
  </si>
  <si>
    <t>LIG_SH2_SFK_2:7-16:YEYEVIIPPE | LIG_SH2_SFK_2:306-313:QGYDFASD | LIG_SH2_SFK_2:320-326:LLYEMAA | LIG_SH2_SFK_2:348-356:GDYAPLPKE</t>
  </si>
  <si>
    <t>TyrKc[smart00219]:118-373</t>
  </si>
  <si>
    <t>TM; TM 12-34 (O→I)</t>
  </si>
  <si>
    <t>Sjap__EWB00_008162</t>
  </si>
  <si>
    <t>8-35;181-192;214-229</t>
  </si>
  <si>
    <t>LIG_SH2_SFK_2:456-462:NTYFNIN | LIG_SH2_SFK_2:534-540:ETYIPLS</t>
  </si>
  <si>
    <t>OG0000264</t>
  </si>
  <si>
    <t>Hsap__GeneID_1969, Hsap__GeneID_2041, Hsap__GeneID_2042, Hsap__GeneID_2043, Hsap__GeneID_2044, Hsap__GeneID_2045, Hsap__GeneID_2046, Hsap__GeneID_2047, Hsap__GeneID_2048, Hsap__GeneID_2049, Hsap__GeneID_2050, Hsap__GeneID_2051, Hsap__GeneID_284656, Hsap__GeneID_285220</t>
  </si>
  <si>
    <t>Cele__WBGene00006868</t>
  </si>
  <si>
    <t>SH2[smart00252]:63-124;ANKYR[COG0666]:160-346;SH2[smart00252]:345-437;TyrKc[smart00219]:573-823</t>
  </si>
  <si>
    <t>Sjap__EWB00_008189</t>
  </si>
  <si>
    <t>LIG_SH3_2:44-49:PRMPVR | LIG_SH2_SFK_2:832-841:NVYENVEPPD</t>
  </si>
  <si>
    <t>CRIB_PAK_like[cd01093]:16-61;STKc_PAK[cd06614]:187-442</t>
  </si>
  <si>
    <t>Sjap__EWB00_008231</t>
  </si>
  <si>
    <t>LIG_SH3_4:140-147:KPPPKPSF | LIG_SH3_4:402-409:KPRPKTKN</t>
  </si>
  <si>
    <t>Collagen[pfam01391]:306-362;Collagen[pfam01391]:748-804</t>
  </si>
  <si>
    <t>SP; SP 1-23; no TM</t>
  </si>
  <si>
    <t>SP (p=0.999783); CS 23-24 (Pr=0.9822)</t>
  </si>
  <si>
    <t>Sjap__EWB00_008239</t>
  </si>
  <si>
    <t>LIG_Integrin_collagen_1:261-266:GRPGER | LIG_Integrin_collagen_1:306-311:GRPGER</t>
  </si>
  <si>
    <t>Sjap__EWB00_008286</t>
  </si>
  <si>
    <t>S_TKc[smart00220]:1-149;POLO_box_1[cd13118]:253-341;POLO_box_2[cd13117]:355-436</t>
  </si>
  <si>
    <t>Sjap__EWB00_008372</t>
  </si>
  <si>
    <t>PTPc[smart00194]:31-300</t>
  </si>
  <si>
    <t>Endoplasmic reticulum</t>
  </si>
  <si>
    <t>Sjap__EWB00_008528</t>
  </si>
  <si>
    <t>LIG_SH3_2:92-97:PAVPSR | LIG_SH3_1:138-144:RCHPYFP | LIG_SH3_1:488-494:KINPIFP</t>
  </si>
  <si>
    <t>STKc_Nek[cd08215]:6-261</t>
  </si>
  <si>
    <t>Sjap__EWB00_008648</t>
  </si>
  <si>
    <t>OG0000543</t>
  </si>
  <si>
    <t>Hsap__GeneID_341676, Hsap__GeneID_4750, Hsap__GeneID_4752</t>
  </si>
  <si>
    <t>Cele__WBGene00022631</t>
  </si>
  <si>
    <t>Hsap__GeneID_284086, Hsap__GeneID_341676, Hsap__GeneID_4750, Hsap__GeneID_4752, Hsap__GeneID_6787</t>
  </si>
  <si>
    <t>Sjap__EWB00_008683</t>
  </si>
  <si>
    <t>Sjap__EWB00_008724</t>
  </si>
  <si>
    <t>PDZ_ZASP52-like[cd23068]:4-84;LIM[cd08368]:230-281;LIM[cd08368]:289-340;LIM[smart00132]:348-400</t>
  </si>
  <si>
    <t>Sjap__EWB00_008747</t>
  </si>
  <si>
    <t>PTKc[cd00192]:338-596</t>
  </si>
  <si>
    <t>SP+TM; SP 1-31; TM 178-200 (O→I)</t>
  </si>
  <si>
    <t>SP (p=0.999846); CS 31-32 (Pr=0.9801)</t>
  </si>
  <si>
    <t>Sjap__EWB00_008748</t>
  </si>
  <si>
    <t>176-199</t>
  </si>
  <si>
    <t>LIG_SH3_4:292-299:KPNNKWTN</t>
  </si>
  <si>
    <t>ADF_cofilin_like[cd11286]:3-132</t>
  </si>
  <si>
    <t>Sjap__EWB00_008807</t>
  </si>
  <si>
    <t>ASKHA_NBD_Arp1[cd10216]:9-342</t>
  </si>
  <si>
    <t>Sjap__EWB00_008857</t>
  </si>
  <si>
    <t>S_TKc[smart00220]:13-267</t>
  </si>
  <si>
    <t>Sjap__EWB00_008932</t>
  </si>
  <si>
    <t>69-80;194-205</t>
  </si>
  <si>
    <t>Hsap__GeneID_6787</t>
  </si>
  <si>
    <t>S_TKc[smart00220]:41-292</t>
  </si>
  <si>
    <t>Sjap__EWB00_008993</t>
  </si>
  <si>
    <t>LIG_SH2_SFK_2:300-306:LYYLNIK | LIG_SH2_SFK_2:307-313:PPYIPLC</t>
  </si>
  <si>
    <t>SH2[smart00252]:390-478;STYKc[smart00221]:509-785</t>
  </si>
  <si>
    <t>Sjap__EWB00_009095</t>
  </si>
  <si>
    <t>605-620</t>
  </si>
  <si>
    <t>LIG_SH2_SFK_2:263-271:PFYEEWFCE | LIG_SH2_SFK_2:696-705:LVYEILTFCE | LIG_SH2_SFK_2:744-750:DQYEIPK | LIG_SH2_SFK_2:783-790:SLYYFIEE</t>
  </si>
  <si>
    <t>PF00069;PF07714; PF07714</t>
  </si>
  <si>
    <t>ANKYR[COG0666]:44-212</t>
  </si>
  <si>
    <t>Sjap__EWB00_009117</t>
  </si>
  <si>
    <t>OG0005948</t>
  </si>
  <si>
    <t>Hsap__GeneID_57763, Hsap__GeneID_8625</t>
  </si>
  <si>
    <t>STKc_p38[cd07851]:11-354</t>
  </si>
  <si>
    <t>Sjap__EWB00_009122</t>
  </si>
  <si>
    <t>Sjap__EWB00_009161</t>
  </si>
  <si>
    <t>Sjap__EWB00_009162</t>
  </si>
  <si>
    <t>R-PTP-N-N2[cd14546]:336-553</t>
  </si>
  <si>
    <t>TM; TM 184-204 (O→I)</t>
  </si>
  <si>
    <t>Sjap__EWB00_009224</t>
  </si>
  <si>
    <t>180-206</t>
  </si>
  <si>
    <t>ACTIN[smart00268]:9-251</t>
  </si>
  <si>
    <t>Sjap__EWB00_009267</t>
  </si>
  <si>
    <t>Sjap__EWB00_009287</t>
  </si>
  <si>
    <t>non-specific|ASKHA_NBD_Arp5[cd10211]:27-277</t>
  </si>
  <si>
    <t>Sjap__EWB00_009305</t>
  </si>
  <si>
    <t>OG0004897</t>
  </si>
  <si>
    <t>Hsap__GeneID_79913</t>
  </si>
  <si>
    <t>C1_cPKC_rpt1[cd20833]:31-88;C1_cPKC_rpt2[cd20836]:97-150;C2_PKC_alpha_gamma[cd04026]:154-284;S_TKc[smart00220]:333-503</t>
  </si>
  <si>
    <t>Sjap__EWB00_009358</t>
  </si>
  <si>
    <t>LIM1_FHL[cd09343]:44-102;LIM[smart00132]:108-161;LIM[pfam00412]:170-225;LIM[smart00132]:229-283</t>
  </si>
  <si>
    <t>Sjap__EWB00_009388</t>
  </si>
  <si>
    <t>S_TKc[smart00220]:57-315</t>
  </si>
  <si>
    <t>Sjap__EWB00_009456</t>
  </si>
  <si>
    <t>STKc_MAK_like[cd07830]:2-251</t>
  </si>
  <si>
    <t>Sjap__EWB00_009479</t>
  </si>
  <si>
    <t>LIG_SH3_4:444-451:KPGSQCCP | LIG_SH3_4:470-477:KPPPKKVI</t>
  </si>
  <si>
    <t>Sjap__EWB00_009480</t>
  </si>
  <si>
    <t>OTHER (p=0.999987)</t>
  </si>
  <si>
    <t>Sjap__EWB00_009541</t>
  </si>
  <si>
    <t>LIM[cd08368]:267-303;LIM[pfam00412]:312-368</t>
  </si>
  <si>
    <t>Sjap__EWB00_009560</t>
  </si>
  <si>
    <t>ANKYR[COG0666]:12-292</t>
  </si>
  <si>
    <t>Sjap__EWB00_009605</t>
  </si>
  <si>
    <t>268-279</t>
  </si>
  <si>
    <t>SPS1[COG0515]:20-268</t>
  </si>
  <si>
    <t>Sjap__EWB00_009781</t>
  </si>
  <si>
    <t>LIG_SH2_SFK_2:35-41:NVYLGVW | LIG_SH2_SFK_2:104-110:VLYDLPE | LIG_SH2_SFK_2:111-117:VHYTLVN</t>
  </si>
  <si>
    <t>LIG_SH3_4:219-226:KPPHQVLK</t>
  </si>
  <si>
    <t>Sjap__EWB00_010219</t>
  </si>
  <si>
    <t>Sjap__EWB00_010398</t>
  </si>
  <si>
    <t>non-specific|COLFI[pfam01410]:140-274</t>
  </si>
  <si>
    <t>Sjap__EWB00_010448</t>
  </si>
  <si>
    <t>VWC[pfam00093]:22-67;Collagen[pfam01391]:346-402;Collagen[pfam01391]:733-787;Collagen[pfam01391]:1009-1064</t>
  </si>
  <si>
    <t>Sjap__EWB00_010449</t>
  </si>
  <si>
    <t>Collagen[pfam01391]:281-337;Collagen[pfam01391]:860-914</t>
  </si>
  <si>
    <t>SP (p=0.999800); CS 24-25 (Pr=0.9846)</t>
  </si>
  <si>
    <t>Sjap__EWB00_010450</t>
  </si>
  <si>
    <t>2-20</t>
  </si>
  <si>
    <t>Sjap__EWB00_010647</t>
  </si>
  <si>
    <t>CH_ACTN_rpt1[cd21214]:26-130;CH_ACTN_rpt2[cd21216]:134-248;SPEC[cd00176]:393-620;Spectrin[pfam00435]:628-722;EF-hand_6[pfam13405]:748-777</t>
  </si>
  <si>
    <t>Sjap__EWB00_010649</t>
  </si>
  <si>
    <t>SH3_Abl[cd11850]:58-116;SH2[smart00252]:166-249;PK_Tyr_Ser-Thr[pfam07714]:284-536</t>
  </si>
  <si>
    <t>Sjap__EWB00_010687</t>
  </si>
  <si>
    <t>MOD_NMyristoyl:1-7:MGAQQTK</t>
  </si>
  <si>
    <t>CH_SPTB-like_rpt1[cd21246]:39-155;CH_SPTB_like_rpt2[cd21248]:172-276;SPEC[smart00150]:425-524;Spectrin[pfam00435]:527-640;SPEC[cd00176]:646-854;SPEC[smart00150]:857-957;SPEC[cd00176]:961-1172;SPEC[cd00176]:1175-1385;SPEC[cd00176]:1390-1600;SPEC[smart00150]:1605-1705;SPEC[cd00176]:1709-1872</t>
  </si>
  <si>
    <t>Sjap__EWB00_010727</t>
  </si>
  <si>
    <t>Int_alpha[smart00191]:311-362;Int_alpha[smart00191]:403-452;Int_alpha[smart00191]:466-504</t>
  </si>
  <si>
    <t>SP+TM; SP 1-30; TM 1181-1201 (O→I)</t>
  </si>
  <si>
    <t>SP (p=0.999561); CS 30-31 (Pr=0.9197)</t>
  </si>
  <si>
    <t>Sjap__EWB00_011039</t>
  </si>
  <si>
    <t>GO:0046658</t>
  </si>
  <si>
    <t>C:anchored component of plasma membrane</t>
  </si>
  <si>
    <t>1-22</t>
  </si>
  <si>
    <t>1178-1178</t>
  </si>
  <si>
    <t>STKc_Aurora[cd14007]:3-211</t>
  </si>
  <si>
    <t>Sjap__EWB00_011156</t>
  </si>
  <si>
    <t>STKc_PKB[cd05571]:19-339;GRX_PICOT_like[cd03028]:424-524</t>
  </si>
  <si>
    <t>Sjap__EWB00_011263</t>
  </si>
  <si>
    <t>S_TKc[smart00220]:29-288</t>
  </si>
  <si>
    <t>Sjap__EWB00_011320</t>
  </si>
  <si>
    <t>Hsap__GeneID_9262, Hsap__GeneID_9263</t>
  </si>
  <si>
    <t>CH_dFLNA-like_rpt1[cd21311]:20-143;CH[smart00033]:162-254;IG_FLMN[smart00557]:271-367;IG_FLMN[smart00557]:372-466;IG_FLMN[smart00557]:504-597;IG_FLMN[smart00557]:601-688;IG_FLMN[smart00557]:695-790;IG_FLMN[smart00557]:793-885;IG_FLMN[smart00557]:890-984;IG_FLMN[smart00557]:1012-1101;IG_FLMN[smart00557]:1110-1206;IG_FLMN[smart00557]:1209-1296;IG_FLMN[smart00557]:1302-1398;IG_FLMN[smart00557]:1401-1498;IG_FLMN[smart00557]:1512-1586;IG_FLMN[smart00557]:1645-1697;IG_FLMN[smart00557]:1705-1791;IG_FLMN[smart00557]:1883-1972;IG_FLMN[smart00557]:2076-2161;Filamin[pfam00630]:2191-2261;IG_FLMN[smart00557]:2272-2358;IG_FLMN[smart00557]:2393-2482</t>
  </si>
  <si>
    <t>Sman__Smp_000100</t>
  </si>
  <si>
    <t>243-254</t>
  </si>
  <si>
    <t>Sman__Smp_003000</t>
  </si>
  <si>
    <t>Sman__Smp_006920</t>
  </si>
  <si>
    <t>LIG_SH2_SFK_2:165-172:SNYVCLND | LIG_SH2_SFK_2:259-267:VNYYTVHPD | LIG_SH2_SFK_2:377-386:ALYDFLRTEE | LIG_SH2_SFK_2:482-488:LMYEIVT | LIG_SH2_SFK_2:546-552:SLYDVFE</t>
  </si>
  <si>
    <t>Sman__Smp_008260</t>
  </si>
  <si>
    <t>RING-HC_PML_C-V[cd16579]:23-77;zf-B_box[pfam00643]:109-144;IG_FLMN[smart00557]:450-516;YncE[COG3391]:525-690</t>
  </si>
  <si>
    <t>Sman__Smp_009540</t>
  </si>
  <si>
    <t>Sman__Smp_009600</t>
  </si>
  <si>
    <t>S_TKc[smart00220]:350-612</t>
  </si>
  <si>
    <t>Sman__Smp_009800</t>
  </si>
  <si>
    <t>209-220;418-429;544-555;757-768</t>
  </si>
  <si>
    <t>LIG_SH2_SFK_2:74-80:IDYFSLI | LIG_SH2_SFK_2:201-210:DFYAQIVARE | LIG_SH2_SFK_2:325-332:EEYNELID | LIG_SH2_SFK_2:431-440:HLYIVMEFLD | LIG_SH2_SFK_2:577-583:GEYQSVK | LIG_SH2_SFK_2:588-595:NQYSNLVD | LIG_SH2_SFK_2:734-740:LEYEAIQ | LIG_SH2_SFK_2:812-818:INYAILM</t>
  </si>
  <si>
    <t>STKc_CaMKII[cd14086]:10-301;YybH[COG4319]:365-496</t>
  </si>
  <si>
    <t>Sman__Smp_011660</t>
  </si>
  <si>
    <t>FN3[cd00063]:155-244;STYKc[smart00221]:383-700</t>
  </si>
  <si>
    <t>TM; TM 274-296 (O→I)</t>
  </si>
  <si>
    <t>Sman__Smp_011700</t>
  </si>
  <si>
    <t>271-297</t>
  </si>
  <si>
    <t>ANKYR[COG0666]:19-182;zf-MYND[pfam01753]:336-379</t>
  </si>
  <si>
    <t>Sman__Smp_012740</t>
  </si>
  <si>
    <t>160-171</t>
  </si>
  <si>
    <t>CH_ACTN_rpt1[cd21214]:27-131;CH_ACTN_rpt2[cd21216]:135-249;SPEC[cd00176]:394-621;Spectrin[pfam00435]:629-723;EFh[cd00051]:749-831</t>
  </si>
  <si>
    <t>Sman__Smp_014780</t>
  </si>
  <si>
    <t>118-138</t>
  </si>
  <si>
    <t>LIM1_PINCH[cd09331]:39-97;LIM[smart00132]:100-150;LIM4_PINCH[cd09334]:221-274</t>
  </si>
  <si>
    <t>Sman__Smp_020540</t>
  </si>
  <si>
    <t>S_TKc[smart00220]:191-484</t>
  </si>
  <si>
    <t>Sman__Smp_026510</t>
  </si>
  <si>
    <t>LIG_SH3_4:227-234:KPIVKTQI</t>
  </si>
  <si>
    <t>Sman__Smp_034550</t>
  </si>
  <si>
    <t>S_TKc[smart00220]:94-346;UBA_SNRK[cd14339]:442-488</t>
  </si>
  <si>
    <t>Sman__Smp_040190</t>
  </si>
  <si>
    <t>LIG_SH2_SFK_2:266-274:EPYIGVKAD | LIG_SH2_SFK_2:281-287:ILYVMVC | LIG_SH2_SFK_2:403-409:TDYDLVQ | LIG_SH2_SFK_2:480-487:ATYLLLGE | LIG_SH2_SFK_2:559-565:PNYSAIP</t>
  </si>
  <si>
    <t>SH3[smart00326]:3-53;SH2_Grb2_like[cd09941]:57-158;SH3[smart00326]:223-285</t>
  </si>
  <si>
    <t>Sman__Smp_044530</t>
  </si>
  <si>
    <t>OG0007402</t>
  </si>
  <si>
    <t>S_TKc[smart00220]:63-355</t>
  </si>
  <si>
    <t>Sman__Smp_047870</t>
  </si>
  <si>
    <t>Sman__Smp_047900</t>
  </si>
  <si>
    <t>LIM[smart00132]:218-250;LIM2_Testin_like[cd09341]:257-312;LIM1_FHL[cd09343]:315-373;LIM4_LIMPETin[cd09425]:380-433;LIM5_LIMPETin[cd09430]:441-492;LIM4_FHL[cd09347]:500-555</t>
  </si>
  <si>
    <t>Sman__Smp_048560</t>
  </si>
  <si>
    <t>GS[smart00467]:275-304;SPS1[COG0515]:305-607</t>
  </si>
  <si>
    <t>OTHER (p=0.833640)</t>
  </si>
  <si>
    <t>Sman__Smp_049760</t>
  </si>
  <si>
    <t>133-157</t>
  </si>
  <si>
    <t>LIG_SH3_1; LIG_SH2_SFK_2</t>
  </si>
  <si>
    <t>LIG_SH3_1:212-218:RVFPNDP | LIG_SH2_SFK_2:346-352:DIYQTVM | LIG_SH2_SFK_2:386-392:SLYEFLQ | LIG_SH2_SFK_2:529-538:LPYQDLVSAD | LIG_SH2_SFK_2:723-729:MLYSSLL</t>
  </si>
  <si>
    <t>PF00018; IPR000980;PF00017</t>
  </si>
  <si>
    <t>Generic SH3 ligand candidate; not FAK identity or binding evidence.; Phosphotyrosine-dependent ligand candidate; phosphorylation and Y397 correspondence cannot be inferred.</t>
  </si>
  <si>
    <t>FERM_F0_kindlins[cd17095]:36-115;B41[smart00295]:282-371;PH[smart00233]:507-603</t>
  </si>
  <si>
    <t>Sman__Smp_053420</t>
  </si>
  <si>
    <t>Sman__Smp_053560</t>
  </si>
  <si>
    <t>PKc_CLK[cd14134]:208-534</t>
  </si>
  <si>
    <t>Sman__Smp_058620</t>
  </si>
  <si>
    <t>SPS1[COG0515]:18-268</t>
  </si>
  <si>
    <t>Sman__Smp_058790</t>
  </si>
  <si>
    <t>LIG_SH2_SFK_2:35-42:NVYLGVWE | LIG_SH2_SFK_2:104-110:VLYDFPG | LIG_SH2_SFK_2:111-117:VHYNLVN</t>
  </si>
  <si>
    <t>Sman__Smp_063040</t>
  </si>
  <si>
    <t>CRIB_PAK_like[cd01093]:16-61;STKc_PAK[cd06614]:189-444</t>
  </si>
  <si>
    <t>Sman__Smp_064040</t>
  </si>
  <si>
    <t>Sman__Smp_065290</t>
  </si>
  <si>
    <t>STKc_PRP4[cd14135]:304-621</t>
  </si>
  <si>
    <t>Sman__Smp_068960</t>
  </si>
  <si>
    <t>non-specific|FERM_F0_kindlins[cd17095]:11-104;FERM_F1_kindlins[cd17096]:110-154;FERM_F1_kindlins[cd17096]:302-376;FERM_M[pfam00373]:389-426;PH_fermitin[cd01237]:601-678;FERM_C_fermitin[cd13205]:1025-1116</t>
  </si>
  <si>
    <t>Sman__Smp_070640</t>
  </si>
  <si>
    <t>Sman__Smp_072870</t>
  </si>
  <si>
    <t>Sman__Smp_073340</t>
  </si>
  <si>
    <t>Sman__Smp_073490</t>
  </si>
  <si>
    <t>Sman__Smp_073510</t>
  </si>
  <si>
    <t>Sman__Smp_074080</t>
  </si>
  <si>
    <t>Sman__Smp_077180</t>
  </si>
  <si>
    <t>Sman__Smp_077850</t>
  </si>
  <si>
    <t>Sman__Smp_077860</t>
  </si>
  <si>
    <t>Sman__Smp_078230</t>
  </si>
  <si>
    <t>LIG_SH2_SFK_2:246-252:NDYITFL | LIG_SH2_SFK_2:293-299:NFYIIAD | LIG_SH2_SFK_2:478-484:YVYLLLE | LIG_SH2_SFK_2:507-515:QFYVACVVE</t>
  </si>
  <si>
    <t>LIG_SH3_4:394-401:KPEFKNLK</t>
  </si>
  <si>
    <t>Sman__Smp_079760</t>
  </si>
  <si>
    <t>Sman__Smp_080730</t>
  </si>
  <si>
    <t>non-specific|Profilin[pfam00235]:35-99</t>
  </si>
  <si>
    <t>Sman__Smp_080920</t>
  </si>
  <si>
    <t>Sman__Smp_085690</t>
  </si>
  <si>
    <t>LIG_SH3_4:306-313:KPPYQPSL</t>
  </si>
  <si>
    <t>Sman__Smp_086590</t>
  </si>
  <si>
    <t>S_TKc[smart00220]:56-348</t>
  </si>
  <si>
    <t>Sman__Smp_086690</t>
  </si>
  <si>
    <t>Integrin_beta[pfam00362]:93-350;EGF_2[pfam07974]:583-605;Integrin_b_cyt[pfam08725]:780-820</t>
  </si>
  <si>
    <t>TM; TM 754-776 (O→I)</t>
  </si>
  <si>
    <t>Sman__Smp_089700</t>
  </si>
  <si>
    <t>755-784</t>
  </si>
  <si>
    <t>LIG_PTB_Apo_2:82-89:MMVNFTFQ | LIG_PTB_Phospho_1:594-600:CFCNSGY | LIG_PTB_Apo_2:594-601:CFCNSGYT | LIG_PTB_Apo_2:802-809:MAENPIFE | LIG_PTB_Apo_2:814-821:NVLNPTFE</t>
  </si>
  <si>
    <t>Sman__Smp_093230</t>
  </si>
  <si>
    <t>Sman__Smp_094190</t>
  </si>
  <si>
    <t>STKc_PDK1[cd05581]:40-317;PH_PDK1[cd01262]:383-488</t>
  </si>
  <si>
    <t>Sman__Smp_094250</t>
  </si>
  <si>
    <t>Sman__Smp_094760</t>
  </si>
  <si>
    <t>PB1[smart00666]:16-70;C1_aPKC[cd20794]:104-158;S_TKc[smart00220]:312-580</t>
  </si>
  <si>
    <t>Sman__Smp_096310</t>
  </si>
  <si>
    <t>Sman__Smp_096640</t>
  </si>
  <si>
    <t>LIG_SH3_4:326-333:KPGQKKKH</t>
  </si>
  <si>
    <t>Sman__Smp_097940</t>
  </si>
  <si>
    <t>LIG_SH2_SFK_2:7-16:YEYEVIIPPE | LIG_SH2_SFK_2:307-314:QGYDFASD | LIG_SH2_SFK_2:321-327:LLYEMAA | LIG_SH2_SFK_2:349-357:GDYAPLPKE</t>
  </si>
  <si>
    <t>S_TKc[smart00220]:25-289</t>
  </si>
  <si>
    <t>Sman__Smp_098840</t>
  </si>
  <si>
    <t>Sman__Smp_101290</t>
  </si>
  <si>
    <t>Sman__Smp_103570</t>
  </si>
  <si>
    <t>STKc_CDK10[cd07845]:38-345</t>
  </si>
  <si>
    <t>Sman__Smp_103950</t>
  </si>
  <si>
    <t>OG0006075</t>
  </si>
  <si>
    <t>Hsap__GeneID_8558</t>
  </si>
  <si>
    <t>Sman__Smp_120700</t>
  </si>
  <si>
    <t>Sman__Smp_121780</t>
  </si>
  <si>
    <t>LIG_SH3_4:13-20:KPEDQDTD</t>
  </si>
  <si>
    <t>Sman__Smp_123640</t>
  </si>
  <si>
    <t>Collagen[pfam01391]:543-599;Collagen[pfam01391]:945-1001;Collagen[pfam01391]:1107-1163</t>
  </si>
  <si>
    <t>SP; SP 1-37; no TM</t>
  </si>
  <si>
    <t>SP (p=0.999753); CS 37-38 (Pr=0.9703)</t>
  </si>
  <si>
    <t>Sman__Smp_123830</t>
  </si>
  <si>
    <t>1-37</t>
  </si>
  <si>
    <t>Sman__Smp_124130</t>
  </si>
  <si>
    <t>PH_Btk[cd01238]:10-157;SH3[smart00326]:341-395;SH2[pfam00017]:452-513;PK_Tyr_Ser-Thr[pfam07714]:639-894</t>
  </si>
  <si>
    <t>Sman__Smp_124850</t>
  </si>
  <si>
    <t>SH3[smart00326]:9-64;SH2[cd00173]:77-195;PK_Tyr_Ser-Thr[pfam07714]:233-545</t>
  </si>
  <si>
    <t>Sman__Smp_125360</t>
  </si>
  <si>
    <t>non-specific|ASKHA_NBD_Arp5[cd10211]:27-276;ASKHA_NBD_Arp5[cd10211]:799-906</t>
  </si>
  <si>
    <t>Sman__Smp_125790</t>
  </si>
  <si>
    <t>Int_alpha[smart00191]:54-101;Int_alpha[smart00191]:355-429;Int_alpha[smart00191]:460-518</t>
  </si>
  <si>
    <t>SP+TM; SP 1-25; TM 1311-1333 (O→I)</t>
  </si>
  <si>
    <t>SP (p=0.999861); CS 27-28 (Pr=0.8520)</t>
  </si>
  <si>
    <t>Sman__Smp_126140</t>
  </si>
  <si>
    <t>1309-1334</t>
  </si>
  <si>
    <t>C1_cPKC_rpt1[cd20833]:43-100;C1_cPKC_rpt2[cd20836]:109-162;C2_PKC_alpha_gamma[cd04026]:166-297;STKc_cPKC[cd05587]:352-643</t>
  </si>
  <si>
    <t>Sman__Smp_128480</t>
  </si>
  <si>
    <t>Sman__Smp_128790</t>
  </si>
  <si>
    <t>MOD_NMyristoyl:1-7:MGAQHTK | LIG_SH3_4:1046-1053:KPHFKRSE</t>
  </si>
  <si>
    <t>CH[pfam00307]:57-161;CH_SPTB_like_rpt2[cd21248]:181-285;Spectrin[pfam00435]:315-420;SPEC[cd00176]:434-646;SPEC[cd00176]:657-871;SPEC[cd00176]:1033-1254;SPEC[cd00176]:1258-1458;SPEC[cd00176]:1702-1928;SPEC[cd00176]:1931-2157;SPEC[smart00150]:2164-2225;PH[smart00233]:2519-2617</t>
  </si>
  <si>
    <t>Sman__Smp_128920</t>
  </si>
  <si>
    <t>non-specific|Vinculin[pfam01044]:19-885</t>
  </si>
  <si>
    <t>Sman__Smp_130900</t>
  </si>
  <si>
    <t>LIG_EVH1_1:613-617:LPSPP</t>
  </si>
  <si>
    <t>Sman__Smp_131800</t>
  </si>
  <si>
    <t>Sman__Smp_133020</t>
  </si>
  <si>
    <t>Sman__Smp_134260</t>
  </si>
  <si>
    <t>LIG_SH2_SFK_2:88-97:DIYLVFEYME | LIG_SH2_SFK_2:118-124:IFYQLLR | LIG_SH2_SFK_2:182-191:DDYENPVLTE | LIG_SH3_2:276-281:PYRPLR</t>
  </si>
  <si>
    <t>Collagen[pfam01391]:176-227;Collagen[pfam01391]:308-364;Collagen[pfam01391]:425-481;Collagen[pfam01391]:750-805;Collagen[pfam01391]:986-1036</t>
  </si>
  <si>
    <t>SP (p=0.999750); CS 25-26 (Pr=0.9806)</t>
  </si>
  <si>
    <t>Sman__Smp_135560</t>
  </si>
  <si>
    <t>LIG_Integrin_collagen_1:263-268:GRPGER | LIG_Integrin_collagen_1:308-313:GRPGER</t>
  </si>
  <si>
    <t>Sman__Smp_135570</t>
  </si>
  <si>
    <t>SH3_Src_like[cd11845]:116-167;SH2_Src_family[cd09933]:175-278;PTKc_Src_like[cd05034]:308-556</t>
  </si>
  <si>
    <t>Sman__Smp_136300</t>
  </si>
  <si>
    <t>LIG_SH3_2:43-48:PFLPSR | LIG_SH2_SFK_2:490-496:VIYELIT | LIG_SH2_SFK_2:529-535:PIYDMLL</t>
  </si>
  <si>
    <t>PK_Tyr_Ser-Thr[pfam07714]:303-608</t>
  </si>
  <si>
    <t>Sman__Smp_137610</t>
  </si>
  <si>
    <t>LIG_SH2_SFK_2:39-45:IYYSGLQ | LIG_SH2_SFK_2:216-222:SQYDFIS | LIG_SH2_SFK_2:430-437:MEYAPLGE | LIG_SH2_SFK_2:457-463:YSYQIVT | LIG_SH2_SFK_2:582-588:SLYEILL | LIG_SH3_2:653-658:PPKPPK | LIG_SH3_2:899-904:PNSPTR | LIG_SH2_SFK_2:1018-1024:SMYSLIT | LIG_SH2_SFK_2:1059-1066:SLYTTVYE</t>
  </si>
  <si>
    <t>PF21477; PF00069;PF07714; PF03623</t>
  </si>
  <si>
    <t>LIG_SH3_4:655-662:KPPKQSTI</t>
  </si>
  <si>
    <t>PTPc[smart00194]:32-296</t>
  </si>
  <si>
    <t>Sman__Smp_139930</t>
  </si>
  <si>
    <t>LIG_SH3_2:93-98:PEVPSR | LIG_SH3_1:139-145:RCHPYFP</t>
  </si>
  <si>
    <t>S_TKc[smart00220]:108-417</t>
  </si>
  <si>
    <t>Sman__Smp_140700</t>
  </si>
  <si>
    <t>PKc_DYRK2_3[cd14224]:186-565</t>
  </si>
  <si>
    <t>Sman__Smp_141230</t>
  </si>
  <si>
    <t>321-332;434-445</t>
  </si>
  <si>
    <t>Sman__Smp_142050</t>
  </si>
  <si>
    <t>Sman__Smp_143130</t>
  </si>
  <si>
    <t>CH_SPTB-like_rpt1[cd21246]:39-155;CH_SPTB_like_rpt2[cd21248]:172-276;SPEC[smart00150]:425-524;SPEC[cd00176]:528-747;Spectrin[pfam00435]:748-852;SPEC[smart00150]:857-957;SPEC[cd00176]:961-1172;SPEC[smart00150]:1177-1277;SPEC[cd00176]:1281-1491;SPEC[cd00176]:1496-1708;SPEC[cd00176]:1709-1920;SPEC[cd00176]:1922-2121;PH_beta_spectrin[cd10571]:2180-2289</t>
  </si>
  <si>
    <t>Sman__Smp_143470</t>
  </si>
  <si>
    <t>S_TKc[smart00220]:2-241</t>
  </si>
  <si>
    <t>Sman__Smp_145190</t>
  </si>
  <si>
    <t>LIM[cd08368]:321-357;LIM[pfam00412]:366-422</t>
  </si>
  <si>
    <t>Sman__Smp_146200</t>
  </si>
  <si>
    <t>OTHER (p=0.870079)</t>
  </si>
  <si>
    <t>Sman__Smp_146840</t>
  </si>
  <si>
    <t>Laminin_N[pfam00055]:35-268;EGF_Lam[cd00055]:269-322;Laminin_EGF[pfam00053]:334-394;Laminin_EGF[pfam00053]:397-454;EGF_Lam[cd00055]:456-506;EGF_Lam[smart00180]:508-552;Laminin_EGF[pfam00053]:715-763;Laminin_EGF[pfam00053]:763-811;EGF_Lam[cd00055]:808-855;EGF_Lam[cd00055]:856-907;Laminin_EGF[pfam00053]:912-966;Laminin_EGF[pfam00053]:964-1013;EGF_Lam[cd00055]:1015-1063;EGF_Lam[cd00055]:1065-1105</t>
  </si>
  <si>
    <t>SP (p=0.999864); CS 19-20 (Pr=0.9832)</t>
  </si>
  <si>
    <t>Sman__Smp_148790</t>
  </si>
  <si>
    <t>Sman__Smp_150040</t>
  </si>
  <si>
    <t>Y_phosphatase[pfam00102]:556-790</t>
  </si>
  <si>
    <t>TM; TM 430-450 (O→I)</t>
  </si>
  <si>
    <t>OTHER (p=0.999985)</t>
  </si>
  <si>
    <t>Sman__Smp_150220</t>
  </si>
  <si>
    <t>427-452</t>
  </si>
  <si>
    <t>SP (p=0.999817); CS 21-22 (Pr=0.9733)</t>
  </si>
  <si>
    <t>Sman__Smp_151310</t>
  </si>
  <si>
    <t>S_TKc[smart00220]:123-411</t>
  </si>
  <si>
    <t>Sman__Smp_151670</t>
  </si>
  <si>
    <t>OG0007097</t>
  </si>
  <si>
    <t>STKc_PKA[cd14209]:41-330</t>
  </si>
  <si>
    <t>Sman__Smp_152330</t>
  </si>
  <si>
    <t>MOD_NMyristoyl:1-7:MGNAQAA</t>
  </si>
  <si>
    <t>PTPc[cd00047]:104-329</t>
  </si>
  <si>
    <t>Sman__Smp_156870</t>
  </si>
  <si>
    <t>PTKc[cd00192]:307-566</t>
  </si>
  <si>
    <t>SP+TM; SP 1-21; TM 162-171 (O→I)</t>
  </si>
  <si>
    <t>SP (p=0.999830); CS 21-22 (Pr=0.6859)</t>
  </si>
  <si>
    <t>Sman__Smp_157300</t>
  </si>
  <si>
    <t>160-171;372-383;409-423</t>
  </si>
  <si>
    <t>LIG_SH2_SFK_2:31-39:FNYNDVVCE | LIG_SH2_SFK_2:40-48:GDYYLFNCE | LIG_SH2_SFK_2:189-195:IEYYQLA | LIG_SH2_SFK_2:624-630:NEYDSFN</t>
  </si>
  <si>
    <t>PDZ_ZASP52-like[cd23068]:4-84;LIM[pfam00412]:234-287;LIM[cd08368]:293-344;LIM[smart00132]:352-404</t>
  </si>
  <si>
    <t>Sman__Smp_157310</t>
  </si>
  <si>
    <t>Sman__Smp_157350</t>
  </si>
  <si>
    <t>LIG_SH3_1:29-35:RNNPDEP | LIG_SH2_SFK_2:209-215:IVYQCLT | LIG_SH3_2:301-306:PALPSR | LIG_SH2_SFK_2:326-334:GPYYLAPQD | LIG_SH2_SFK_2:411-417:NNYDDPG | LIG_SH3_2:502-507:PSVPTR | LIG_SH2_SFK_2:542-550:EDYVIVNSD</t>
  </si>
  <si>
    <t>Collagen[pfam01391]:171-224;Collagen[pfam01391]:295-351;Collagen[pfam01391]:614-669;Collagen[pfam01391]:1074-1128;Collagen[pfam01391]:1338-1394;C4[pfam01413]:1530-1636;C4[pfam01413]:1641-1754</t>
  </si>
  <si>
    <t>SP (p=0.999791); CS 22-23 (Pr=0.9815)</t>
  </si>
  <si>
    <t>Sman__Smp_159600</t>
  </si>
  <si>
    <t>Sman__Smp_162710</t>
  </si>
  <si>
    <t>Laminin_N[pfam00055]:43-276;EGF_Lam[cd00055]:277-328;EGF_Lam[cd00055]:339-394;EGF_Lam[smart00180]:397-443;Laminin_EGF[pfam00053]:446-496;EGF_Lam[cd00055]:628-666;Laminin_EGF[pfam00053]:733-776;Laminin_EGF[pfam00053]:797-850;EGF_Lam[cd00055]:852-900;EGF_Lam[cd00055]:901-948</t>
  </si>
  <si>
    <t>SP (p=0.999871); CS 20-21 (Pr=0.9829)</t>
  </si>
  <si>
    <t>Sman__Smp_163810</t>
  </si>
  <si>
    <t>Sman__Smp_164380</t>
  </si>
  <si>
    <t>VWC[pfam00093]:3-61;Collagen[pfam01391]:343-399;Collagen[pfam01391]:604-660;Collagen[pfam01391]:1006-1061</t>
  </si>
  <si>
    <t>OTHER (p=0.804816)</t>
  </si>
  <si>
    <t>Sman__Smp_164590</t>
  </si>
  <si>
    <t>Sman__Smp_165070</t>
  </si>
  <si>
    <t>FERM_F0_TLN[cd17089]:4-87;FERM_F1_TLN[cd17090]:88-198;FERM_M[pfam00373]:202-315;FERM_C_Talin[cd10569]:311-403;I_LWEQ[pfam01608]:3067-3242</t>
  </si>
  <si>
    <t>Sman__Smp_167010</t>
  </si>
  <si>
    <t>386-401</t>
  </si>
  <si>
    <t>LIG_Vh1_VBS_1:956-974:LVRKANALASAVECLVADL | LIG_Vh1_VBS_1:1121-1139:LLAASQNLMKCLEDLLRSA | LIG_Vh1_VBS_1:1466-1484:LHDASRIVEMSTNETLELT | LIG_Vh1_VBS_1:1777-1795:FIQSVKGLAQVTNHLVQIT | LIG_Vh1_VBS_1:3021-3039:LIIACRNLVHATLSLMYWA | LIG_Vh1_VBS_1:3118-3136:LISAAQTTAGYTAQLVIAC</t>
  </si>
  <si>
    <t>Sman__Smp_169950</t>
  </si>
  <si>
    <t>non-specific|Integrin_alpha2[pfam08441]:1044-1132</t>
  </si>
  <si>
    <t>SP+TM; SP 1-30; TM 1340-1360 (O→I)</t>
  </si>
  <si>
    <t>OTHER (p=0.740186)</t>
  </si>
  <si>
    <t>Sman__Smp_170280</t>
  </si>
  <si>
    <t>Collagen[pfam01391]:549-604;Collagen[pfam01391]:759-813;Collagen[pfam01391]:939-995;Collagen[pfam01391]:1481-1535;C4[pfam01413]:1546-1652;C4[pfam01413]:1656-1769</t>
  </si>
  <si>
    <t>SP (p=0.925223); CS 36-37 (Pr=0.9664)</t>
  </si>
  <si>
    <t>Sman__Smp_170340</t>
  </si>
  <si>
    <t>FHA_CHK2[cd22666]:36-144;S_TKc[smart00220]:161-428</t>
  </si>
  <si>
    <t>Sman__Smp_171370</t>
  </si>
  <si>
    <t>SH3_Src_like[cd11845]:338-386;SH2[pfam00017]:398-481;PTKc_Src_like[cd05034]:527-773</t>
  </si>
  <si>
    <t>Sman__Smp_172200</t>
  </si>
  <si>
    <t>Sman__Smp_172240</t>
  </si>
  <si>
    <t>IG_like[smart00410]:35-83;PTKc[cd00192]:582-877</t>
  </si>
  <si>
    <t>SP+TM; SP 1-22; TM 414-435 (O→I)</t>
  </si>
  <si>
    <t>SP (p=0.999832); CS 22-23 (Pr=0.9818)</t>
  </si>
  <si>
    <t>Sman__Smp_175590</t>
  </si>
  <si>
    <t>410-435;648-659;717-732</t>
  </si>
  <si>
    <t>LIG_SH2_SFK_2:137-143:EFYEFAV | LIG_SH2_SFK_2:149-155:ACYFYVK | LIG_SH2_SFK_2:297-303:TNYTEFR | LIG_SH2_SFK_2:657-663:HPYILLE | LIG_SH2_SFK_2:693-699:SSYVVVT</t>
  </si>
  <si>
    <t>Collagen[pfam01391]:249-269</t>
  </si>
  <si>
    <t>TM; TM 72-92 (I→O)</t>
  </si>
  <si>
    <t>Sman__Smp_175630</t>
  </si>
  <si>
    <t>Sman__Smp_176750</t>
  </si>
  <si>
    <t>LIG_SH2_SFK_2:18-24:ASYNNLG | LIG_SH2_SFK_2:115-121:GIYEVLL | LIG_SH2_SFK_2:252-261:ICYFNLPFGD | LIG_SH2_SFK_2:287-294:IGYILCVD | LIG_SH2_SFK_2:518-524:NSYSTIE | LIG_SH2_SFK_2:523-529:IEYTSVG</t>
  </si>
  <si>
    <t>S_TKc[smart00220]:78-328</t>
  </si>
  <si>
    <t>Sman__Smp_179070</t>
  </si>
  <si>
    <t>Sman__Smp_181490</t>
  </si>
  <si>
    <t>Sman__Smp_183710</t>
  </si>
  <si>
    <t>Sman__Smp_194270</t>
  </si>
  <si>
    <t>STKc_PKA_like[cd05580]:38-328</t>
  </si>
  <si>
    <t>Sman__Smp_194610</t>
  </si>
  <si>
    <t>OG0003040</t>
  </si>
  <si>
    <t>Hsap__GeneID_5613</t>
  </si>
  <si>
    <t>Cele__WBGene00018569</t>
  </si>
  <si>
    <t>Sman__Smp_195080</t>
  </si>
  <si>
    <t>Collagen[pfam01391]:398-447;Collagen[pfam01391]:467-521;Collagen[pfam01391]:857-911;Collagen[pfam01391]:1052-1107</t>
  </si>
  <si>
    <t>SP (p=0.990057); CS 32-33 (Pr=0.9587)</t>
  </si>
  <si>
    <t>Sman__Smp_196840</t>
  </si>
  <si>
    <t>Collagen[pfam01391]:341-397;Collagen[pfam01391]:861-917</t>
  </si>
  <si>
    <t>SP (p=0.999800); CS 24-25 (Pr=0.9819)</t>
  </si>
  <si>
    <t>Sman__Smp_197370</t>
  </si>
  <si>
    <t>Sman__Smp_202970</t>
  </si>
  <si>
    <t>Sman__Smp_203130</t>
  </si>
  <si>
    <t>Sman__Smp_210740</t>
  </si>
  <si>
    <t>Sman__Smp_212730</t>
  </si>
  <si>
    <t>LIG_SH3_2:39-44:PIFPSK | LIG_SH2_SFK_2:233-242:EHYLQLPGND | LIG_SH2_SFK_2:570-577:ELYDLMLE</t>
  </si>
  <si>
    <t>MOD_NMyristoyl:1-7:MGNSNSS</t>
  </si>
  <si>
    <t>STKc_p70S6K[cd05584]:78-398</t>
  </si>
  <si>
    <t>Sman__Smp_213390</t>
  </si>
  <si>
    <t>Collagen[pfam01391]:89-143;Collagen[pfam01391]:155-213;Collagen[pfam01391]:461-517;Collagen[pfam01391]:751-806;Collagen[pfam01391]:1105-1161;Collagen[pfam01391]:1370-1425;Collagen[pfam01391]:1494-1551;C4[pfam01413]:1668-1781</t>
  </si>
  <si>
    <t>SP; SP 1-44; no TM</t>
  </si>
  <si>
    <t>SP (p=0.999621); CS 44-45 (Pr=0.9344)</t>
  </si>
  <si>
    <t>Sman__Smp_213900</t>
  </si>
  <si>
    <t>LIG_Integrin_collagen_1:984-989:GRPGEK</t>
  </si>
  <si>
    <t>Collagen[pfam01391]:68-122;Collagen[pfam01391]:1092-1148;Collagen[pfam01391]:1190-1244;C4[pfam01413]:1660-1774</t>
  </si>
  <si>
    <t>SP (p=0.999787); CS 33-34 (Pr=0.9799)</t>
  </si>
  <si>
    <t>Sman__Smp_213910</t>
  </si>
  <si>
    <t>1-28</t>
  </si>
  <si>
    <t>STKc_AMPK_alpha[cd14079]:17-272;UBA_AID_AMPKalpha[cd14336]:289-353;AMPKA_C[cd12122]:474-649</t>
  </si>
  <si>
    <t>Sman__Smp_214100</t>
  </si>
  <si>
    <t>LIG_SH2_SFK_2:207-213:ILYALLC | LIG_SH2_SFK_2:296-302:AVYEVCQ</t>
  </si>
  <si>
    <t>Sman__Smp_241420</t>
  </si>
  <si>
    <t>LIG_SH2_SFK_2:75-81:YQYVAFK | LIG_SH2_SFK_2:278-284:GEYYSIP | LIG_SH2_SFK_2:292-300:PPYAEISSE | LIG_SH2_SFK_2:299-308:SEYESQFKAD | LIG_SH2_SFK_2:496-502:PDYIAPE | LIG_SH2_SFK_2:521-527:LLYEMLA</t>
  </si>
  <si>
    <t>Sman__Smp_243630</t>
  </si>
  <si>
    <t>non-specific|Vinculin[pfam01044]:1-1088</t>
  </si>
  <si>
    <t>Sman__Smp_246050</t>
  </si>
  <si>
    <t>I_LWEQ[pfam01608]:959-1103</t>
  </si>
  <si>
    <t>Sman__Smp_246550</t>
  </si>
  <si>
    <t>S_TKc[smart00220]:13-263</t>
  </si>
  <si>
    <t>Sman__Smp_247600</t>
  </si>
  <si>
    <t>LIG_SH2_SFK_2:26-32:VLYVALH | LIG_SH2_SFK_2:82-89:THYYLVLE | LIG_SH2_SFK_2:83-89:HYYLVLE | LIG_SH2_SFK_2:97-104:FDYILQKE | LIG_SH2_SFK_2:172-178:FAYVAPE | LIG_SH2_SFK_2:198-204:ILYALLC | LIG_SH3_2:208-213:PFDPTK | LIG_SH2_SFK_2:312-318:YDYIMAT | LIG_SH2_SFK_2:537-543:TAYSSLS | LIG_SH2_SFK_2:675-684:LVYVSARAVE | LIG_SH2_SFK_2:754-760:FMYTSLC</t>
  </si>
  <si>
    <t>ADF_drebrin_like[cd11281]:2-132;SH3_Cortactin_like[cd11819]:454-506</t>
  </si>
  <si>
    <t>Sman__Smp_247740</t>
  </si>
  <si>
    <t>LIM[smart00132]:47-99;LIM2_Ajuba_like[cd09355]:112-164</t>
  </si>
  <si>
    <t>Sman__Smp_248010</t>
  </si>
  <si>
    <t>STKc_Nek[cd08215]:12-270</t>
  </si>
  <si>
    <t>Sman__Smp_304500</t>
  </si>
  <si>
    <t>LIG_SH2_SFK_2:207-213:ILYELCT | LIG_SH2_SFK_2:517-526:PIYDYVTMDE | LIG_SH2_SFK_2:519-526:YDYVTMDE</t>
  </si>
  <si>
    <t>OG0000183</t>
  </si>
  <si>
    <t>Hsap__GeneID_23659, Hsap__GeneID_3931</t>
  </si>
  <si>
    <t>Cele__WBGene00010872</t>
  </si>
  <si>
    <t>Hsap__GeneID_23659, Hsap__GeneID_3931, Hsap__GeneID_79858</t>
  </si>
  <si>
    <t>Sman__Smp_306600</t>
  </si>
  <si>
    <t>Int_alpha[smart00191]:308-359;Int_alpha[smart00191]:400-449</t>
  </si>
  <si>
    <t>SP (p=0.999772); CS 18-19 (Pr=0.5172)</t>
  </si>
  <si>
    <t>Sman__Smp_306910</t>
  </si>
  <si>
    <t>4-21;1173-1198</t>
  </si>
  <si>
    <t>Sman__Smp_307010</t>
  </si>
  <si>
    <t>Sman__Smp_307020</t>
  </si>
  <si>
    <t>Sman__Smp_307260</t>
  </si>
  <si>
    <t>ADF_Twf-N_like[cd11285]:4-142;Cofilin_ADF[pfam00241]:185-289</t>
  </si>
  <si>
    <t>Sman__Smp_308420</t>
  </si>
  <si>
    <t>ANKYR[COG0666]:44-205</t>
  </si>
  <si>
    <t>Sman__Smp_309860</t>
  </si>
  <si>
    <t>ASKHA_NBD_Arp8-like[cd10206]:10-607</t>
  </si>
  <si>
    <t>Sman__Smp_313640</t>
  </si>
  <si>
    <t>LIM[pfam00412]:318-373;LIM[pfam00412]:377-433;LIM[pfam00412]:437-492;LIM4_Leupaxin[cd09412]:496-547</t>
  </si>
  <si>
    <t>Sman__Smp_315700</t>
  </si>
  <si>
    <t>LIG_FAT_LD_1:4-12:LDSLLNELH | LIG_FAT_LD_1:160-168:VDDLLYSLK</t>
  </si>
  <si>
    <t>CH[pfam00307]:73-176;CH[pfam00307]:199-301;SPEC[cd00176]:623-813;SPEC[smart00150]:4881-4989;SPEC[cd00176]:5755-6006;SPEC[cd00176]:6120-6337;SPEC[cd00176]:6343-6585;FRQ1[COG5126]:6844-6911;GAS2[pfam02187]:6936-7004</t>
  </si>
  <si>
    <t>Sman__Smp_315810</t>
  </si>
  <si>
    <t>160-177</t>
  </si>
  <si>
    <t>CH_dFLNA-like_rpt1[cd21311]:23-146;CH_FLN_rpt2[cd21230]:166-267;IG_FLMN[smart00557]:279-374;IG_FLMN[smart00557]:379-476;IG_FLMN[smart00557]:480-574;IG_FLMN[smart00557]:578-659;IG_FLMN[smart00557]:672-775;IG_FLMN[smart00557]:902-978;IG_FLMN[smart00557]:981-1071;IG_FLMN[smart00557]:1077-1178;IG_FLMN[smart00557]:1184-1298;IG_FLMN[smart00557]:1508-1595;IG_FLMN[smart00557]:1687-1776;IG_FLMN[smart00557]:1880-1970;IG_FLMN[smart00557]:2101-2191;IG_FLMN[smart00557]:2235-2324</t>
  </si>
  <si>
    <t>Sman__Smp_317420</t>
  </si>
  <si>
    <t>Sman__Smp_328200</t>
  </si>
  <si>
    <t>PK_Tyr_Ser-Thr[pfam07714]:31-273</t>
  </si>
  <si>
    <t>Sman__Smp_331960</t>
  </si>
  <si>
    <t>SH2_Fps_family[cd10361]:804-927;PTKc_Fes_like[cd05041]:955-1202</t>
  </si>
  <si>
    <t>Sman__Smp_332370</t>
  </si>
  <si>
    <t>1005-1016;1046-1062</t>
  </si>
  <si>
    <t>CH[pfam00307]:90-173;CH[pfam00307]:191-294;SPEC[cd00176]:1553-1781;SPEC[smart00150]:1895-1998;SPEC[smart00150]:2212-2278;SPEC[cd00176]:2559-2800;PH[smart00233]:3193-3300</t>
  </si>
  <si>
    <t>Sman__Smp_332820</t>
  </si>
  <si>
    <t>1535-1546</t>
  </si>
  <si>
    <t>LIG_Vh1_VBS_1:2574-2592:LIASSIYTGRSLNECVRLI</t>
  </si>
  <si>
    <t>Candidate vinculin-binding helix; domain architecture, helix conformation and accessibility require review.</t>
  </si>
  <si>
    <t>OG0000252</t>
  </si>
  <si>
    <t>STKc_MST1_2[cd06612]:13-268;SARAH_MST_Hpo[cd21884]:551-595</t>
  </si>
  <si>
    <t>Sman__Smp_333410</t>
  </si>
  <si>
    <t>LIG_SH2_SFK_2:554-560:LSYTELE</t>
  </si>
  <si>
    <t>Sman__Smp_334130</t>
  </si>
  <si>
    <t>TM; TM 143-163 (O→I)</t>
  </si>
  <si>
    <t>Sman__Smp_334370</t>
  </si>
  <si>
    <t>138-164</t>
  </si>
  <si>
    <t>LIG_SH3_4:783-790:KPNQQSQT</t>
  </si>
  <si>
    <t>STKc_Aurora[cd14007]:1-200</t>
  </si>
  <si>
    <t>Sman__Smp_335730</t>
  </si>
  <si>
    <t>PTKc_Fes_like[cd05041]:35-282</t>
  </si>
  <si>
    <t>Sman__Smp_335950</t>
  </si>
  <si>
    <t>Sman__Smp_336830</t>
  </si>
  <si>
    <t>STKc_RSK_N[cd05582]:64-382;STKc_RSK_C[cd14091]:477-769</t>
  </si>
  <si>
    <t>Sman__Smp_340300</t>
  </si>
  <si>
    <t>PK_Tyr_Ser-Thr[pfam07714]:457-736</t>
  </si>
  <si>
    <t>Sman__Smp_342370</t>
  </si>
  <si>
    <t>505-516;552-567</t>
  </si>
  <si>
    <t>LIG_SH2_SFK_2:266-274:PFYEEWLCE | LIG_SH2_SFK_2:692-698:DEYEVPK | LIG_SH2_SFK_2:731-737:SLYSFIE</t>
  </si>
  <si>
    <t>FERM_F0_TLN[cd17089]:17-101;FERM_F1_TLN[cd17090]:102-219;FERM_M[pfam00373]:229-336;FERM_C_Talin[cd10569]:332-424;talin-RS[cd12150]:1877-2048</t>
  </si>
  <si>
    <t>Sman__Smp_343540</t>
  </si>
  <si>
    <t>LIG_Vh1_VBS_1:849-867:VIASVTQTGLCTSQLVACT | LIG_Vh1_VBS_1:974-992:MVASARRLAQATALMIADI | LIG_Vh1_VBS_1:1009-1027:LFHAAKQLADATTNLINAA | LIG_Vh1_VBS_1:2306-2324:IARTARALVDDTQSLVSGT | LIG_Vh1_VBS_1:2516-2534:IVQTSSATRDAVADLVAAA | LIG_Vh1_VBS_1:2709-2727:LLVTARSVAVSVQNLIRTA</t>
  </si>
  <si>
    <t>EGF_Lam[cd00055]:319-367;EGF_Lam[cd00055]:442-497;Laminin_EGF[pfam00053]:500-549;Laminin_B[pfam00052]:640-824;Laminin_EGF[pfam00053]:890-937;EGF_Lam[cd00055]:968-999;EGF_Lam[cd00055]:1000-1046;EGF_Lam[smart00180]:1048-1092;EGF_Lam[smart00180]:1095-1144;Laminin_EGF[pfam00053]:1147-1197;EGF_Lam[smart00180]:1212-1246;EGF_Lam[smart00180]:1255-1288;Laminin_EGF[pfam00053]:1295-1346;Laminin_EGF[pfam00053]:1344-1401;EGF_Lam[cd00055]:1708-1754;EGF_Lam[cd00055]:1756-1811;EGF_Lam[cd00055]:1812-1861;COG4372[COG4372]:1863-2144;LamG[smart00282]:3353-3449</t>
  </si>
  <si>
    <t>SP (p=0.999837); CS 20-21 (Pr=0.9807)</t>
  </si>
  <si>
    <t>Sman__Smp_343650</t>
  </si>
  <si>
    <t>2036-2047</t>
  </si>
  <si>
    <t>Collagen[pfam01391]:287-343;Collagen[pfam01391]:590-645;Collagen[pfam01391]:830-883</t>
  </si>
  <si>
    <t>OTHER (p=0.510716)</t>
  </si>
  <si>
    <t>Sman__Smp_343740</t>
  </si>
  <si>
    <t>10-32</t>
  </si>
  <si>
    <t>LIG_Integrin_collagen_1:410-415:GMPGEA | LIG_Integrin_collagen_1:937-942:GLPGER</t>
  </si>
  <si>
    <t>PK_Tyr_Ser-Thr[pfam07714]:192-478</t>
  </si>
  <si>
    <t>Sman__Smp_344780</t>
  </si>
  <si>
    <t>LIG_SH2_SFK_2:423-432:QPYASIDAFE</t>
  </si>
  <si>
    <t>SH3_Src_like[cd11845]:116-167;SH2[smart00252]:181-268;PK_Tyr_Ser-Thr[pfam07714]:297-547</t>
  </si>
  <si>
    <t>Sman__Smp_348670</t>
  </si>
  <si>
    <t>LIG_SH2_SFK_2:165-172:SNYVCLND | LIG_SH2_SFK_2:259-267:INYYTVHPD | LIG_SH2_SFK_2:377-386:ALYDFLRTEE | LIG_SH2_SFK_2:482-488:LMYEIVT</t>
  </si>
  <si>
    <t>sequence_id</t>
  </si>
  <si>
    <t>elm_class</t>
  </si>
  <si>
    <t>start</t>
  </si>
  <si>
    <t>end</t>
  </si>
  <si>
    <t>peptide</t>
  </si>
  <si>
    <t>family_priority</t>
  </si>
  <si>
    <t>context_state</t>
  </si>
  <si>
    <t>overlapping_domains</t>
  </si>
  <si>
    <t>disorder_context</t>
  </si>
  <si>
    <t>exact_reference_instances</t>
  </si>
  <si>
    <t>reference_partner_domains</t>
  </si>
  <si>
    <t>evidence</t>
  </si>
  <si>
    <t>review_note</t>
  </si>
  <si>
    <t>2574</t>
  </si>
  <si>
    <t>2592</t>
  </si>
  <si>
    <t>LIASSIYTGRSLNECVRLI</t>
  </si>
  <si>
    <t>1342</t>
  </si>
  <si>
    <t>1347</t>
  </si>
  <si>
    <t>GLPGEA</t>
  </si>
  <si>
    <t>937</t>
  </si>
  <si>
    <t>942</t>
  </si>
  <si>
    <t>GLPGER</t>
  </si>
  <si>
    <t>122</t>
  </si>
  <si>
    <t>127</t>
  </si>
  <si>
    <t>GRPGER</t>
  </si>
  <si>
    <t>167</t>
  </si>
  <si>
    <t>172</t>
  </si>
  <si>
    <t>1227</t>
  </si>
  <si>
    <t>1232</t>
  </si>
  <si>
    <t>750</t>
  </si>
  <si>
    <t>755</t>
  </si>
  <si>
    <t>GFPGEK</t>
  </si>
  <si>
    <t>964</t>
  </si>
  <si>
    <t>969</t>
  </si>
  <si>
    <t>829</t>
  </si>
  <si>
    <t>834</t>
  </si>
  <si>
    <t>1106</t>
  </si>
  <si>
    <t>1111</t>
  </si>
  <si>
    <t>938</t>
  </si>
  <si>
    <t>943</t>
  </si>
  <si>
    <t>261</t>
  </si>
  <si>
    <t>266</t>
  </si>
  <si>
    <t>306</t>
  </si>
  <si>
    <t>311</t>
  </si>
  <si>
    <t>263</t>
  </si>
  <si>
    <t>268</t>
  </si>
  <si>
    <t>308</t>
  </si>
  <si>
    <t>313</t>
  </si>
  <si>
    <t>984</t>
  </si>
  <si>
    <t>989</t>
  </si>
  <si>
    <t>GRPGEK</t>
  </si>
  <si>
    <t>410</t>
  </si>
  <si>
    <t>415</t>
  </si>
  <si>
    <t>GMPGEA</t>
  </si>
  <si>
    <t>97</t>
  </si>
  <si>
    <t>103</t>
  </si>
  <si>
    <t>FIYILLE</t>
  </si>
  <si>
    <t>187</t>
  </si>
  <si>
    <t>193</t>
  </si>
  <si>
    <t>PNYIAPE</t>
  </si>
  <si>
    <t>212</t>
  </si>
  <si>
    <t>218</t>
  </si>
  <si>
    <t>ILYTLLV</t>
  </si>
  <si>
    <t>524</t>
  </si>
  <si>
    <t>532</t>
  </si>
  <si>
    <t>VTYIDANRE</t>
  </si>
  <si>
    <t>96</t>
  </si>
  <si>
    <t>102</t>
  </si>
  <si>
    <t>LLYIVAN</t>
  </si>
  <si>
    <t>PF00169</t>
  </si>
  <si>
    <t>349</t>
  </si>
  <si>
    <t>356</t>
  </si>
  <si>
    <t>HNYNPVRE</t>
  </si>
  <si>
    <t>803</t>
  </si>
  <si>
    <t>809</t>
  </si>
  <si>
    <t>QVYQYIV</t>
  </si>
  <si>
    <t>842</t>
  </si>
  <si>
    <t>848</t>
  </si>
  <si>
    <t>FEYICQK</t>
  </si>
  <si>
    <t>LIG_SH3_2</t>
  </si>
  <si>
    <t>450</t>
  </si>
  <si>
    <t>455</t>
  </si>
  <si>
    <t>PEAPGK</t>
  </si>
  <si>
    <t>PF00017</t>
  </si>
  <si>
    <t>PF00018;PF07653;PF14604</t>
  </si>
  <si>
    <t>Generic SH3 ligand candidate; review position and accessibility.</t>
  </si>
  <si>
    <t>5</t>
  </si>
  <si>
    <t>12</t>
  </si>
  <si>
    <t>STYIDQVE</t>
  </si>
  <si>
    <t>74</t>
  </si>
  <si>
    <t>80</t>
  </si>
  <si>
    <t>IDYFAFV</t>
  </si>
  <si>
    <t>104</t>
  </si>
  <si>
    <t>STYIILCLE</t>
  </si>
  <si>
    <t>201</t>
  </si>
  <si>
    <t>210</t>
  </si>
  <si>
    <t>DFYAQIIARE</t>
  </si>
  <si>
    <t>324</t>
  </si>
  <si>
    <t>331</t>
  </si>
  <si>
    <t>EEYNELIE</t>
  </si>
  <si>
    <t>430</t>
  </si>
  <si>
    <t>439</t>
  </si>
  <si>
    <t>HLYIVMELLD</t>
  </si>
  <si>
    <t>576</t>
  </si>
  <si>
    <t>582</t>
  </si>
  <si>
    <t>GEYQSVK</t>
  </si>
  <si>
    <t>587</t>
  </si>
  <si>
    <t>594</t>
  </si>
  <si>
    <t>NQYSNLVD</t>
  </si>
  <si>
    <t>733</t>
  </si>
  <si>
    <t>739</t>
  </si>
  <si>
    <t>LEYEAIK</t>
  </si>
  <si>
    <t>811</t>
  </si>
  <si>
    <t>817</t>
  </si>
  <si>
    <t>INYAILM</t>
  </si>
  <si>
    <t>118</t>
  </si>
  <si>
    <t>126</t>
  </si>
  <si>
    <t>DAYIFLVSE</t>
  </si>
  <si>
    <t>220</t>
  </si>
  <si>
    <t>226</t>
  </si>
  <si>
    <t>GYYEDQP</t>
  </si>
  <si>
    <t>240</t>
  </si>
  <si>
    <t>246</t>
  </si>
  <si>
    <t>IMYTLLA</t>
  </si>
  <si>
    <t>346</t>
  </si>
  <si>
    <t>352</t>
  </si>
  <si>
    <t>AAYLNIN</t>
  </si>
  <si>
    <t>422</t>
  </si>
  <si>
    <t>431</t>
  </si>
  <si>
    <t>VNYTPFNFED</t>
  </si>
  <si>
    <t>276</t>
  </si>
  <si>
    <t>EPYIGVKAD</t>
  </si>
  <si>
    <t>283</t>
  </si>
  <si>
    <t>289</t>
  </si>
  <si>
    <t>ILYVMVC</t>
  </si>
  <si>
    <t>482</t>
  </si>
  <si>
    <t>489</t>
  </si>
  <si>
    <t>ATYLLLGE</t>
  </si>
  <si>
    <t>561</t>
  </si>
  <si>
    <t>567</t>
  </si>
  <si>
    <t>PNYSTIP</t>
  </si>
  <si>
    <t>660</t>
  </si>
  <si>
    <t>668</t>
  </si>
  <si>
    <t>QSYLPVEDE</t>
  </si>
  <si>
    <t>386</t>
  </si>
  <si>
    <t>392</t>
  </si>
  <si>
    <t>ILYALLC</t>
  </si>
  <si>
    <t>475</t>
  </si>
  <si>
    <t>481</t>
  </si>
  <si>
    <t>AVYEVCQ</t>
  </si>
  <si>
    <t>781</t>
  </si>
  <si>
    <t>790</t>
  </si>
  <si>
    <t>NCYDGPNTTE</t>
  </si>
  <si>
    <t>165</t>
  </si>
  <si>
    <t>SNYVCLND</t>
  </si>
  <si>
    <t>259</t>
  </si>
  <si>
    <t>267</t>
  </si>
  <si>
    <t>INYYTVHPD</t>
  </si>
  <si>
    <t>377</t>
  </si>
  <si>
    <t>ALYDFLRTEE</t>
  </si>
  <si>
    <t>488</t>
  </si>
  <si>
    <t>LMYEIVT</t>
  </si>
  <si>
    <t>546</t>
  </si>
  <si>
    <t>552</t>
  </si>
  <si>
    <t>SLYDVFE</t>
  </si>
  <si>
    <t>3</t>
  </si>
  <si>
    <t>9</t>
  </si>
  <si>
    <t>FEYTDVV</t>
  </si>
  <si>
    <t>15</t>
  </si>
  <si>
    <t>21</t>
  </si>
  <si>
    <t>LGYTTVK</t>
  </si>
  <si>
    <t>70</t>
  </si>
  <si>
    <t>76</t>
  </si>
  <si>
    <t>LTYSEVK</t>
  </si>
  <si>
    <t>116</t>
  </si>
  <si>
    <t>IYYSGLQ</t>
  </si>
  <si>
    <t>459</t>
  </si>
  <si>
    <t>466</t>
  </si>
  <si>
    <t>MEYAALGE</t>
  </si>
  <si>
    <t>486</t>
  </si>
  <si>
    <t>492</t>
  </si>
  <si>
    <t>YSYQIVT</t>
  </si>
  <si>
    <t>611</t>
  </si>
  <si>
    <t>617</t>
  </si>
  <si>
    <t>SLYEILL</t>
  </si>
  <si>
    <t>1049</t>
  </si>
  <si>
    <t>1055</t>
  </si>
  <si>
    <t>SMYSLIT</t>
  </si>
  <si>
    <t>1090</t>
  </si>
  <si>
    <t>1097</t>
  </si>
  <si>
    <t>TLYTTVYE</t>
  </si>
  <si>
    <t>682</t>
  </si>
  <si>
    <t>687</t>
  </si>
  <si>
    <t>PPKPPK</t>
  </si>
  <si>
    <t>35</t>
  </si>
  <si>
    <t>42</t>
  </si>
  <si>
    <t>NVYLGVWE</t>
  </si>
  <si>
    <t>111</t>
  </si>
  <si>
    <t>117</t>
  </si>
  <si>
    <t>VHYNLVN</t>
  </si>
  <si>
    <t>113</t>
  </si>
  <si>
    <t>121</t>
  </si>
  <si>
    <t>EVYLFLGLE</t>
  </si>
  <si>
    <t>157</t>
  </si>
  <si>
    <t>166</t>
  </si>
  <si>
    <t>LHYLDLIYRD</t>
  </si>
  <si>
    <t>227</t>
  </si>
  <si>
    <t>233</t>
  </si>
  <si>
    <t>LIYEMVA</t>
  </si>
  <si>
    <t>7</t>
  </si>
  <si>
    <t>16</t>
  </si>
  <si>
    <t>YEYEVIIPPE</t>
  </si>
  <si>
    <t>17</t>
  </si>
  <si>
    <t>23</t>
  </si>
  <si>
    <t>GGYVSLE</t>
  </si>
  <si>
    <t>307</t>
  </si>
  <si>
    <t>314</t>
  </si>
  <si>
    <t>QGYDFASD</t>
  </si>
  <si>
    <t>321</t>
  </si>
  <si>
    <t>327</t>
  </si>
  <si>
    <t>LLYEMAA</t>
  </si>
  <si>
    <t>357</t>
  </si>
  <si>
    <t>GDYAPLPKE</t>
  </si>
  <si>
    <t>75</t>
  </si>
  <si>
    <t>81</t>
  </si>
  <si>
    <t>YQYVAFK</t>
  </si>
  <si>
    <t>PF00130</t>
  </si>
  <si>
    <t>278</t>
  </si>
  <si>
    <t>284</t>
  </si>
  <si>
    <t>GEYYSIP</t>
  </si>
  <si>
    <t>292</t>
  </si>
  <si>
    <t>300</t>
  </si>
  <si>
    <t>PPYAEISSE</t>
  </si>
  <si>
    <t>299</t>
  </si>
  <si>
    <t>SEYESQFKGD</t>
  </si>
  <si>
    <t>496</t>
  </si>
  <si>
    <t>502</t>
  </si>
  <si>
    <t>PDYIAPE</t>
  </si>
  <si>
    <t>521</t>
  </si>
  <si>
    <t>527</t>
  </si>
  <si>
    <t>LLYEMLA</t>
  </si>
  <si>
    <t>207</t>
  </si>
  <si>
    <t>216</t>
  </si>
  <si>
    <t>EHYLQLPGND</t>
  </si>
  <si>
    <t>544</t>
  </si>
  <si>
    <t>551</t>
  </si>
  <si>
    <t>ELYDLMLE</t>
  </si>
  <si>
    <t>LSYTELE</t>
  </si>
  <si>
    <t>146</t>
  </si>
  <si>
    <t>153</t>
  </si>
  <si>
    <t>ESYLNFEE</t>
  </si>
  <si>
    <t>159</t>
  </si>
  <si>
    <t>EIYFLFE</t>
  </si>
  <si>
    <t>183</t>
  </si>
  <si>
    <t>189</t>
  </si>
  <si>
    <t>FVYQILR</t>
  </si>
  <si>
    <t>523</t>
  </si>
  <si>
    <t>529</t>
  </si>
  <si>
    <t>ANYNSFI</t>
  </si>
  <si>
    <t>LIG_SH3_1</t>
  </si>
  <si>
    <t>RPAPHRP</t>
  </si>
  <si>
    <t>Generic SH3 ligand candidate; not FAK identity or binding evidence.</t>
  </si>
  <si>
    <t>PHRPFR</t>
  </si>
  <si>
    <t>257</t>
  </si>
  <si>
    <t>TEYLFVI</t>
  </si>
  <si>
    <t>288</t>
  </si>
  <si>
    <t>295</t>
  </si>
  <si>
    <t>NNYNVIVE</t>
  </si>
  <si>
    <t>467</t>
  </si>
  <si>
    <t>473</t>
  </si>
  <si>
    <t>GVYEFQI</t>
  </si>
  <si>
    <t>507</t>
  </si>
  <si>
    <t>513</t>
  </si>
  <si>
    <t>HYYILVI</t>
  </si>
  <si>
    <t>859</t>
  </si>
  <si>
    <t>865</t>
  </si>
  <si>
    <t>TFYEILS</t>
  </si>
  <si>
    <t>559</t>
  </si>
  <si>
    <t>565</t>
  </si>
  <si>
    <t>PFYSTIK</t>
  </si>
  <si>
    <t>188</t>
  </si>
  <si>
    <t>PPEPSK</t>
  </si>
  <si>
    <t>209</t>
  </si>
  <si>
    <t>215</t>
  </si>
  <si>
    <t>IVYQCLT</t>
  </si>
  <si>
    <t>326</t>
  </si>
  <si>
    <t>334</t>
  </si>
  <si>
    <t>GPYYLAPQD</t>
  </si>
  <si>
    <t>411</t>
  </si>
  <si>
    <t>417</t>
  </si>
  <si>
    <t>NNYDDPG</t>
  </si>
  <si>
    <t>542</t>
  </si>
  <si>
    <t>550</t>
  </si>
  <si>
    <t>EDYVIVNSD</t>
  </si>
  <si>
    <t>29</t>
  </si>
  <si>
    <t>KNNPEEP</t>
  </si>
  <si>
    <t>301</t>
  </si>
  <si>
    <t>PALPSR</t>
  </si>
  <si>
    <t>PSVPTR</t>
  </si>
  <si>
    <t>72</t>
  </si>
  <si>
    <t>78</t>
  </si>
  <si>
    <t>LSYELFN</t>
  </si>
  <si>
    <t>130</t>
  </si>
  <si>
    <t>137</t>
  </si>
  <si>
    <t>YPYNYVSD</t>
  </si>
  <si>
    <t>154</t>
  </si>
  <si>
    <t>160</t>
  </si>
  <si>
    <t>NNYEEPD</t>
  </si>
  <si>
    <t>275</t>
  </si>
  <si>
    <t>281</t>
  </si>
  <si>
    <t>GEYSTLM</t>
  </si>
  <si>
    <t>305</t>
  </si>
  <si>
    <t>LPYFLLF</t>
  </si>
  <si>
    <t>342</t>
  </si>
  <si>
    <t>351</t>
  </si>
  <si>
    <t>IEYYEFTTGD</t>
  </si>
  <si>
    <t>13</t>
  </si>
  <si>
    <t>HPYSNLS</t>
  </si>
  <si>
    <t>82</t>
  </si>
  <si>
    <t>88</t>
  </si>
  <si>
    <t>YYYDNLI</t>
  </si>
  <si>
    <t>164</t>
  </si>
  <si>
    <t>170</t>
  </si>
  <si>
    <t>NGYIYAM</t>
  </si>
  <si>
    <t>340</t>
  </si>
  <si>
    <t>LAYSTVGTPD</t>
  </si>
  <si>
    <t>339</t>
  </si>
  <si>
    <t>345</t>
  </si>
  <si>
    <t>364</t>
  </si>
  <si>
    <t>370</t>
  </si>
  <si>
    <t>IMYEMLI</t>
  </si>
  <si>
    <t>141</t>
  </si>
  <si>
    <t>147</t>
  </si>
  <si>
    <t>EFYEFVM</t>
  </si>
  <si>
    <t>ACYFYVR</t>
  </si>
  <si>
    <t>302</t>
  </si>
  <si>
    <t>TNYTEFR</t>
  </si>
  <si>
    <t>663</t>
  </si>
  <si>
    <t>669</t>
  </si>
  <si>
    <t>HLYILLE</t>
  </si>
  <si>
    <t>699</t>
  </si>
  <si>
    <t>705</t>
  </si>
  <si>
    <t>SSYVIVK</t>
  </si>
  <si>
    <t>887</t>
  </si>
  <si>
    <t>894</t>
  </si>
  <si>
    <t>SSYDDPKE</t>
  </si>
  <si>
    <t>831</t>
  </si>
  <si>
    <t>840</t>
  </si>
  <si>
    <t>NVYENVEPPE</t>
  </si>
  <si>
    <t>44</t>
  </si>
  <si>
    <t>49</t>
  </si>
  <si>
    <t>PRMPVR</t>
  </si>
  <si>
    <t>213</t>
  </si>
  <si>
    <t>219</t>
  </si>
  <si>
    <t>NNYQLIE</t>
  </si>
  <si>
    <t>NSYYLQD</t>
  </si>
  <si>
    <t>383</t>
  </si>
  <si>
    <t>389</t>
  </si>
  <si>
    <t>VLYVALH</t>
  </si>
  <si>
    <t>446</t>
  </si>
  <si>
    <t>THYYLVLE</t>
  </si>
  <si>
    <t>440</t>
  </si>
  <si>
    <t>HYYLVLE</t>
  </si>
  <si>
    <t>454</t>
  </si>
  <si>
    <t>461</t>
  </si>
  <si>
    <t>FDYILQKE</t>
  </si>
  <si>
    <t>535</t>
  </si>
  <si>
    <t>FAYVAPE</t>
  </si>
  <si>
    <t>555</t>
  </si>
  <si>
    <t>675</t>
  </si>
  <si>
    <t>YDYIMAT</t>
  </si>
  <si>
    <t>880</t>
  </si>
  <si>
    <t>886</t>
  </si>
  <si>
    <t>TAYSSLS</t>
  </si>
  <si>
    <t>1018</t>
  </si>
  <si>
    <t>1027</t>
  </si>
  <si>
    <t>LVYVSARALE</t>
  </si>
  <si>
    <t>1103</t>
  </si>
  <si>
    <t>FMYTSLC</t>
  </si>
  <si>
    <t>570</t>
  </si>
  <si>
    <t>PFDPTK</t>
  </si>
  <si>
    <t>TFYFLLR</t>
  </si>
  <si>
    <t>DIYQTVM</t>
  </si>
  <si>
    <t>SLYEFLQ</t>
  </si>
  <si>
    <t>538</t>
  </si>
  <si>
    <t>LPYQDLVSAD</t>
  </si>
  <si>
    <t>721</t>
  </si>
  <si>
    <t>727</t>
  </si>
  <si>
    <t>ILYSSLL</t>
  </si>
  <si>
    <t>18</t>
  </si>
  <si>
    <t>24</t>
  </si>
  <si>
    <t>ASYNNLG</t>
  </si>
  <si>
    <t>115</t>
  </si>
  <si>
    <t>GIYEVLL</t>
  </si>
  <si>
    <t>252</t>
  </si>
  <si>
    <t>ICYFNLPFGD</t>
  </si>
  <si>
    <t>287</t>
  </si>
  <si>
    <t>294</t>
  </si>
  <si>
    <t>IGYILCVD</t>
  </si>
  <si>
    <t>441</t>
  </si>
  <si>
    <t>447</t>
  </si>
  <si>
    <t>FSYSNIL</t>
  </si>
  <si>
    <t>517</t>
  </si>
  <si>
    <t>IEYTSVG</t>
  </si>
  <si>
    <t>NDYITFL</t>
  </si>
  <si>
    <t>293</t>
  </si>
  <si>
    <t>NFYIIAD</t>
  </si>
  <si>
    <t>372</t>
  </si>
  <si>
    <t>ESYSLLIAD</t>
  </si>
  <si>
    <t>478</t>
  </si>
  <si>
    <t>484</t>
  </si>
  <si>
    <t>YVYLLLE</t>
  </si>
  <si>
    <t>515</t>
  </si>
  <si>
    <t>QFYVACVVE</t>
  </si>
  <si>
    <t>45</t>
  </si>
  <si>
    <t>51</t>
  </si>
  <si>
    <t>PDYVSQY</t>
  </si>
  <si>
    <t>55</t>
  </si>
  <si>
    <t>SQYLVFL</t>
  </si>
  <si>
    <t>222</t>
  </si>
  <si>
    <t>SLYYYFY</t>
  </si>
  <si>
    <t>231</t>
  </si>
  <si>
    <t>239</t>
  </si>
  <si>
    <t>ETYLNLIQE</t>
  </si>
  <si>
    <t>238</t>
  </si>
  <si>
    <t>244</t>
  </si>
  <si>
    <t>QEYIPQT</t>
  </si>
  <si>
    <t>398</t>
  </si>
  <si>
    <t>PHYSEFK</t>
  </si>
  <si>
    <t>11</t>
  </si>
  <si>
    <t>LTYSLLS</t>
  </si>
  <si>
    <t>404</t>
  </si>
  <si>
    <t>ELYNQLL</t>
  </si>
  <si>
    <t>333</t>
  </si>
  <si>
    <t>RNEPKLP</t>
  </si>
  <si>
    <t>336</t>
  </si>
  <si>
    <t>341</t>
  </si>
  <si>
    <t>PKLPVR</t>
  </si>
  <si>
    <t>185</t>
  </si>
  <si>
    <t>191</t>
  </si>
  <si>
    <t>LVYVLAE</t>
  </si>
  <si>
    <t>256</t>
  </si>
  <si>
    <t>262</t>
  </si>
  <si>
    <t>303</t>
  </si>
  <si>
    <t>309</t>
  </si>
  <si>
    <t>374</t>
  </si>
  <si>
    <t>382</t>
  </si>
  <si>
    <t>494</t>
  </si>
  <si>
    <t>YLYLLLE</t>
  </si>
  <si>
    <t>525</t>
  </si>
  <si>
    <t>QFYVACVIE</t>
  </si>
  <si>
    <t>714</t>
  </si>
  <si>
    <t>720</t>
  </si>
  <si>
    <t>IYYVGQL</t>
  </si>
  <si>
    <t>963</t>
  </si>
  <si>
    <t>971</t>
  </si>
  <si>
    <t>ALYEIFPDE</t>
  </si>
  <si>
    <t>1174</t>
  </si>
  <si>
    <t>1180</t>
  </si>
  <si>
    <t>ILYVSLS</t>
  </si>
  <si>
    <t>347</t>
  </si>
  <si>
    <t>353</t>
  </si>
  <si>
    <t>387</t>
  </si>
  <si>
    <t>393</t>
  </si>
  <si>
    <t>530</t>
  </si>
  <si>
    <t>539</t>
  </si>
  <si>
    <t>KVLPPDP</t>
  </si>
  <si>
    <t>TSYNNLG</t>
  </si>
  <si>
    <t>RPRPNCP</t>
  </si>
  <si>
    <t>SCYFYFR</t>
  </si>
  <si>
    <t>TIYSIVGSD</t>
  </si>
  <si>
    <t>258</t>
  </si>
  <si>
    <t>DDYEAPNFE</t>
  </si>
  <si>
    <t>286</t>
  </si>
  <si>
    <t>DAYSDIND</t>
  </si>
  <si>
    <t>312</t>
  </si>
  <si>
    <t>TNYTQFQ</t>
  </si>
  <si>
    <t>VWYSGLS</t>
  </si>
  <si>
    <t>358</t>
  </si>
  <si>
    <t>367</t>
  </si>
  <si>
    <t>TLYESLRNNE</t>
  </si>
  <si>
    <t>666</t>
  </si>
  <si>
    <t>672</t>
  </si>
  <si>
    <t>QPYILLE</t>
  </si>
  <si>
    <t>702</t>
  </si>
  <si>
    <t>708</t>
  </si>
  <si>
    <t>SSYVIVS</t>
  </si>
  <si>
    <t>838</t>
  </si>
  <si>
    <t>TPYEGINDDE</t>
  </si>
  <si>
    <t>242</t>
  </si>
  <si>
    <t>577</t>
  </si>
  <si>
    <t>73</t>
  </si>
  <si>
    <t>79</t>
  </si>
  <si>
    <t>RYQPYNP</t>
  </si>
  <si>
    <t>39</t>
  </si>
  <si>
    <t>PIFPSK</t>
  </si>
  <si>
    <t>58</t>
  </si>
  <si>
    <t>IVYEAQDINE</t>
  </si>
  <si>
    <t>285</t>
  </si>
  <si>
    <t>291</t>
  </si>
  <si>
    <t>PFYSLIR</t>
  </si>
  <si>
    <t>620</t>
  </si>
  <si>
    <t>626</t>
  </si>
  <si>
    <t>IDYVAQL</t>
  </si>
  <si>
    <t>677</t>
  </si>
  <si>
    <t>686</t>
  </si>
  <si>
    <t>TDYDNLSKVD</t>
  </si>
  <si>
    <t>PF10409</t>
  </si>
  <si>
    <t>726</t>
  </si>
  <si>
    <t>FMYSVLN</t>
  </si>
  <si>
    <t>407</t>
  </si>
  <si>
    <t>413</t>
  </si>
  <si>
    <t>VIYEIIT</t>
  </si>
  <si>
    <t>452</t>
  </si>
  <si>
    <t>PIYDILL</t>
  </si>
  <si>
    <t>378</t>
  </si>
  <si>
    <t>384</t>
  </si>
  <si>
    <t>HPYSSLS</t>
  </si>
  <si>
    <t>85</t>
  </si>
  <si>
    <t>91</t>
  </si>
  <si>
    <t>173</t>
  </si>
  <si>
    <t>343</t>
  </si>
  <si>
    <t>348</t>
  </si>
  <si>
    <t>373</t>
  </si>
  <si>
    <t>77</t>
  </si>
  <si>
    <t>LTYAEVKE</t>
  </si>
  <si>
    <t>468</t>
  </si>
  <si>
    <t>613</t>
  </si>
  <si>
    <t>619</t>
  </si>
  <si>
    <t>DLYEILL</t>
  </si>
  <si>
    <t>862</t>
  </si>
  <si>
    <t>871</t>
  </si>
  <si>
    <t>WNYILMKISD</t>
  </si>
  <si>
    <t>802</t>
  </si>
  <si>
    <t>808</t>
  </si>
  <si>
    <t>KSLPSSP</t>
  </si>
  <si>
    <t>683</t>
  </si>
  <si>
    <t>688</t>
  </si>
  <si>
    <t>PPQPAR</t>
  </si>
  <si>
    <t>34</t>
  </si>
  <si>
    <t>40</t>
  </si>
  <si>
    <t>SEYVTAI</t>
  </si>
  <si>
    <t>AIYSYFP</t>
  </si>
  <si>
    <t>149</t>
  </si>
  <si>
    <t>155</t>
  </si>
  <si>
    <t>SSYSDIV</t>
  </si>
  <si>
    <t>390</t>
  </si>
  <si>
    <t>399</t>
  </si>
  <si>
    <t>TLYIPPGVPD</t>
  </si>
  <si>
    <t>YIPPGVP</t>
  </si>
  <si>
    <t>SNYVCLDD</t>
  </si>
  <si>
    <t>VNYYTVHPD</t>
  </si>
  <si>
    <t>519</t>
  </si>
  <si>
    <t>ANYSNFI</t>
  </si>
  <si>
    <t>84</t>
  </si>
  <si>
    <t>90</t>
  </si>
  <si>
    <t>TSYVNLS</t>
  </si>
  <si>
    <t>248</t>
  </si>
  <si>
    <t>254</t>
  </si>
  <si>
    <t>SEYLFVI</t>
  </si>
  <si>
    <t>TLYYWIR</t>
  </si>
  <si>
    <t>451</t>
  </si>
  <si>
    <t>457</t>
  </si>
  <si>
    <t>490</t>
  </si>
  <si>
    <t>EHYYILI</t>
  </si>
  <si>
    <t>491</t>
  </si>
  <si>
    <t>497</t>
  </si>
  <si>
    <t>HYYILIL</t>
  </si>
  <si>
    <t>320</t>
  </si>
  <si>
    <t>456</t>
  </si>
  <si>
    <t>462</t>
  </si>
  <si>
    <t>NTYFNIN</t>
  </si>
  <si>
    <t>534</t>
  </si>
  <si>
    <t>540</t>
  </si>
  <si>
    <t>ETYIPLS</t>
  </si>
  <si>
    <t>832</t>
  </si>
  <si>
    <t>841</t>
  </si>
  <si>
    <t>NVYENVEPPD</t>
  </si>
  <si>
    <t>LYYLNIK</t>
  </si>
  <si>
    <t>PPYIPLC</t>
  </si>
  <si>
    <t>271</t>
  </si>
  <si>
    <t>PFYEEWFCE</t>
  </si>
  <si>
    <t>696</t>
  </si>
  <si>
    <t>LVYEILTFCE</t>
  </si>
  <si>
    <t>744</t>
  </si>
  <si>
    <t>DQYEIPK</t>
  </si>
  <si>
    <t>783</t>
  </si>
  <si>
    <t>SLYYFIEE</t>
  </si>
  <si>
    <t>41</t>
  </si>
  <si>
    <t>NVYLGVW</t>
  </si>
  <si>
    <t>110</t>
  </si>
  <si>
    <t>VLYDLPE</t>
  </si>
  <si>
    <t>VHYTLVN</t>
  </si>
  <si>
    <t>IDYFSLI</t>
  </si>
  <si>
    <t>DFYAQIVARE</t>
  </si>
  <si>
    <t>325</t>
  </si>
  <si>
    <t>332</t>
  </si>
  <si>
    <t>EEYNELID</t>
  </si>
  <si>
    <t>HLYIVMEFLD</t>
  </si>
  <si>
    <t>583</t>
  </si>
  <si>
    <t>588</t>
  </si>
  <si>
    <t>595</t>
  </si>
  <si>
    <t>734</t>
  </si>
  <si>
    <t>740</t>
  </si>
  <si>
    <t>LEYEAIQ</t>
  </si>
  <si>
    <t>812</t>
  </si>
  <si>
    <t>818</t>
  </si>
  <si>
    <t>274</t>
  </si>
  <si>
    <t>403</t>
  </si>
  <si>
    <t>409</t>
  </si>
  <si>
    <t>TDYDLVQ</t>
  </si>
  <si>
    <t>480</t>
  </si>
  <si>
    <t>487</t>
  </si>
  <si>
    <t>PNYSAIP</t>
  </si>
  <si>
    <t>723</t>
  </si>
  <si>
    <t>729</t>
  </si>
  <si>
    <t>MLYSSLL</t>
  </si>
  <si>
    <t>RVFPNDP</t>
  </si>
  <si>
    <t>VLYDFPG</t>
  </si>
  <si>
    <t>DIYLVFEYME</t>
  </si>
  <si>
    <t>124</t>
  </si>
  <si>
    <t>IFYQLLR</t>
  </si>
  <si>
    <t>182</t>
  </si>
  <si>
    <t>DDYENPVLTE</t>
  </si>
  <si>
    <t>PYRPLR</t>
  </si>
  <si>
    <t>VIYELIT</t>
  </si>
  <si>
    <t>PIYDMLL</t>
  </si>
  <si>
    <t>43</t>
  </si>
  <si>
    <t>48</t>
  </si>
  <si>
    <t>PFLPSR</t>
  </si>
  <si>
    <t>SQYDFIS</t>
  </si>
  <si>
    <t>PF21477</t>
  </si>
  <si>
    <t>437</t>
  </si>
  <si>
    <t>MEYAPLGE</t>
  </si>
  <si>
    <t>463</t>
  </si>
  <si>
    <t>1024</t>
  </si>
  <si>
    <t>1059</t>
  </si>
  <si>
    <t>1066</t>
  </si>
  <si>
    <t>SLYTTVYE</t>
  </si>
  <si>
    <t>653</t>
  </si>
  <si>
    <t>658</t>
  </si>
  <si>
    <t>899</t>
  </si>
  <si>
    <t>904</t>
  </si>
  <si>
    <t>PNSPTR</t>
  </si>
  <si>
    <t>31</t>
  </si>
  <si>
    <t>FNYNDVVCE</t>
  </si>
  <si>
    <t>GDYYLFNCE</t>
  </si>
  <si>
    <t>195</t>
  </si>
  <si>
    <t>IEYYQLA</t>
  </si>
  <si>
    <t>624</t>
  </si>
  <si>
    <t>630</t>
  </si>
  <si>
    <t>NEYDSFN</t>
  </si>
  <si>
    <t>RNNPDEP</t>
  </si>
  <si>
    <t>143</t>
  </si>
  <si>
    <t>EFYEFAV</t>
  </si>
  <si>
    <t>ACYFYVK</t>
  </si>
  <si>
    <t>297</t>
  </si>
  <si>
    <t>657</t>
  </si>
  <si>
    <t>HPYILLE</t>
  </si>
  <si>
    <t>693</t>
  </si>
  <si>
    <t>SSYVVVT</t>
  </si>
  <si>
    <t>518</t>
  </si>
  <si>
    <t>NSYSTIE</t>
  </si>
  <si>
    <t>296</t>
  </si>
  <si>
    <t>SEYESQFKAD</t>
  </si>
  <si>
    <t>26</t>
  </si>
  <si>
    <t>32</t>
  </si>
  <si>
    <t>89</t>
  </si>
  <si>
    <t>83</t>
  </si>
  <si>
    <t>178</t>
  </si>
  <si>
    <t>198</t>
  </si>
  <si>
    <t>204</t>
  </si>
  <si>
    <t>318</t>
  </si>
  <si>
    <t>537</t>
  </si>
  <si>
    <t>543</t>
  </si>
  <si>
    <t>684</t>
  </si>
  <si>
    <t>LVYVSARAVE</t>
  </si>
  <si>
    <t>754</t>
  </si>
  <si>
    <t>760</t>
  </si>
  <si>
    <t>208</t>
  </si>
  <si>
    <t>ILYELCT</t>
  </si>
  <si>
    <t>526</t>
  </si>
  <si>
    <t>PIYDYVTMDE</t>
  </si>
  <si>
    <t>YDYVTMDE</t>
  </si>
  <si>
    <t>554</t>
  </si>
  <si>
    <t>560</t>
  </si>
  <si>
    <t>PFYEEWLCE</t>
  </si>
  <si>
    <t>692</t>
  </si>
  <si>
    <t>698</t>
  </si>
  <si>
    <t>DEYEVPK</t>
  </si>
  <si>
    <t>731</t>
  </si>
  <si>
    <t>737</t>
  </si>
  <si>
    <t>SLYSFIE</t>
  </si>
  <si>
    <t>423</t>
  </si>
  <si>
    <t>432</t>
  </si>
  <si>
    <t>QPYASIDAFE</t>
  </si>
  <si>
    <t>fibronectin_like_candidate</t>
  </si>
  <si>
    <t>Shae__MS3_00000765</t>
  </si>
  <si>
    <t>LIG_Integrin_isoDGR_2</t>
  </si>
  <si>
    <t>67</t>
  </si>
  <si>
    <t>69</t>
  </si>
  <si>
    <t>NGR</t>
  </si>
  <si>
    <t>PF00362;PF01839;PF08441</t>
  </si>
  <si>
    <t>NGR precursor only; deamidation to isoDGR is unverified.</t>
  </si>
  <si>
    <t>Shae__MS3_00002673</t>
  </si>
  <si>
    <t>7383</t>
  </si>
  <si>
    <t>7385</t>
  </si>
  <si>
    <t>8079</t>
  </si>
  <si>
    <t>8081</t>
  </si>
  <si>
    <t>Shae__MS3_00002886</t>
  </si>
  <si>
    <t>PF00041</t>
  </si>
  <si>
    <t>Shae__MS3_00004868</t>
  </si>
  <si>
    <t>1061</t>
  </si>
  <si>
    <t>Shae__MS3_00005143</t>
  </si>
  <si>
    <t>LIG_Integrin_RGD_1</t>
  </si>
  <si>
    <t>5212</t>
  </si>
  <si>
    <t>5214</t>
  </si>
  <si>
    <t>RGD</t>
  </si>
  <si>
    <t>PF00362;PF01839</t>
  </si>
  <si>
    <t>FNIII-context candidate; neither fibronectin identity nor binding is established.</t>
  </si>
  <si>
    <t>LIG_Integrin_RGDSP_6</t>
  </si>
  <si>
    <t>5215</t>
  </si>
  <si>
    <t>RGDS</t>
  </si>
  <si>
    <t>RGD subtype sequence only; no receptor subtype assignment.</t>
  </si>
  <si>
    <t>Shae__MS3_00006635</t>
  </si>
  <si>
    <t>1308</t>
  </si>
  <si>
    <t>1310</t>
  </si>
  <si>
    <t>Shae__MS3_00009815</t>
  </si>
  <si>
    <t>310</t>
  </si>
  <si>
    <t>Shae__MS3_00010224</t>
  </si>
  <si>
    <t>915</t>
  </si>
  <si>
    <t>917</t>
  </si>
  <si>
    <t>1012</t>
  </si>
  <si>
    <t>1014</t>
  </si>
  <si>
    <t>Shae__MS3_00010503</t>
  </si>
  <si>
    <t>778</t>
  </si>
  <si>
    <t>780</t>
  </si>
  <si>
    <t>Shae__MS3_00011127</t>
  </si>
  <si>
    <t>575</t>
  </si>
  <si>
    <t>2212</t>
  </si>
  <si>
    <t>2214</t>
  </si>
  <si>
    <t>Sjap__EWB00_002123</t>
  </si>
  <si>
    <t>Sjap__EWB00_002236</t>
  </si>
  <si>
    <t>1064</t>
  </si>
  <si>
    <t>Sjap__EWB00_002960</t>
  </si>
  <si>
    <t>1319</t>
  </si>
  <si>
    <t>1321</t>
  </si>
  <si>
    <t>Sjap__EWB00_003878</t>
  </si>
  <si>
    <t>670</t>
  </si>
  <si>
    <t>1162</t>
  </si>
  <si>
    <t>1164</t>
  </si>
  <si>
    <t>Sjap__EWB00_005094</t>
  </si>
  <si>
    <t>1110</t>
  </si>
  <si>
    <t>1112</t>
  </si>
  <si>
    <t>Sjap__EWB00_005510</t>
  </si>
  <si>
    <t>71</t>
  </si>
  <si>
    <t>Sjap__EWB00_009592</t>
  </si>
  <si>
    <t>298</t>
  </si>
  <si>
    <t>1763</t>
  </si>
  <si>
    <t>1765</t>
  </si>
  <si>
    <t>Sjap__EWB00_011116</t>
  </si>
  <si>
    <t>2464</t>
  </si>
  <si>
    <t>2466</t>
  </si>
  <si>
    <t>2467</t>
  </si>
  <si>
    <t>Sman__Smp_080870</t>
  </si>
  <si>
    <t>99</t>
  </si>
  <si>
    <t>101</t>
  </si>
  <si>
    <t>1104</t>
  </si>
  <si>
    <t>Sman__Smp_126240</t>
  </si>
  <si>
    <t>5198</t>
  </si>
  <si>
    <t>5200</t>
  </si>
  <si>
    <t>5201</t>
  </si>
  <si>
    <t>Sman__Smp_130070</t>
  </si>
  <si>
    <t>1307</t>
  </si>
  <si>
    <t>1309</t>
  </si>
  <si>
    <t>Sman__Smp_152750</t>
  </si>
  <si>
    <t>Sman__Smp_157620</t>
  </si>
  <si>
    <t>892</t>
  </si>
  <si>
    <t>986</t>
  </si>
  <si>
    <t>988</t>
  </si>
  <si>
    <t>1341</t>
  </si>
  <si>
    <t>1343</t>
  </si>
  <si>
    <t>710</t>
  </si>
  <si>
    <t>Sman__Smp_164270</t>
  </si>
  <si>
    <t>174</t>
  </si>
  <si>
    <t>176</t>
  </si>
  <si>
    <t>713</t>
  </si>
  <si>
    <t>715</t>
  </si>
  <si>
    <t>1218</t>
  </si>
  <si>
    <t>1220</t>
  </si>
  <si>
    <t>Sman__Smp_204750</t>
  </si>
  <si>
    <t>941</t>
  </si>
  <si>
    <t>Sman__Smp_266820</t>
  </si>
  <si>
    <t>773</t>
  </si>
  <si>
    <t>775</t>
  </si>
  <si>
    <t>Sman__Smp_303910</t>
  </si>
  <si>
    <t>7851</t>
  </si>
  <si>
    <t>7853</t>
  </si>
  <si>
    <t>8557</t>
  </si>
  <si>
    <t>8559</t>
  </si>
  <si>
    <t>Sman__Smp_311870</t>
  </si>
  <si>
    <t>Sman__Smp_342880</t>
  </si>
  <si>
    <t>Sman__Smp_343680</t>
  </si>
  <si>
    <t>673</t>
  </si>
  <si>
    <t>2238</t>
  </si>
  <si>
    <t>2240</t>
  </si>
  <si>
    <t>2274</t>
  </si>
  <si>
    <t>2276</t>
  </si>
  <si>
    <t>59</t>
  </si>
  <si>
    <t>61</t>
  </si>
  <si>
    <t>LIG_PTB_Apo_2</t>
  </si>
  <si>
    <t>129</t>
  </si>
  <si>
    <t>MMVNFTFQ</t>
  </si>
  <si>
    <t>outside_expected_window</t>
  </si>
  <si>
    <t>PF00640;PF02174</t>
  </si>
  <si>
    <t>Generic phosphorylation-independent PTB-ligand class; compatible sequence is not specific talin/kindlin binding proof.</t>
  </si>
  <si>
    <t>634</t>
  </si>
  <si>
    <t>641</t>
  </si>
  <si>
    <t>CFCNSGYT</t>
  </si>
  <si>
    <t>849</t>
  </si>
  <si>
    <t>MAENPIFE</t>
  </si>
  <si>
    <t>854</t>
  </si>
  <si>
    <t>861</t>
  </si>
  <si>
    <t>NVLNPTFE</t>
  </si>
  <si>
    <t>LIG_PTB_Phospho_1</t>
  </si>
  <si>
    <t>640</t>
  </si>
  <si>
    <t>CFCNSGY</t>
  </si>
  <si>
    <t>PF00640;PF02174;PF08416;PF10480</t>
  </si>
  <si>
    <t>Phosphorylation-dependent PTB-ligand candidate; phosphorylation is not assessed.</t>
  </si>
  <si>
    <t>MIVNFTFQ</t>
  </si>
  <si>
    <t>585</t>
  </si>
  <si>
    <t>592</t>
  </si>
  <si>
    <t>VFFNYRYS</t>
  </si>
  <si>
    <t>794</t>
  </si>
  <si>
    <t>801</t>
  </si>
  <si>
    <t>806</t>
  </si>
  <si>
    <t>813</t>
  </si>
  <si>
    <t>591</t>
  </si>
  <si>
    <t>VFFNYRY</t>
  </si>
  <si>
    <t>601</t>
  </si>
  <si>
    <t>814</t>
  </si>
  <si>
    <t>821</t>
  </si>
  <si>
    <t>600</t>
  </si>
  <si>
    <t>4</t>
  </si>
  <si>
    <t>LDSLLNELH</t>
  </si>
  <si>
    <t>156</t>
  </si>
  <si>
    <t>LDDLLYSLK</t>
  </si>
  <si>
    <t>LDDLLHSLR</t>
  </si>
  <si>
    <t>168</t>
  </si>
  <si>
    <t>VDDLLYSLK</t>
  </si>
  <si>
    <t>140</t>
  </si>
  <si>
    <t>RCHPYFP</t>
  </si>
  <si>
    <t>Generic SH3 ligand; does not distinguish PTP-PEST from other phosphatases.</t>
  </si>
  <si>
    <t>94</t>
  </si>
  <si>
    <t>PEVPSR</t>
  </si>
  <si>
    <t>Generic SH3 ligand; noncatalytic homology still required.</t>
  </si>
  <si>
    <t>138</t>
  </si>
  <si>
    <t>144</t>
  </si>
  <si>
    <t>KINPIFP</t>
  </si>
  <si>
    <t>92</t>
  </si>
  <si>
    <t>PAVPSR</t>
  </si>
  <si>
    <t>139</t>
  </si>
  <si>
    <t>145</t>
  </si>
  <si>
    <t>93</t>
  </si>
  <si>
    <t>98</t>
  </si>
  <si>
    <t>1</t>
  </si>
  <si>
    <t>MGICLCL</t>
  </si>
  <si>
    <t>56</t>
  </si>
  <si>
    <t>63</t>
  </si>
  <si>
    <t>KPLAQKEL</t>
  </si>
  <si>
    <t>625</t>
  </si>
  <si>
    <t>632</t>
  </si>
  <si>
    <t>KPRIKNKR</t>
  </si>
  <si>
    <t>505</t>
  </si>
  <si>
    <t>512</t>
  </si>
  <si>
    <t>KPPSKKMT</t>
  </si>
  <si>
    <t>46</t>
  </si>
  <si>
    <t>KPVDQYVR</t>
  </si>
  <si>
    <t>MGNSHAA</t>
  </si>
  <si>
    <t>KPGQKKKH</t>
  </si>
  <si>
    <t>228</t>
  </si>
  <si>
    <t>235</t>
  </si>
  <si>
    <t>KPIVKTQI</t>
  </si>
  <si>
    <t>614</t>
  </si>
  <si>
    <t>621</t>
  </si>
  <si>
    <t>KPFGKVQS</t>
  </si>
  <si>
    <t>1044</t>
  </si>
  <si>
    <t>1051</t>
  </si>
  <si>
    <t>KPHFKRSE</t>
  </si>
  <si>
    <t>MGAQHTK</t>
  </si>
  <si>
    <t>610</t>
  </si>
  <si>
    <t>KPSSKNST</t>
  </si>
  <si>
    <t>479</t>
  </si>
  <si>
    <t>KPEHKLLL</t>
  </si>
  <si>
    <t>776</t>
  </si>
  <si>
    <t>KPNQQSKT</t>
  </si>
  <si>
    <t>394</t>
  </si>
  <si>
    <t>401</t>
  </si>
  <si>
    <t>KPEFQNLQ</t>
  </si>
  <si>
    <t>MGNCAGK</t>
  </si>
  <si>
    <t>KPRPKTKN</t>
  </si>
  <si>
    <t>KPEFKSLQ</t>
  </si>
  <si>
    <t>250</t>
  </si>
  <si>
    <t>KPSNKLAD</t>
  </si>
  <si>
    <t>MGNSSSS</t>
  </si>
  <si>
    <t>541</t>
  </si>
  <si>
    <t>KPSDKNLT</t>
  </si>
  <si>
    <t>180</t>
  </si>
  <si>
    <t>KPTYQNMC</t>
  </si>
  <si>
    <t>108</t>
  </si>
  <si>
    <t>KPSVQLEK</t>
  </si>
  <si>
    <t>KPPPKPSF</t>
  </si>
  <si>
    <t>402</t>
  </si>
  <si>
    <t>KPNNKWTN</t>
  </si>
  <si>
    <t>444</t>
  </si>
  <si>
    <t>KPGSQCCP</t>
  </si>
  <si>
    <t>470</t>
  </si>
  <si>
    <t>477</t>
  </si>
  <si>
    <t>KPPPKKVI</t>
  </si>
  <si>
    <t>KPPHQVLK</t>
  </si>
  <si>
    <t>MGAQQTK</t>
  </si>
  <si>
    <t>234</t>
  </si>
  <si>
    <t>KPEFKNLK</t>
  </si>
  <si>
    <t>KPPYQPSL</t>
  </si>
  <si>
    <t>20</t>
  </si>
  <si>
    <t>KPEDQDTD</t>
  </si>
  <si>
    <t>1046</t>
  </si>
  <si>
    <t>1053</t>
  </si>
  <si>
    <t>655</t>
  </si>
  <si>
    <t>662</t>
  </si>
  <si>
    <t>KPPKQSTI</t>
  </si>
  <si>
    <t>MGNAQAA</t>
  </si>
  <si>
    <t>MGNSNSS</t>
  </si>
  <si>
    <t>KPNQQSQT</t>
  </si>
  <si>
    <t>956</t>
  </si>
  <si>
    <t>974</t>
  </si>
  <si>
    <t>LVRKANALASAVDCLVADL</t>
  </si>
  <si>
    <t>1121</t>
  </si>
  <si>
    <t>1139</t>
  </si>
  <si>
    <t>LLAASQNLMKCLEDLLRSA</t>
  </si>
  <si>
    <t>1780</t>
  </si>
  <si>
    <t>1798</t>
  </si>
  <si>
    <t>FIQSVKGLAQVTNHLVQIT</t>
  </si>
  <si>
    <t>3021</t>
  </si>
  <si>
    <t>3039</t>
  </si>
  <si>
    <t>LIIACRNLVHATLSLMYWA</t>
  </si>
  <si>
    <t>3118</t>
  </si>
  <si>
    <t>3136</t>
  </si>
  <si>
    <t>LISAAQTTAGYTAQLVIAC</t>
  </si>
  <si>
    <t>627</t>
  </si>
  <si>
    <t>645</t>
  </si>
  <si>
    <t>VIASVTQTGLCTSQLVACT</t>
  </si>
  <si>
    <t>752</t>
  </si>
  <si>
    <t>770</t>
  </si>
  <si>
    <t>MVASARRLAQATALMIADI</t>
  </si>
  <si>
    <t>787</t>
  </si>
  <si>
    <t>805</t>
  </si>
  <si>
    <t>LFHAAKQLADATTNLINAA</t>
  </si>
  <si>
    <t>112</t>
  </si>
  <si>
    <t>LLVTARSVAVSVQNLIKTA</t>
  </si>
  <si>
    <t>725</t>
  </si>
  <si>
    <t>743</t>
  </si>
  <si>
    <t>850</t>
  </si>
  <si>
    <t>868</t>
  </si>
  <si>
    <t>885</t>
  </si>
  <si>
    <t>903</t>
  </si>
  <si>
    <t>LFLAAKQLADATTNLINAA</t>
  </si>
  <si>
    <t>2168</t>
  </si>
  <si>
    <t>2186</t>
  </si>
  <si>
    <t>IARTARALVDDTQSLVSGT</t>
  </si>
  <si>
    <t>LLVSARSVAVSVQNLIRTA</t>
  </si>
  <si>
    <t>972</t>
  </si>
  <si>
    <t>990</t>
  </si>
  <si>
    <t>LVRKANALASAVECLVADL</t>
  </si>
  <si>
    <t>1137</t>
  </si>
  <si>
    <t>1155</t>
  </si>
  <si>
    <t>LLAASQNLMRCLEDLLRSA</t>
  </si>
  <si>
    <t>3024</t>
  </si>
  <si>
    <t>3042</t>
  </si>
  <si>
    <t>VIIACRNLIHATLSLMYWA</t>
  </si>
  <si>
    <t>3121</t>
  </si>
  <si>
    <t>3139</t>
  </si>
  <si>
    <t>LISAAQTTAGYTAQLIIAC</t>
  </si>
  <si>
    <t>1466</t>
  </si>
  <si>
    <t>1484</t>
  </si>
  <si>
    <t>LHDASRIVEMSTNETLELT</t>
  </si>
  <si>
    <t>1777</t>
  </si>
  <si>
    <t>1795</t>
  </si>
  <si>
    <t>867</t>
  </si>
  <si>
    <t>992</t>
  </si>
  <si>
    <t>1009</t>
  </si>
  <si>
    <t>2306</t>
  </si>
  <si>
    <t>2324</t>
  </si>
  <si>
    <t>2516</t>
  </si>
  <si>
    <t>2534</t>
  </si>
  <si>
    <t>IVQTSSATRDAVADLVAAA</t>
  </si>
  <si>
    <t>2709</t>
  </si>
  <si>
    <t>2727</t>
  </si>
  <si>
    <t>LLVTARSVAVSVQNLIRTA</t>
  </si>
  <si>
    <t>651</t>
  </si>
  <si>
    <t>LPSPP</t>
  </si>
  <si>
    <t>candidate_id</t>
  </si>
  <si>
    <t>prepared_id</t>
  </si>
  <si>
    <t>mapping_status</t>
  </si>
  <si>
    <t>HOG</t>
  </si>
  <si>
    <t>Orthogroup</t>
  </si>
  <si>
    <t>Hsap_orthologues</t>
  </si>
  <si>
    <t>Hsap_relationship</t>
  </si>
  <si>
    <t>Cele_orthologues</t>
  </si>
  <si>
    <t>Cele_relationship</t>
  </si>
  <si>
    <t>HOG_status</t>
  </si>
  <si>
    <t>Shae_HOG_copy_counts</t>
  </si>
  <si>
    <t>Sjap_HOG_copy_counts</t>
  </si>
  <si>
    <t>Sman_HOG_copy_counts</t>
  </si>
  <si>
    <t>2</t>
  </si>
  <si>
    <t>65</t>
  </si>
  <si>
    <t>38</t>
  </si>
  <si>
    <t>8</t>
  </si>
  <si>
    <t>0</t>
  </si>
  <si>
    <t>6</t>
  </si>
  <si>
    <t>136</t>
  </si>
  <si>
    <t>Cele</t>
  </si>
  <si>
    <t>Hsap</t>
  </si>
  <si>
    <t>Matched_candidates</t>
  </si>
  <si>
    <t>Shae__MS3_00000028, Shae__MS3_00000030, Shae__MS3_00000043, Shae__MS3_00000071, Shae__MS3_00000096, Shae__MS3_00000110, Shae__MS3_00000112, Shae__MS3_00000135, Shae__MS3_00000144, Shae__MS3_00000231, Shae__MS3_00000242, Shae__MS3_00000248, Shae__MS3_00000274, Shae__MS3_00000319, Shae__MS3_00000390, Shae__MS3_00000441, Shae__MS3_00000488, Shae__MS3_00000554, Shae__MS3_00000580, Shae__MS3_00000584, Shae__MS3_00000590, Shae__MS3_00000604, Shae__MS3_00000620, Shae__MS3_00000626, Shae__MS3_00000630, Shae__MS3_00000656, Shae__MS3_00000700, Shae__MS3_00000729, Shae__MS3_00000788, Shae__MS3_00000826, Shae__MS3_00000828, Shae__MS3_00000831, Shae__MS3_00000849, Shae__MS3_00000852, Shae__MS3_00000864, Shae__MS3_00000895, Shae__MS3_00000918, Shae__MS3_00000931, Shae__MS3_00000946, Shae__MS3_00000950, Shae__MS3_00000957, Shae__MS3_00000963, Shae__MS3_00000968, Shae__MS3_00000978, Shae__MS3_00000982, Shae__MS3_00001030, Shae__MS3_00001034, Shae__MS3_00001091, Shae__MS3_00001096, Shae__MS3_00001105, Shae__MS3_00001116, Shae__MS3_00001128, Shae__MS3_00001135, Shae__MS3_00001157, Shae__MS3_00001160, Shae__MS3_00001166, Shae__MS3_00001181, Shae__MS3_00001185, Shae__MS3_00001200, Shae__MS3_00001205, Shae__MS3_00001228, Shae__MS3_00001239, Shae__MS3_00001249, Shae__MS3_00001264, Shae__MS3_00001280, Shae__MS3_00001284, Shae__MS3_00001297, Shae__MS3_00001298, Shae__MS3_00001304, Shae__MS3_00001608, Shae__MS3_00001708, Shae__MS3_00001929, Shae__MS3_00002087, Shae__MS3_00002138, Shae__MS3_00002213, Shae__MS3_00002255, Shae__MS3_00002379, Shae__MS3_00002413, Shae__MS3_00002414, Shae__MS3_00002461, Shae__MS3_00002471, Shae__MS3_00002854, Shae__MS3_00002895, Shae__MS3_00002911, Shae__MS3_00002953, Shae__MS3_00003093, Shae__MS3_00003138, Shae__MS3_00003278, Shae__MS3_00003457, Shae__MS3_00003570, Shae__MS3_00003631, Shae__MS3_00003857, Shae__MS3_00003862, Shae__MS3_00003959, Shae__MS3_00003963, Shae__MS3_00004004, Shae__MS3_00004265, Shae__MS3_00004609, Shae__MS3_00004701, Shae__MS3_00004769, Shae__MS3_00004894, Shae__MS3_00004922, Shae__MS3_00004931, Shae__MS3_00005110, Shae__MS3_00005229, Shae__MS3_00005352, Shae__MS3_00005719, Shae__MS3_00005789, Shae__MS3_00005998, Shae__MS3_00006030, Shae__MS3_00006127, Shae__MS3_00006448, Shae__MS3_00006673, Shae__MS3_00006717, Shae__MS3_00007144, Shae__MS3_00007206, Shae__MS3_00007302, Shae__MS3_00007445, Shae__MS3_00007446, Shae__MS3_00007546, Shae__MS3_00007570, Shae__MS3_00007741, Shae__MS3_00007874, Shae__MS3_00008194, Shae__MS3_00008442, Shae__MS3_00008470, Shae__MS3_00008662, Shae__MS3_00008817, Shae__MS3_00009125, Shae__MS3_00009519, Shae__MS3_00009552, Shae__MS3_00009589, Shae__MS3_00009857, Shae__MS3_00010004, Shae__MS3_00010153, Shae__MS3_00010499</t>
  </si>
  <si>
    <t>Sjap__EWB00_002813, Sjap__EWB00_004137, Sjap__EWB00_004921, Sjap__EWB00_006612, Sjap__EWB00_007669, Sjap__EWB00_009940</t>
  </si>
  <si>
    <t>Sman__Smp_037690, Sman__Smp_052140, Sman__Smp_086530, Sman__Smp_122020, Sman__Smp_128920, Sman__Smp_144170</t>
  </si>
  <si>
    <t>Shae__MS3_00008194, Sjap__EWB00_004137, Sman__Smp_128920</t>
  </si>
  <si>
    <t>Shae__MS3_00000047, Shae__MS3_00000069, Shae__MS3_00000099, Shae__MS3_00000131, Shae__MS3_00000133, Shae__MS3_00000134, Shae__MS3_00000153, Shae__MS3_00000156, Shae__MS3_00000170, Shae__MS3_00000182, Shae__MS3_00000188, Shae__MS3_00000251, Shae__MS3_00000288, Shae__MS3_00000315, Shae__MS3_00000359, Shae__MS3_00000508, Shae__MS3_00000735, Shae__MS3_00000825, Shae__MS3_00000829, Shae__MS3_00000945, Shae__MS3_00001212, Shae__MS3_00001242, Shae__MS3_00001248, Shae__MS3_00001331, Shae__MS3_00002043, Shae__MS3_00002079, Shae__MS3_00002552, Shae__MS3_00002775, Shae__MS3_00003207, Shae__MS3_00003455, Shae__MS3_00003850, Shae__MS3_00003908, Shae__MS3_00003949, Shae__MS3_00004024, Shae__MS3_00004555, Shae__MS3_00004558, Shae__MS3_00004602, Shae__MS3_00004735, Shae__MS3_00004738, Shae__MS3_00005211, Shae__MS3_00005635, Shae__MS3_00005652, Shae__MS3_00005711, Shae__MS3_00005721, Shae__MS3_00005726, Shae__MS3_00006031, Shae__MS3_00006048, Shae__MS3_00006532, Shae__MS3_00007053, Shae__MS3_00008064, Shae__MS3_00008120, Shae__MS3_00008121, Shae__MS3_00008239, Shae__MS3_00008240, Shae__MS3_00008571, Shae__MS3_00008652, Shae__MS3_00008741, Shae__MS3_00008778, Shae__MS3_00008868, Shae__MS3_00009357, Shae__MS3_00009358, Shae__MS3_00009359, Shae__MS3_00009365, Shae__MS3_00009372, Shae__MS3_00009756</t>
  </si>
  <si>
    <t>Sjap__EWB00_000096, Sjap__EWB00_000130, Sjap__EWB00_000131, Sjap__EWB00_000132, Sjap__EWB00_000158, Sjap__EWB00_000492, Sjap__EWB00_000531, Sjap__EWB00_000881, Sjap__EWB00_000919, Sjap__EWB00_001692, Sjap__EWB00_001693, Sjap__EWB00_002144, Sjap__EWB00_002145, Sjap__EWB00_002719, Sjap__EWB00_002804, Sjap__EWB00_002908, Sjap__EWB00_002941, Sjap__EWB00_002942, Sjap__EWB00_002973, Sjap__EWB00_003669, Sjap__EWB00_003683, Sjap__EWB00_003687, Sjap__EWB00_004732, Sjap__EWB00_004988, Sjap__EWB00_005000, Sjap__EWB00_005206, Sjap__EWB00_005433, Sjap__EWB00_007087, Sjap__EWB00_007088, Sjap__EWB00_008308, Sjap__EWB00_008408, Sjap__EWB00_008826, Sjap__EWB00_008905, Sjap__EWB00_009238, Sjap__EWB00_009284, Sjap__EWB00_009922, Sjap__EWB00_010265, Sjap__EWB00_011427</t>
  </si>
  <si>
    <t>Sman__Smp_002860, Sman__Smp_102000, Sman__Smp_112480, Sman__Smp_138720, Sman__Smp_147340, Sman__Smp_164700, Sman__Smp_167840, Sman__Smp_182600</t>
  </si>
  <si>
    <t>Shae__MS3_00000359, Shae__MS3_00000825</t>
  </si>
  <si>
    <t>Shae__MS3_00003183, Shae__MS3_00009604, Shae__MS3_00011141</t>
  </si>
  <si>
    <t>Sjap__EWB00_004785, Sjap__EWB00_008528</t>
  </si>
  <si>
    <t>Sman__Smp_139930, Sman__Smp_343720</t>
  </si>
  <si>
    <t>Shae__MS3_00003183, Shae__MS3_00011141, Sjap__EWB00_008528, Sman__Smp_139930</t>
  </si>
  <si>
    <t>Shae__MS3_00000503, Shae__MS3_00000658, Shae__MS3_00000868, Shae__MS3_00000888, Shae__MS3_00001085, Shae__MS3_00001131, Shae__MS3_00001154, Shae__MS3_00001161, Shae__MS3_00001202, Shae__MS3_00001301, Shae__MS3_00001526, Shae__MS3_00001593, Shae__MS3_00002496, Shae__MS3_00003399, Shae__MS3_00004352, Shae__MS3_00004674, Shae__MS3_00004726, Shae__MS3_00005166, Shae__MS3_00005966, Shae__MS3_00006007, Shae__MS3_00006972, Shae__MS3_00007537, Shae__MS3_00008897, Shae__MS3_00008898, Shae__MS3_00008899, Shae__MS3_00008900, Shae__MS3_00008943, Shae__MS3_00009568, Shae__MS3_00009929</t>
  </si>
  <si>
    <t>Shae__MS3_00004525, Shae__MS3_00008660, Shae__MS3_00008661, Shae__MS3_00008744, Shae__MS3_00008746</t>
  </si>
  <si>
    <t>Sjap__EWB00_002502, Sjap__EWB00_004876, Sjap__EWB00_004878, Sjap__EWB00_007517</t>
  </si>
  <si>
    <t>Sman__Smp_183710, Sman__Smp_202970, Sman__Smp_203130, Sman__Smp_306600, Sman__Smp_307010, Sman__Smp_307020</t>
  </si>
  <si>
    <t>Shae__MS3_00004525, Shae__MS3_00008660, Shae__MS3_00008661, Shae__MS3_00008744, Shae__MS3_00008746, Sjap__EWB00_002502, Sjap__EWB00_004876, Sjap__EWB00_004878, Sjap__EWB00_007517, Sman__Smp_183710, Sman__Smp_202970, Sman__Smp_203130, Sman__Smp_306600, Sman__Smp_307010, Sman__Smp_307020</t>
  </si>
  <si>
    <t>Shae__MS3_00002915, Shae__MS3_00002916, Shae__MS3_00003023, Shae__MS3_00003026, Shae__MS3_00010098</t>
  </si>
  <si>
    <t>Sjap__EWB00_002111, Sjap__EWB00_002112, Sjap__EWB00_002113, Sjap__EWB00_006080, Sjap__EWB00_006081, Sjap__EWB00_006281, Sjap__EWB00_008274, Sjap__EWB00_009015, Sjap__EWB00_009016</t>
  </si>
  <si>
    <t>Sman__Smp_031180, Sman__Smp_031190, Sman__Smp_160880, Sman__Smp_166500, Sman__Smp_166530, Sman__Smp_304500</t>
  </si>
  <si>
    <t>Shae__MS3_00001022, Shae__MS3_00002532, Shae__MS3_00008218, Shae__MS3_00011160</t>
  </si>
  <si>
    <t>Sjap__EWB00_000702, Sjap__EWB00_004004, Sjap__EWB00_004733, Sjap__EWB00_004867, Sjap__EWB00_005106, Sjap__EWB00_005107, Sjap__EWB00_005108, Sjap__EWB00_005210, Sjap__EWB00_005211, Sjap__EWB00_005490, Sjap__EWB00_008306, Sjap__EWB00_009749, Sjap__EWB00_009750, Sjap__EWB00_010857, Sjap__EWB00_011234</t>
  </si>
  <si>
    <t>Shae__MS3_00000941, Shae__MS3_00001861, Shae__MS3_00010191</t>
  </si>
  <si>
    <t>Sjap__EWB00_001102, Sjap__EWB00_006199, Sjap__EWB00_006200, Sjap__EWB00_006201</t>
  </si>
  <si>
    <t>Sman__Smp_159600, Sman__Smp_170340, Sman__Smp_213900, Sman__Smp_213910</t>
  </si>
  <si>
    <t>Shae__MS3_00000941, Shae__MS3_00001861, Shae__MS3_00010191, Sjap__EWB00_001102, Sjap__EWB00_006199, Sjap__EWB00_006200, Sjap__EWB00_006201, Sman__Smp_159600, Sman__Smp_170340, Sman__Smp_213900, Sman__Smp_213910</t>
  </si>
  <si>
    <t>Shae__MS3_00001438</t>
  </si>
  <si>
    <t>Sjap__EWB00_008162, Sjap__EWB00_008163</t>
  </si>
  <si>
    <t>Sman__Smp_139480</t>
  </si>
  <si>
    <t>Shae__MS3_00002636, Shae__MS3_00003633, Shae__MS3_00008673, Shae__MS3_00008682</t>
  </si>
  <si>
    <t>Sjap__EWB00_004196, Sjap__EWB00_007512, Sjap__EWB00_007721, Sjap__EWB00_008993</t>
  </si>
  <si>
    <t>Sman__Smp_085690, Sman__Smp_085700, Sman__Smp_152330, Sman__Smp_164380, Sman__Smp_307260</t>
  </si>
  <si>
    <t>Shae__MS3_00002636, Shae__MS3_00003633, Shae__MS3_00008673, Shae__MS3_00008682, Sjap__EWB00_004196, Sjap__EWB00_007512, Sjap__EWB00_007721, Sjap__EWB00_008993, Sman__Smp_085690, Sman__Smp_152330, Sman__Smp_164380, Sman__Smp_307260</t>
  </si>
  <si>
    <t>Shae__MS3_00001951, Shae__MS3_00003055, Shae__MS3_00007562, Shae__MS3_00009564</t>
  </si>
  <si>
    <t>Sjap__EWB00_005988, Sjap__EWB00_006315, Sjap__EWB00_006316, Sjap__EWB00_009259, Sjap__EWB00_011195</t>
  </si>
  <si>
    <t>Sman__Smp_068960, Sman__Smp_153090, Sman__Smp_159520, Sman__Smp_302310, Sman__Smp_347770</t>
  </si>
  <si>
    <t>Sjap__EWB00_006315, Sman__Smp_068960</t>
  </si>
  <si>
    <t>Shae__MS3_00006209, Shae__MS3_00008672</t>
  </si>
  <si>
    <t>Sjap__EWB00_008992, Sjap__EWB00_010753</t>
  </si>
  <si>
    <t>Sman__Smp_085680, Sman__Smp_125450</t>
  </si>
  <si>
    <t>Shae__MS3_00004279, Shae__MS3_00004405, Shae__MS3_00008685, Shae__MS3_00008757</t>
  </si>
  <si>
    <t>Sjap__EWB00_000320, Sjap__EWB00_005435, Sjap__EWB00_006936, Sjap__EWB00_008484</t>
  </si>
  <si>
    <t>Sman__Smp_078230, Sman__Smp_123290, Sman__Smp_151100, Sman__Smp_168670</t>
  </si>
  <si>
    <t>Shae__MS3_00004405, Shae__MS3_00008685, Sjap__EWB00_000320, Sman__Smp_078230</t>
  </si>
  <si>
    <t>Sjap__EWB00_005430, Sjap__EWB00_005432</t>
  </si>
  <si>
    <t>Shae__MS3_00010478, Sman__Smp_315810</t>
  </si>
  <si>
    <t>Shae__MS3_00006225, Shae__MS3_00007880</t>
  </si>
  <si>
    <t>Sjap__EWB00_006606, Sjap__EWB00_006607, Sjap__EWB00_010731</t>
  </si>
  <si>
    <t>Sman__Smp_039300, Sman__Smp_334130</t>
  </si>
  <si>
    <t>Shae__MS3_00007880, Sjap__EWB00_006607, Sman__Smp_334130</t>
  </si>
  <si>
    <t>Shae__MS3_00005611, Shae__MS3_00007363, Shae__MS3_00007701</t>
  </si>
  <si>
    <t>Sjap__EWB00_007395, Sjap__EWB00_008239, Sjap__EWB00_010448</t>
  </si>
  <si>
    <t>Sman__Smp_135560, Sman__Smp_164590, Sman__Smp_343740</t>
  </si>
  <si>
    <t>Shae__MS3_00005611, Shae__MS3_00007363, Shae__MS3_00007701, Sjap__EWB00_007395, Sjap__EWB00_008239, Sjap__EWB00_010448, Sman__Smp_135560, Sman__Smp_164590, Sman__Smp_343740</t>
  </si>
  <si>
    <t>Shae__MS3_00003290, Shae__MS3_00003485, Shae__MS3_00007981</t>
  </si>
  <si>
    <t>Sjap__EWB00_000422, Sjap__EWB00_000811, Sjap__EWB00_002781</t>
  </si>
  <si>
    <t>Sman__Smp_067810, Sman__Smp_194270, Sman__Smp_201220, Sman__Smp_335710</t>
  </si>
  <si>
    <t>Shae__MS3_00003290, Sjap__EWB00_000422, Sjap__EWB00_000811, Sjap__EWB00_002781, Sman__Smp_194270</t>
  </si>
  <si>
    <t>Shae__MS3_00005165, Shae__MS3_00008656</t>
  </si>
  <si>
    <t>Sjap__EWB00_004872, Sjap__EWB00_011146</t>
  </si>
  <si>
    <t>Sman__Smp_075030, Sman__Smp_147110</t>
  </si>
  <si>
    <t>Shae__MS3_00008738, Shae__MS3_00009264</t>
  </si>
  <si>
    <t>Sjap__EWB00_004406, Sjap__EWB00_007520</t>
  </si>
  <si>
    <t>Sman__Smp_136300, Sman__Smp_172200</t>
  </si>
  <si>
    <t>Shae__MS3_00008738, Shae__MS3_00009264, Sjap__EWB00_004406, Sjap__EWB00_007520, Sman__Smp_136300, Sman__Smp_172200</t>
  </si>
  <si>
    <t>Sjap__EWB00_000272, Sjap__EWB00_003359, Sjap__EWB00_008807</t>
  </si>
  <si>
    <t>Sman__Smp_086590, Sman__Smp_120700, Sman__Smp_195080</t>
  </si>
  <si>
    <t>Shae__MS3_00004398, Sjap__EWB00_003359, Sjap__EWB00_008807, Sman__Smp_086590, Sman__Smp_120700, Sman__Smp_195080</t>
  </si>
  <si>
    <t>Shae__MS3_00010678, Shae__MS3_00010992</t>
  </si>
  <si>
    <t>Sjap__EWB00_008648, Sjap__EWB00_008932</t>
  </si>
  <si>
    <t>Sman__Smp_241510, Sman__Smp_346490</t>
  </si>
  <si>
    <t>Shae__MS3_00005586, Shae__MS3_00007610, Shae__MS3_00009416</t>
  </si>
  <si>
    <t>Sjap__EWB00_007155, Sjap__EWB00_007409</t>
  </si>
  <si>
    <t>Sman__Smp_130250, Sman__Smp_141230, Sman__Smp_150860</t>
  </si>
  <si>
    <t>Shae__MS3_00005586, Sman__Smp_141230</t>
  </si>
  <si>
    <t>Shae__MS3_00002992, Shae__MS3_00008992, Shae__MS3_00011110</t>
  </si>
  <si>
    <t>Sjap__EWB00_004506, Sjap__EWB00_004507, Sjap__EWB00_006350</t>
  </si>
  <si>
    <t>Sman__Smp_133490, Sman__Smp_134260, Sman__Smp_347000</t>
  </si>
  <si>
    <t>Shae__MS3_00002992, Sjap__EWB00_006350, Sman__Smp_134260</t>
  </si>
  <si>
    <t>Sjap__EWB00_007729, Sjap__EWB00_011320</t>
  </si>
  <si>
    <t>Sman__Smp_018290, Sman__Smp_181490</t>
  </si>
  <si>
    <t>Shae__MS3_00005260, Sjap__EWB00_011320, Sman__Smp_181490</t>
  </si>
  <si>
    <t>Shae__MS3_00006657, Shae__MS3_00006934</t>
  </si>
  <si>
    <t>Sjap__EWB00_006050, Sjap__EWB00_010649</t>
  </si>
  <si>
    <t>Sman__Smp_014780, Sman__Smp_034550</t>
  </si>
  <si>
    <t>Shae__MS3_00006657, Shae__MS3_00006934, Sjap__EWB00_006050, Sjap__EWB00_010649, Sman__Smp_014780, Sman__Smp_034550</t>
  </si>
  <si>
    <t>Shae__MS3_00009865, Sjap__EWB00_002869, Sman__Smp_089700</t>
  </si>
  <si>
    <t>Shae__MS3_00003227, Shae__MS3_00006767</t>
  </si>
  <si>
    <t>Sjap__EWB00_005385, Sjap__EWB00_009570</t>
  </si>
  <si>
    <t>Sman__Smp_103570, Sman__Smp_244940</t>
  </si>
  <si>
    <t>Shae__MS3_00006767, Sjap__EWB00_005385, Sman__Smp_103570</t>
  </si>
  <si>
    <t>Sjap__EWB00_008632</t>
  </si>
  <si>
    <t>Shae__MS3_00002812, Sman__Smp_336830</t>
  </si>
  <si>
    <t>Shae__MS3_00006480, Shae__MS3_00010929</t>
  </si>
  <si>
    <t>Sjap__EWB00_008231, Sjap__EWB00_008411</t>
  </si>
  <si>
    <t>Sman__Smp_064040, Sman__Smp_337480</t>
  </si>
  <si>
    <t>Shae__MS3_00010929, Sjap__EWB00_008231, Sman__Smp_064040</t>
  </si>
  <si>
    <t>Shae__MS3_00003948, Shae__MS3_00009620</t>
  </si>
  <si>
    <t>Sjap__EWB00_001434, Sjap__EWB00_004179</t>
  </si>
  <si>
    <t>Sman__Smp_058620, Sman__Smp_300910</t>
  </si>
  <si>
    <t>Shae__MS3_00003948, Sjap__EWB00_004179, Sman__Smp_058620</t>
  </si>
  <si>
    <t>Sman__Smp_331960, Sman__Smp_332370, Sman__Smp_335950</t>
  </si>
  <si>
    <t>Shae__MS3_00009762, Sjap__EWB00_003747, Sman__Smp_331960, Sman__Smp_332370, Sman__Smp_335950</t>
  </si>
  <si>
    <t>Shae__MS3_00006308, Shae__MS3_00009919</t>
  </si>
  <si>
    <t>Sjap__EWB00_001746, Sjap__EWB00_008724</t>
  </si>
  <si>
    <t>Sman__Smp_065290, Sman__Smp_301170</t>
  </si>
  <si>
    <t>Shae__MS3_00006308, Sjap__EWB00_008724, Sman__Smp_065290</t>
  </si>
  <si>
    <t>Shae__MS3_00005028, Shae__MS3_00005322</t>
  </si>
  <si>
    <t>Sjap__EWB00_003964, Sjap__EWB00_007965</t>
  </si>
  <si>
    <t>Sman__Smp_009990, Sman__Smp_341160</t>
  </si>
  <si>
    <t>Shae__MS3_00005028, Sjap__EWB00_007965</t>
  </si>
  <si>
    <t>Shae__MS3_00000278, Shae__MS3_00001770</t>
  </si>
  <si>
    <t>Sjap__EWB00_003146, Sjap__EWB00_006505</t>
  </si>
  <si>
    <t>Sman__Smp_167010, Sman__Smp_343540</t>
  </si>
  <si>
    <t>Shae__MS3_00000278, Shae__MS3_00001770, Sjap__EWB00_003146, Sjap__EWB00_006505, Sman__Smp_167010, Sman__Smp_343540</t>
  </si>
  <si>
    <t>Shae__MS3_00008284, Sjap__EWB00_004965, Sman__Smp_248010</t>
  </si>
  <si>
    <t>Shae__MS3_00005799, Shae__MS3_00007970</t>
  </si>
  <si>
    <t>Sjap__EWB00_002775, Sjap__EWB00_006234</t>
  </si>
  <si>
    <t>Sman__Smp_000100, Sman__Smp_317420</t>
  </si>
  <si>
    <t>Shae__MS3_00005799, Shae__MS3_00007970, Sjap__EWB00_002775, Sjap__EWB00_006234, Sman__Smp_000100, Sman__Smp_317420</t>
  </si>
  <si>
    <t>Sjap__EWB00_002531, Sjap__EWB00_009150</t>
  </si>
  <si>
    <t>Sman__Smp_019950, Sman__Smp_047870</t>
  </si>
  <si>
    <t>Shae__MS3_00006076, Sjap__EWB00_002531, Sman__Smp_047870</t>
  </si>
  <si>
    <t>Shae__MS3_00005037, Sjap__EWB00_011263, Sman__Smp_243630</t>
  </si>
  <si>
    <t>Shae__MS3_00007742, Sjap__EWB00_011039, Sman__Smp_306910</t>
  </si>
  <si>
    <t>Shae__MS3_00007109, Shae__MS3_00010638</t>
  </si>
  <si>
    <t>Sman__Smp_179070, Sman__Smp_213390</t>
  </si>
  <si>
    <t>Shae__MS3_00007109, Sjap__EWB00_005166, Sman__Smp_179070, Sman__Smp_213390</t>
  </si>
  <si>
    <t>Shae__MS3_00003400, Shae__MS3_00003923</t>
  </si>
  <si>
    <t>Sman__Smp_128480, Sman__Smp_241420</t>
  </si>
  <si>
    <t>Shae__MS3_00003400, Shae__MS3_00003923, Sjap__EWB00_009358, Sman__Smp_128480, Sman__Smp_241420</t>
  </si>
  <si>
    <t>Shae__MS3_00006730, Shae__MS3_00010068</t>
  </si>
  <si>
    <t>Sjap__EWB00_005015, Sjap__EWB00_010687</t>
  </si>
  <si>
    <t>Sman__Smp_128790, Sman__Smp_246700</t>
  </si>
  <si>
    <t>Shae__MS3_00006730, Sjap__EWB00_010687, Sman__Smp_128790</t>
  </si>
  <si>
    <t>Sjap__EWB00_010111</t>
  </si>
  <si>
    <t>Shae__MS3_00008061, Sman__Smp_012740</t>
  </si>
  <si>
    <t>Shae__MS3_00006333, Sjap__EWB00_008747, Sman__Smp_157310</t>
  </si>
  <si>
    <t>Shae__MS3_00006334, Sjap__EWB00_008748, Sman__Smp_157300</t>
  </si>
  <si>
    <t>Shae__MS3_00003962, Shae__MS3_00004070</t>
  </si>
  <si>
    <t>Sjap__EWB00_002313, Sjap__EWB00_003107</t>
  </si>
  <si>
    <t>Sman__Smp_146840, Sman__Smp_151310</t>
  </si>
  <si>
    <t>Shae__MS3_00003962, Shae__MS3_00004070, Sjap__EWB00_002313, Sjap__EWB00_003107, Sman__Smp_146840, Sman__Smp_151310</t>
  </si>
  <si>
    <t>Shae__MS3_00002403, Shae__MS3_00006341</t>
  </si>
  <si>
    <t>Sjap__EWB00_003002, Sjap__EWB00_004212</t>
  </si>
  <si>
    <t>Sman__Smp_124130, Sman__Smp_157240</t>
  </si>
  <si>
    <t>Shae__MS3_00002403, Sjap__EWB00_004212, Sman__Smp_124130</t>
  </si>
  <si>
    <t>Shae__MS3_00002201, Sjap__EWB00_002797, Sman__Smp_040190</t>
  </si>
  <si>
    <t>Shae__MS3_00007339, Sjap__EWB00_001228, Sman__Smp_334370</t>
  </si>
  <si>
    <t>Shae__MS3_00010577, Sjap__EWB00_003876, Sman__Smp_121780</t>
  </si>
  <si>
    <t>Shae__MS3_00009872, Sjap__EWB00_002919, Sman__Smp_126140</t>
  </si>
  <si>
    <t>Shae__MS3_00004145</t>
  </si>
  <si>
    <t>Sman__Smp_176580</t>
  </si>
  <si>
    <t>Shae__MS3_00002534, Shae__MS3_00003544</t>
  </si>
  <si>
    <t>Sjap__EWB00_009480, Sjap__EWB00_010219</t>
  </si>
  <si>
    <t>Sman__Smp_003000, Sman__Smp_094760</t>
  </si>
  <si>
    <t>Shae__MS3_00002534, Shae__MS3_00003544, Sjap__EWB00_009480, Sjap__EWB00_010219, Sman__Smp_003000, Sman__Smp_094760</t>
  </si>
  <si>
    <t>Shae__MS3_00001662, Shae__MS3_00009666</t>
  </si>
  <si>
    <t>Sman__Smp_008260, Sman__Smp_342160</t>
  </si>
  <si>
    <t>Shae__MS3_00001662, Shae__MS3_00009666, Sjap__EWB00_004368, Sman__Smp_008260</t>
  </si>
  <si>
    <t>Shae__MS3_00000668, Shae__MS3_00008956, Shae__MS3_00008957</t>
  </si>
  <si>
    <t>Shae__MS3_00008957, Sjap__EWB00_001328, Sman__Smp_343650</t>
  </si>
  <si>
    <t>Shae__MS3_00006560, Sjap__EWB00_009122, Sman__Smp_133020</t>
  </si>
  <si>
    <t>Shae__MS3_00002568, Shae__MS3_00003616</t>
  </si>
  <si>
    <t>Sjap__EWB00_003590, Sjap__EWB00_009388</t>
  </si>
  <si>
    <t>Sman__Smp_048560, Sman__Smp_143130</t>
  </si>
  <si>
    <t>Shae__MS3_00002568, Shae__MS3_00003616, Sjap__EWB00_003590, Sjap__EWB00_009388, Sman__Smp_048560, Sman__Smp_143130</t>
  </si>
  <si>
    <t>Shae__MS3_00003383, Sjap__EWB00_003065, Sman__Smp_011660</t>
  </si>
  <si>
    <t>Sjap__EWB00_007274, Sjap__EWB00_007853</t>
  </si>
  <si>
    <t>Shae__MS3_00007496, Sjap__EWB00_007274, Sman__Smp_247740</t>
  </si>
  <si>
    <t>Shae__MS3_00001484, Sjap__EWB00_001471, Sman__Smp_124850</t>
  </si>
  <si>
    <t>Shae__MS3_00002715, Sjap__EWB00_004650, Sman__Smp_214100</t>
  </si>
  <si>
    <t>Shae__MS3_00004152, Sjap__EWB00_007650, Sman__Smp_096640</t>
  </si>
  <si>
    <t>Shae__MS3_00004635, Sjap__EWB00_002413, Sman__Smp_333410</t>
  </si>
  <si>
    <t>Shae__MS3_00008614, Sjap__EWB00_009287, Sman__Smp_169950</t>
  </si>
  <si>
    <t>Shae__MS3_00008566, Sjap__EWB00_004629, Sman__Smp_073340</t>
  </si>
  <si>
    <t>Shae__MS3_00004019, Sjap__EWB00_004811, Sman__Smp_335730</t>
  </si>
  <si>
    <t>Sjap__EWB00_009157</t>
  </si>
  <si>
    <t>Sman__Smp_077820</t>
  </si>
  <si>
    <t>Shae__MS3_00003888</t>
  </si>
  <si>
    <t>Sman__Smp_047190</t>
  </si>
  <si>
    <t>Sjap__EWB00_010483</t>
  </si>
  <si>
    <t>Shae__MS3_00005588, Sman__Smp_123640</t>
  </si>
  <si>
    <t>Shae__MS3_00007343, Sjap__EWB00_001225, Sman__Smp_130900</t>
  </si>
  <si>
    <t>Shae__MS3_00005371, Sjap__EWB00_009224, Sman__Smp_150220</t>
  </si>
  <si>
    <t>Shae__MS3_00002824, Sjap__EWB00_007322, Sman__Smp_137610</t>
  </si>
  <si>
    <t>Shae__MS3_00005288, Sjap__EWB00_005902, Sman__Smp_246550</t>
  </si>
  <si>
    <t>Shae__MS3_00003235, Sjap__EWB00_002103, Sman__Smp_053420</t>
  </si>
  <si>
    <t>Shae__MS3_00004366</t>
  </si>
  <si>
    <t>Sman__Smp_244010</t>
  </si>
  <si>
    <t>Shae__MS3_00001786, Sjap__EWB00_001091, Sman__Smp_098840</t>
  </si>
  <si>
    <t>Shae__MS3_00004774, Sjap__EWB00_008857, Sman__Smp_072870</t>
  </si>
  <si>
    <t>Shae__MS3_00008246, Sjap__EWB00_009162, Sman__Smp_077860</t>
  </si>
  <si>
    <t>Shae__MS3_00010729, Sjap__EWB00_004095, Sman__Smp_047900</t>
  </si>
  <si>
    <t>Shae__MS3_00008190, Sjap__EWB00_008683, Sman__Smp_142050</t>
  </si>
  <si>
    <t>Shae__MS3_00001808, Shae__MS3_00004068</t>
  </si>
  <si>
    <t>Shae__MS3_00004068, Sjap__EWB00_003104, Sman__Smp_212730</t>
  </si>
  <si>
    <t>Shae__MS3_00003724, Sjap__EWB00_008035, Sman__Smp_097940</t>
  </si>
  <si>
    <t>Shae__MS3_00008971, Sjap__EWB00_001343, Sman__Smp_086690</t>
  </si>
  <si>
    <t>Shae__MS3_00011163, Sjap__EWB00_007426, Sman__Smp_210740</t>
  </si>
  <si>
    <t>Shae__MS3_00008679, Sjap__EWB00_003272, Sman__Smp_080730</t>
  </si>
  <si>
    <t>Shae__MS3_00002669</t>
  </si>
  <si>
    <t>Sman__Smp_156990</t>
  </si>
  <si>
    <t>Shae__MS3_00007174, Sjap__EWB00_003470, Sman__Smp_171370</t>
  </si>
  <si>
    <t>Shae__MS3_00009653, Sjap__EWB00_005849, Sman__Smp_125360</t>
  </si>
  <si>
    <t>Sman__Smp_210970</t>
  </si>
  <si>
    <t>Shae__MS3_00003535, Sjap__EWB00_009479</t>
  </si>
  <si>
    <t>Sjap__EWB00_007519, Sman__Smp_172240</t>
  </si>
  <si>
    <t>Shae__MS3_00000487, Sjap__EWB00_002741, Sman__Smp_148790</t>
  </si>
  <si>
    <t>Shae__MS3_00004657, Sjap__EWB00_002386, Sman__Smp_026510</t>
  </si>
  <si>
    <t>Shae__MS3_00004315, Sjap__EWB00_005467, Sman__Smp_096310</t>
  </si>
  <si>
    <t>Shae__MS3_00001471, Sjap__EWB00_008372, Sman__Smp_009600</t>
  </si>
  <si>
    <t>Shae__MS3_00008601, Sjap__EWB00_001961, Sman__Smp_176750</t>
  </si>
  <si>
    <t>Sjap__EWB00_008732</t>
  </si>
  <si>
    <t>Shae__MS3_00006313, Sman__Smp_157350</t>
  </si>
  <si>
    <t>Shae__MS3_00007604, Sjap__EWB00_007161, Sman__Smp_053560</t>
  </si>
  <si>
    <t>Sjap__EWB00_010404</t>
  </si>
  <si>
    <t>Sman__Smp_007510</t>
  </si>
  <si>
    <t>Sjap__EWB00_001670</t>
  </si>
  <si>
    <t>Sman__Smp_069840</t>
  </si>
  <si>
    <t>Shae__MS3_00002424, Sjap__EWB00_008286, Sman__Smp_131800</t>
  </si>
  <si>
    <t>Shae__MS3_00001381, Sjap__EWB00_003429, Sman__Smp_315700</t>
  </si>
  <si>
    <t>Shae__MS3_00004459, Sjap__EWB00_006126, Sman__Smp_163810</t>
  </si>
  <si>
    <t>Shae__MS3_00005251, Sjap__EWB00_007739, Sman__Smp_308420</t>
  </si>
  <si>
    <t>Shae__MS3_00008174, Sjap__EWB00_001618, Sman__Smp_063040</t>
  </si>
  <si>
    <t>Shae__MS3_00004156</t>
  </si>
  <si>
    <t>Sjap__EWB00_000085</t>
  </si>
  <si>
    <t>Shae__MS3_00010803, Sjap__EWB00_010647, Sman__Smp_101290</t>
  </si>
  <si>
    <t>Shae__MS3_00007047, Sjap__EWB00_003565, Sman__Smp_246050</t>
  </si>
  <si>
    <t>Shae__MS3_00006556, Sjap__EWB00_007221, Sman__Smp_344780</t>
  </si>
  <si>
    <t>Shae__MS3_00005021, Sjap__EWB00_007959, Sman__Smp_074080</t>
  </si>
  <si>
    <t>Shae__MS3_00006521, Sjap__EWB00_006779, Sman__Smp_009540</t>
  </si>
  <si>
    <t>Shae__MS3_00005632, Sjap__EWB00_010398, Sman__Smp_079760</t>
  </si>
  <si>
    <t>Shae__MS3_00001825, Sjap__EWB00_009541, Sman__Smp_165070</t>
  </si>
  <si>
    <t>Shae__MS3_00007700, Sjap__EWB00_001408, Sman__Smp_135570</t>
  </si>
  <si>
    <t>Shae__MS3_00004076, Sjap__EWB00_003114, Sman__Smp_094190</t>
  </si>
  <si>
    <t>Shae__MS3_00007430, Sjap__EWB00_006002, Sman__Smp_093230</t>
  </si>
  <si>
    <t>Sjap__EWB00_001416</t>
  </si>
  <si>
    <t>Shae__MS3_00007449, Sman__Smp_247600</t>
  </si>
  <si>
    <t>Shae__MS3_00009095, Sjap__EWB00_002182, Sman__Smp_156870</t>
  </si>
  <si>
    <t>Shae__MS3_00006566, Sman__Smp_328200</t>
  </si>
  <si>
    <t>Shae__MS3_00010367, Sjap__EWB00_003063, Sman__Smp_011700</t>
  </si>
  <si>
    <t>Shae__MS3_00009097</t>
  </si>
  <si>
    <t>Sjap__EWB00_009305, Sjap__EWB00_010907</t>
  </si>
  <si>
    <t>Sjap__EWB00_009305, Sman__Smp_125790</t>
  </si>
  <si>
    <t>Shae__MS3_00008020, Sjap__EWB00_001594, Sman__Smp_049760</t>
  </si>
  <si>
    <t>Shae__MS3_00005180, Sjap__EWB00_011156, Sman__Smp_162710</t>
  </si>
  <si>
    <t>Shae__MS3_00001622, Sman__Smp_009800</t>
  </si>
  <si>
    <t>Sjap__EWB00_006602, Sman__Smp_150040</t>
  </si>
  <si>
    <t>Sjap__EWB00_000516, Sman__Smp_094250</t>
  </si>
  <si>
    <t>Shae__MS3_00007688, Sjap__EWB00_001391, Sman__Smp_145190</t>
  </si>
  <si>
    <t>Sjap__EWB00_009117, Sman__Smp_309860</t>
  </si>
  <si>
    <t>Shae__MS3_00002179</t>
  </si>
  <si>
    <t>Sjap__EWB00_003234</t>
  </si>
  <si>
    <t>Sman__Smp_006920, Sman__Smp_348670</t>
  </si>
  <si>
    <t>Shae__MS3_00002771, Sjap__EWB00_007873, Sman__Smp_006920, Sman__Smp_348670</t>
  </si>
  <si>
    <t>Shae__MS3_00006229, Sjap__EWB00_010727, Sman__Smp_143470</t>
  </si>
  <si>
    <t>Shae__MS3_00010396, Sjap__EWB00_002194, Sman__Smp_340300</t>
  </si>
  <si>
    <t>Shae__MS3_00003104, Sjap__EWB00_009781, Sman__Smp_058790</t>
  </si>
  <si>
    <t>Shae__MS3_00007411, Sman__Smp_313640</t>
  </si>
  <si>
    <t>Shae__MS3_00001402</t>
  </si>
  <si>
    <t>Sjap__EWB00_002858</t>
  </si>
  <si>
    <t>Shae__MS3_00001716, Sjap__EWB00_001311, Sman__Smp_196840</t>
  </si>
  <si>
    <t>Shae__MS3_00001856, Sjap__EWB00_006209, Sman__Smp_170280</t>
  </si>
  <si>
    <t>Sman__Smp_332590</t>
  </si>
  <si>
    <t>Shae__MS3_00001957, Sjap__EWB00_003952</t>
  </si>
  <si>
    <t>Shae__MS3_00003129, Sjap__EWB00_009560, Sman__Smp_146200</t>
  </si>
  <si>
    <t>Shae__MS3_00003161</t>
  </si>
  <si>
    <t>Sjap__EWB00_005910</t>
  </si>
  <si>
    <t>Shae__MS3_00003185, Sjap__EWB00_009456, Sman__Smp_073490</t>
  </si>
  <si>
    <t>Shae__MS3_00003218, Sjap__EWB00_005112, Sman__Smp_073510</t>
  </si>
  <si>
    <t>Shae__MS3_00003343, Sjap__EWB00_009095, Sman__Smp_342370</t>
  </si>
  <si>
    <t>Sjap__EWB00_006417</t>
  </si>
  <si>
    <t>Shae__MS3_00004470, Sman__Smp_077180</t>
  </si>
  <si>
    <t>Shae__MS3_00005610, Sjap__EWB00_010450, Sman__Smp_197370</t>
  </si>
  <si>
    <t>Sman__Smp_245490</t>
  </si>
  <si>
    <t>Shae__MS3_00006013, Sjap__EWB00_003639</t>
  </si>
  <si>
    <t>Shae__MS3_00007112, Sjap__EWB00_002899, Sman__Smp_175590</t>
  </si>
  <si>
    <t>Sman__Smp_027400</t>
  </si>
  <si>
    <t>Shae__MS3_00007266, Sjap__EWB00_008189</t>
  </si>
  <si>
    <t>Shae__MS3_00008247, Sjap__EWB00_009161, Sman__Smp_077850</t>
  </si>
  <si>
    <t>Sman__Smp_020760</t>
  </si>
  <si>
    <t>Shae__MS3_00008988, Sjap__EWB00_009605</t>
  </si>
  <si>
    <t>Shae__MS3_00009375, Sjap__EWB00_006747, Sman__Smp_070640</t>
  </si>
  <si>
    <t>Shae__MS3_00009432, Sjap__EWB00_005528, Sman__Smp_175630</t>
  </si>
  <si>
    <t>Shae__MS3_00010057, Sjap__EWB00_000274, Sman__Smp_123830</t>
  </si>
  <si>
    <t>Shae__MS3_00010441, Sjap__EWB00_004122, Sman__Smp_020540</t>
  </si>
  <si>
    <t>Sjap__EWB00_000751, Sman__Smp_140700</t>
  </si>
  <si>
    <t>reference_species</t>
  </si>
  <si>
    <t>orthologues</t>
  </si>
  <si>
    <t>relationship</t>
  </si>
  <si>
    <t>source_group_size</t>
  </si>
  <si>
    <t>target_group_size</t>
  </si>
  <si>
    <t>source_file</t>
  </si>
  <si>
    <t>Orthologues/Cele.tsv</t>
  </si>
  <si>
    <t>22</t>
  </si>
  <si>
    <t>Orthologues/Hsap.tsv</t>
  </si>
  <si>
    <t>14</t>
  </si>
  <si>
    <t>Orthology output summary</t>
  </si>
  <si>
    <t>Metric</t>
  </si>
  <si>
    <t>Value</t>
  </si>
  <si>
    <t>Percent</t>
  </si>
  <si>
    <t>Relationship term</t>
  </si>
  <si>
    <t>Meaning in this output</t>
  </si>
  <si>
    <t>Interpretive caution</t>
  </si>
  <si>
    <t>Candidate proteins in report</t>
  </si>
  <si>
    <t>1 candidate-side gene ↔ 1 reference gene</t>
  </si>
  <si>
    <t>Best resolved cardinality; still not functional proof.</t>
  </si>
  <si>
    <t>Shared HOG</t>
  </si>
  <si>
    <t>1 candidate-side gene ↔ multiple reference genes</t>
  </si>
  <si>
    <t>Reference-lineage duplication/expansion or unresolved co-orthology.</t>
  </si>
  <si>
    <t>Multiple candidate-side genes ↔ 1 reference gene</t>
  </si>
  <si>
    <t>Schistosome-side duplication/expansion or unresolved paralogy.</t>
  </si>
  <si>
    <t>Not found in selected HOG table</t>
  </si>
  <si>
    <t>Multiple genes on both sides</t>
  </si>
  <si>
    <t>Family-level conservation; exact orthologue identity is ambiguous.</t>
  </si>
  <si>
    <t>Direct H. sapiens orthologue(s)</t>
  </si>
  <si>
    <t>No direct pairwise call to that reference</t>
  </si>
  <si>
    <t>A shared HOG can still support deeper homology.</t>
  </si>
  <si>
    <t>Direct C. elegans orthologue(s)</t>
  </si>
  <si>
    <t>Direct orthologues to both references</t>
  </si>
  <si>
    <t>Human one-to-one relationships</t>
  </si>
  <si>
    <t>C. elegans one-to-one relationships</t>
  </si>
  <si>
    <t>HOG copy profile 1:1:1 across Shae/Sjap/Sman</t>
  </si>
  <si>
    <t>HOG represented in all three Schistosoma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</si>
</sst>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Aptos Narrow"/>
    </font>
    <font>
      <b/>
      <sz val="11"/>
      <color theme="1"/>
      <name val="Aptos Narrow"/>
    </font>
    <font>
      <i/>
      <sz val="11"/>
      <color theme="1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2" fontId="0" fillId="0" borderId="1" xfId="0" applyNumberForma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 wrapText="1"/>
    </xf>
    <xf numFmtId="164" fontId="0" fillId="0" borderId="0" xfId="0" applyNumberFormat="1"/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98"/>
  <sheetViews>
    <sheetView tabSelected="1" workbookViewId="0">
      <selection activeCell="F4" sqref="F4"/>
    </sheetView>
  </sheetViews>
  <sheetFormatPr defaultRowHeight="14.5" x14ac:dyDescent="0.35"/>
  <cols>
    <col min="1" max="1" width="14.6328125" customWidth="1"/>
    <col min="2" max="2" width="14.26953125" customWidth="1"/>
    <col min="3" max="3" width="13.453125" customWidth="1"/>
    <col min="4" max="4" width="13.90625" customWidth="1"/>
    <col min="5" max="5" width="16.7265625" customWidth="1"/>
    <col min="6" max="6" width="25.90625" customWidth="1"/>
    <col min="7" max="7" width="19.7265625" customWidth="1"/>
    <col min="9" max="9" width="17.26953125" customWidth="1"/>
    <col min="10" max="10" width="16.7265625" customWidth="1"/>
    <col min="11" max="11" width="15.453125" customWidth="1"/>
    <col min="12" max="12" width="21.453125" customWidth="1"/>
    <col min="13" max="13" width="22.08984375" customWidth="1"/>
    <col min="14" max="14" width="19.81640625" customWidth="1"/>
    <col min="15" max="15" width="19" customWidth="1"/>
    <col min="16" max="16" width="34.453125" customWidth="1"/>
    <col min="17" max="17" width="40" customWidth="1"/>
    <col min="18" max="18" width="24" customWidth="1"/>
    <col min="19" max="19" width="28" customWidth="1"/>
    <col min="20" max="20" width="30" customWidth="1"/>
    <col min="21" max="21" width="24" customWidth="1"/>
    <col min="22" max="22" width="16" customWidth="1"/>
    <col min="23" max="23" width="24" customWidth="1"/>
    <col min="24" max="24" width="14.26953125" style="21" customWidth="1"/>
    <col min="25" max="25" width="20.08984375" style="21" customWidth="1"/>
    <col min="26" max="26" width="32.26953125" bestFit="1" customWidth="1"/>
    <col min="27" max="27" width="32.453125" bestFit="1" customWidth="1"/>
    <col min="28" max="28" width="16" customWidth="1"/>
    <col min="29" max="29" width="15" customWidth="1"/>
    <col min="30" max="30" width="26" customWidth="1"/>
    <col min="31" max="31" width="42" customWidth="1"/>
    <col min="32" max="34" width="22" customWidth="1"/>
    <col min="35" max="38" width="28" customWidth="1"/>
    <col min="39" max="39" width="42" customWidth="1"/>
    <col min="40" max="40" width="18" customWidth="1"/>
    <col min="41" max="41" width="16" customWidth="1"/>
    <col min="42" max="42" width="24" customWidth="1"/>
    <col min="43" max="43" width="36" customWidth="1"/>
    <col min="44" max="44" width="22" customWidth="1"/>
    <col min="45" max="45" width="36" customWidth="1"/>
    <col min="46" max="46" width="17.90625" customWidth="1"/>
    <col min="47" max="48" width="38" customWidth="1"/>
    <col min="49" max="49" width="17.7265625" style="21" customWidth="1"/>
    <col min="50" max="50" width="16.90625" style="21" customWidth="1"/>
    <col min="51" max="51" width="16.7265625" style="21" customWidth="1"/>
    <col min="52" max="52" width="16.36328125" style="21" customWidth="1"/>
    <col min="53" max="53" width="16.54296875" style="21" customWidth="1"/>
    <col min="54" max="54" width="16.36328125" style="21" customWidth="1"/>
    <col min="55" max="55" width="16.1796875" style="21" customWidth="1"/>
    <col min="56" max="56" width="34" customWidth="1"/>
    <col min="57" max="57" width="48" customWidth="1"/>
  </cols>
  <sheetData>
    <row r="1" spans="1:57" s="8" customFormat="1" ht="43.5" x14ac:dyDescent="0.35">
      <c r="A1" s="5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9" t="s">
        <v>967</v>
      </c>
      <c r="V1" s="9" t="s">
        <v>968</v>
      </c>
      <c r="W1" s="9" t="s">
        <v>969</v>
      </c>
      <c r="X1" s="10" t="s">
        <v>970</v>
      </c>
      <c r="Y1" s="10" t="s">
        <v>971</v>
      </c>
      <c r="Z1" s="9" t="s">
        <v>972</v>
      </c>
      <c r="AA1" s="9" t="s">
        <v>973</v>
      </c>
      <c r="AB1" s="9" t="s">
        <v>974</v>
      </c>
      <c r="AC1" s="11" t="s">
        <v>975</v>
      </c>
      <c r="AD1" s="11" t="s">
        <v>976</v>
      </c>
      <c r="AE1" s="11" t="s">
        <v>977</v>
      </c>
      <c r="AF1" s="11" t="s">
        <v>978</v>
      </c>
      <c r="AG1" s="11" t="s">
        <v>979</v>
      </c>
      <c r="AH1" s="11" t="s">
        <v>980</v>
      </c>
      <c r="AI1" s="11" t="s">
        <v>981</v>
      </c>
      <c r="AJ1" s="11" t="s">
        <v>982</v>
      </c>
      <c r="AK1" s="11" t="s">
        <v>983</v>
      </c>
      <c r="AL1" s="11" t="s">
        <v>984</v>
      </c>
      <c r="AM1" s="11" t="s">
        <v>985</v>
      </c>
      <c r="AN1" s="11" t="s">
        <v>986</v>
      </c>
      <c r="AO1" s="11" t="s">
        <v>987</v>
      </c>
      <c r="AP1" s="11" t="s">
        <v>988</v>
      </c>
      <c r="AQ1" s="11" t="s">
        <v>989</v>
      </c>
      <c r="AR1" s="11" t="s">
        <v>990</v>
      </c>
      <c r="AS1" s="11" t="s">
        <v>991</v>
      </c>
      <c r="AT1" s="11" t="s">
        <v>992</v>
      </c>
      <c r="AU1" s="11" t="s">
        <v>993</v>
      </c>
      <c r="AV1" s="11" t="s">
        <v>994</v>
      </c>
      <c r="AW1" s="12" t="s">
        <v>995</v>
      </c>
      <c r="AX1" s="12" t="s">
        <v>996</v>
      </c>
      <c r="AY1" s="12" t="s">
        <v>997</v>
      </c>
      <c r="AZ1" s="12" t="s">
        <v>998</v>
      </c>
      <c r="BA1" s="12" t="s">
        <v>999</v>
      </c>
      <c r="BB1" s="12" t="s">
        <v>1000</v>
      </c>
      <c r="BC1" s="12" t="s">
        <v>1001</v>
      </c>
      <c r="BD1" s="11" t="s">
        <v>1002</v>
      </c>
      <c r="BE1" s="11" t="s">
        <v>1003</v>
      </c>
    </row>
    <row r="2" spans="1:57" s="8" customFormat="1" ht="145" x14ac:dyDescent="0.35">
      <c r="A2" s="7" t="s">
        <v>20</v>
      </c>
      <c r="B2" s="7" t="s">
        <v>21</v>
      </c>
      <c r="C2" s="3" t="s">
        <v>22</v>
      </c>
      <c r="D2" s="3" t="s">
        <v>23</v>
      </c>
      <c r="E2" s="3" t="s">
        <v>23</v>
      </c>
      <c r="F2" s="3" t="s">
        <v>24</v>
      </c>
      <c r="G2" s="3" t="s">
        <v>25</v>
      </c>
      <c r="H2" s="4">
        <v>3245</v>
      </c>
      <c r="I2" s="4">
        <v>800</v>
      </c>
      <c r="J2" s="3" t="s">
        <v>26</v>
      </c>
      <c r="K2" s="4" t="b">
        <v>1</v>
      </c>
      <c r="L2" s="6">
        <v>1</v>
      </c>
      <c r="M2" s="6">
        <v>1</v>
      </c>
      <c r="N2" s="3" t="s">
        <v>27</v>
      </c>
      <c r="O2" s="3"/>
      <c r="P2" s="3" t="s">
        <v>28</v>
      </c>
      <c r="Q2" s="3" t="s">
        <v>1004</v>
      </c>
      <c r="R2" s="3" t="s">
        <v>1005</v>
      </c>
      <c r="S2" s="3" t="s">
        <v>1006</v>
      </c>
      <c r="T2" s="3" t="s">
        <v>1007</v>
      </c>
      <c r="U2" s="11" t="s">
        <v>1008</v>
      </c>
      <c r="V2" s="11" t="s">
        <v>1009</v>
      </c>
      <c r="W2" s="11" t="s">
        <v>1010</v>
      </c>
      <c r="X2" s="13">
        <v>0.85</v>
      </c>
      <c r="Y2" s="12"/>
      <c r="Z2" s="11" t="s">
        <v>1011</v>
      </c>
      <c r="AA2" s="11"/>
      <c r="AB2" s="11"/>
      <c r="AC2" s="11">
        <v>5</v>
      </c>
      <c r="AD2" s="11" t="s">
        <v>1012</v>
      </c>
      <c r="AE2" s="11" t="s">
        <v>1013</v>
      </c>
      <c r="AF2" s="11" t="s">
        <v>1014</v>
      </c>
      <c r="AG2" s="11" t="s">
        <v>1015</v>
      </c>
      <c r="AH2" s="11" t="s">
        <v>75</v>
      </c>
      <c r="AI2" s="11" t="s">
        <v>1016</v>
      </c>
      <c r="AJ2" s="11"/>
      <c r="AK2" s="11" t="s">
        <v>262</v>
      </c>
      <c r="AL2" s="11" t="s">
        <v>1017</v>
      </c>
      <c r="AM2" s="11" t="s">
        <v>1018</v>
      </c>
      <c r="AN2" s="11" t="s">
        <v>1019</v>
      </c>
      <c r="AO2" s="11" t="s">
        <v>1020</v>
      </c>
      <c r="AP2" s="11" t="s">
        <v>1021</v>
      </c>
      <c r="AQ2" s="11" t="s">
        <v>1022</v>
      </c>
      <c r="AR2" s="11" t="s">
        <v>1023</v>
      </c>
      <c r="AS2" s="11" t="s">
        <v>1024</v>
      </c>
      <c r="AT2" s="11" t="s">
        <v>1025</v>
      </c>
      <c r="AU2" s="11" t="s">
        <v>1022</v>
      </c>
      <c r="AV2" s="11" t="s">
        <v>1024</v>
      </c>
      <c r="AW2" s="12">
        <v>2</v>
      </c>
      <c r="AX2" s="12">
        <v>2</v>
      </c>
      <c r="AY2" s="12">
        <v>2</v>
      </c>
      <c r="AZ2" s="12">
        <v>2</v>
      </c>
      <c r="BA2" s="12">
        <v>3</v>
      </c>
      <c r="BB2" s="12">
        <v>2</v>
      </c>
      <c r="BC2" s="12">
        <v>1</v>
      </c>
      <c r="BD2" s="11" t="s">
        <v>1026</v>
      </c>
      <c r="BE2" s="11" t="s">
        <v>1027</v>
      </c>
    </row>
    <row r="3" spans="1:57" s="8" customFormat="1" ht="58" x14ac:dyDescent="0.35">
      <c r="A3" s="7" t="s">
        <v>20</v>
      </c>
      <c r="B3" s="7" t="s">
        <v>21</v>
      </c>
      <c r="C3" s="3" t="s">
        <v>29</v>
      </c>
      <c r="D3" s="3" t="s">
        <v>30</v>
      </c>
      <c r="E3" s="3" t="s">
        <v>30</v>
      </c>
      <c r="F3" s="3" t="s">
        <v>31</v>
      </c>
      <c r="G3" s="3" t="s">
        <v>25</v>
      </c>
      <c r="H3" s="4">
        <v>476</v>
      </c>
      <c r="I3" s="4">
        <v>250</v>
      </c>
      <c r="J3" s="3" t="s">
        <v>26</v>
      </c>
      <c r="K3" s="4" t="b">
        <v>1</v>
      </c>
      <c r="L3" s="6">
        <v>1</v>
      </c>
      <c r="M3" s="6">
        <v>1</v>
      </c>
      <c r="N3" s="3" t="s">
        <v>32</v>
      </c>
      <c r="O3" s="3"/>
      <c r="P3" s="3" t="s">
        <v>33</v>
      </c>
      <c r="Q3" s="3" t="s">
        <v>1028</v>
      </c>
      <c r="R3" s="3" t="s">
        <v>1029</v>
      </c>
      <c r="S3" s="3" t="s">
        <v>1006</v>
      </c>
      <c r="T3" s="3" t="s">
        <v>1007</v>
      </c>
      <c r="U3" s="11" t="s">
        <v>1030</v>
      </c>
      <c r="V3" s="11" t="s">
        <v>1031</v>
      </c>
      <c r="W3" s="11" t="s">
        <v>1032</v>
      </c>
      <c r="X3" s="13">
        <v>0.7</v>
      </c>
      <c r="Y3" s="12"/>
      <c r="Z3" s="11"/>
      <c r="AA3" s="11"/>
      <c r="AB3" s="11"/>
      <c r="AC3" s="11">
        <v>0</v>
      </c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 t="s">
        <v>1019</v>
      </c>
      <c r="AO3" s="11" t="s">
        <v>1033</v>
      </c>
      <c r="AP3" s="11" t="s">
        <v>1021</v>
      </c>
      <c r="AQ3" s="11"/>
      <c r="AR3" s="11" t="s">
        <v>1034</v>
      </c>
      <c r="AS3" s="11" t="s">
        <v>1035</v>
      </c>
      <c r="AT3" s="11" t="s">
        <v>1025</v>
      </c>
      <c r="AU3" s="11"/>
      <c r="AV3" s="11" t="s">
        <v>1035</v>
      </c>
      <c r="AW3" s="12">
        <v>65</v>
      </c>
      <c r="AX3" s="12">
        <v>38</v>
      </c>
      <c r="AY3" s="12">
        <v>8</v>
      </c>
      <c r="AZ3" s="12"/>
      <c r="BA3" s="12"/>
      <c r="BB3" s="12">
        <v>65</v>
      </c>
      <c r="BC3" s="12">
        <v>1</v>
      </c>
      <c r="BD3" s="11" t="s">
        <v>1036</v>
      </c>
      <c r="BE3" s="11" t="s">
        <v>1037</v>
      </c>
    </row>
    <row r="4" spans="1:57" s="8" customFormat="1" ht="203" x14ac:dyDescent="0.35">
      <c r="A4" s="7" t="s">
        <v>20</v>
      </c>
      <c r="B4" s="7" t="s">
        <v>21</v>
      </c>
      <c r="C4" s="3" t="s">
        <v>34</v>
      </c>
      <c r="D4" s="3" t="s">
        <v>35</v>
      </c>
      <c r="E4" s="3" t="s">
        <v>35</v>
      </c>
      <c r="F4" s="3" t="s">
        <v>36</v>
      </c>
      <c r="G4" s="3" t="s">
        <v>25</v>
      </c>
      <c r="H4" s="4">
        <v>1754</v>
      </c>
      <c r="I4" s="4">
        <v>400</v>
      </c>
      <c r="J4" s="3" t="s">
        <v>26</v>
      </c>
      <c r="K4" s="4" t="b">
        <v>1</v>
      </c>
      <c r="L4" s="6">
        <v>1</v>
      </c>
      <c r="M4" s="6">
        <v>1</v>
      </c>
      <c r="N4" s="3" t="s">
        <v>37</v>
      </c>
      <c r="O4" s="3"/>
      <c r="P4" s="3" t="s">
        <v>38</v>
      </c>
      <c r="Q4" s="3" t="s">
        <v>1038</v>
      </c>
      <c r="R4" s="3" t="s">
        <v>1039</v>
      </c>
      <c r="S4" s="3" t="s">
        <v>1040</v>
      </c>
      <c r="T4" s="3" t="s">
        <v>1041</v>
      </c>
      <c r="U4" s="11" t="s">
        <v>1042</v>
      </c>
      <c r="V4" s="11" t="s">
        <v>1043</v>
      </c>
      <c r="W4" s="11" t="s">
        <v>1044</v>
      </c>
      <c r="X4" s="13">
        <v>1</v>
      </c>
      <c r="Y4" s="12" t="s">
        <v>1045</v>
      </c>
      <c r="Z4" s="11"/>
      <c r="AA4" s="11"/>
      <c r="AB4" s="11"/>
      <c r="AC4" s="11">
        <v>0</v>
      </c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 t="s">
        <v>1019</v>
      </c>
      <c r="AO4" s="11" t="s">
        <v>1046</v>
      </c>
      <c r="AP4" s="11" t="s">
        <v>1021</v>
      </c>
      <c r="AQ4" s="11" t="s">
        <v>1047</v>
      </c>
      <c r="AR4" s="11" t="s">
        <v>1048</v>
      </c>
      <c r="AS4" s="11" t="s">
        <v>1049</v>
      </c>
      <c r="AT4" s="11" t="s">
        <v>1050</v>
      </c>
      <c r="AU4" s="11" t="s">
        <v>1047</v>
      </c>
      <c r="AV4" s="11" t="s">
        <v>1049</v>
      </c>
      <c r="AW4" s="12">
        <v>1</v>
      </c>
      <c r="AX4" s="12">
        <v>1</v>
      </c>
      <c r="AY4" s="12">
        <v>1</v>
      </c>
      <c r="AZ4" s="12">
        <v>1</v>
      </c>
      <c r="BA4" s="12">
        <v>2</v>
      </c>
      <c r="BB4" s="12">
        <v>1</v>
      </c>
      <c r="BC4" s="12">
        <v>1</v>
      </c>
      <c r="BD4" s="11" t="s">
        <v>1026</v>
      </c>
      <c r="BE4" s="11" t="s">
        <v>1051</v>
      </c>
    </row>
    <row r="5" spans="1:57" s="8" customFormat="1" ht="58" x14ac:dyDescent="0.35">
      <c r="A5" s="7" t="s">
        <v>20</v>
      </c>
      <c r="B5" s="7" t="s">
        <v>21</v>
      </c>
      <c r="C5" s="3" t="s">
        <v>39</v>
      </c>
      <c r="D5" s="3" t="s">
        <v>30</v>
      </c>
      <c r="E5" s="3" t="s">
        <v>30</v>
      </c>
      <c r="F5" s="3" t="s">
        <v>31</v>
      </c>
      <c r="G5" s="3" t="s">
        <v>25</v>
      </c>
      <c r="H5" s="4">
        <v>613</v>
      </c>
      <c r="I5" s="4">
        <v>250</v>
      </c>
      <c r="J5" s="3" t="s">
        <v>26</v>
      </c>
      <c r="K5" s="4" t="b">
        <v>1</v>
      </c>
      <c r="L5" s="6">
        <v>1</v>
      </c>
      <c r="M5" s="6">
        <v>1</v>
      </c>
      <c r="N5" s="3" t="s">
        <v>32</v>
      </c>
      <c r="O5" s="3"/>
      <c r="P5" s="3" t="s">
        <v>33</v>
      </c>
      <c r="Q5" s="3" t="s">
        <v>1028</v>
      </c>
      <c r="R5" s="3" t="s">
        <v>1029</v>
      </c>
      <c r="S5" s="3" t="s">
        <v>1006</v>
      </c>
      <c r="T5" s="3" t="s">
        <v>1052</v>
      </c>
      <c r="U5" s="11" t="s">
        <v>1053</v>
      </c>
      <c r="V5" s="11" t="s">
        <v>1031</v>
      </c>
      <c r="W5" s="11" t="s">
        <v>1032</v>
      </c>
      <c r="X5" s="13">
        <v>0.7</v>
      </c>
      <c r="Y5" s="12"/>
      <c r="Z5" s="11"/>
      <c r="AA5" s="11"/>
      <c r="AB5" s="11"/>
      <c r="AC5" s="11">
        <v>0</v>
      </c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 t="s">
        <v>1019</v>
      </c>
      <c r="AO5" s="11" t="s">
        <v>1033</v>
      </c>
      <c r="AP5" s="11" t="s">
        <v>1021</v>
      </c>
      <c r="AQ5" s="11"/>
      <c r="AR5" s="11" t="s">
        <v>1034</v>
      </c>
      <c r="AS5" s="11" t="s">
        <v>1035</v>
      </c>
      <c r="AT5" s="11" t="s">
        <v>1025</v>
      </c>
      <c r="AU5" s="11"/>
      <c r="AV5" s="11" t="s">
        <v>1035</v>
      </c>
      <c r="AW5" s="12">
        <v>65</v>
      </c>
      <c r="AX5" s="12">
        <v>38</v>
      </c>
      <c r="AY5" s="12">
        <v>8</v>
      </c>
      <c r="AZ5" s="12"/>
      <c r="BA5" s="12"/>
      <c r="BB5" s="12">
        <v>65</v>
      </c>
      <c r="BC5" s="12">
        <v>1</v>
      </c>
      <c r="BD5" s="11" t="s">
        <v>1036</v>
      </c>
      <c r="BE5" s="11" t="s">
        <v>1037</v>
      </c>
    </row>
    <row r="6" spans="1:57" s="8" customFormat="1" ht="130.5" x14ac:dyDescent="0.35">
      <c r="A6" s="7" t="s">
        <v>20</v>
      </c>
      <c r="B6" s="7" t="s">
        <v>21</v>
      </c>
      <c r="C6" s="3" t="s">
        <v>40</v>
      </c>
      <c r="D6" s="3" t="s">
        <v>41</v>
      </c>
      <c r="E6" s="3" t="s">
        <v>41</v>
      </c>
      <c r="F6" s="3" t="s">
        <v>36</v>
      </c>
      <c r="G6" s="3" t="s">
        <v>25</v>
      </c>
      <c r="H6" s="4">
        <v>1764</v>
      </c>
      <c r="I6" s="4">
        <v>150</v>
      </c>
      <c r="J6" s="3" t="s">
        <v>26</v>
      </c>
      <c r="K6" s="4" t="b">
        <v>1</v>
      </c>
      <c r="L6" s="6">
        <v>1</v>
      </c>
      <c r="M6" s="6">
        <v>1</v>
      </c>
      <c r="N6" s="3" t="s">
        <v>42</v>
      </c>
      <c r="O6" s="3"/>
      <c r="P6" s="3" t="s">
        <v>43</v>
      </c>
      <c r="Q6" s="3" t="s">
        <v>1054</v>
      </c>
      <c r="R6" s="3" t="s">
        <v>1039</v>
      </c>
      <c r="S6" s="3" t="s">
        <v>1055</v>
      </c>
      <c r="T6" s="3" t="s">
        <v>1056</v>
      </c>
      <c r="U6" s="11" t="s">
        <v>1057</v>
      </c>
      <c r="V6" s="11" t="s">
        <v>1043</v>
      </c>
      <c r="W6" s="11" t="s">
        <v>1044</v>
      </c>
      <c r="X6" s="13">
        <v>0.94</v>
      </c>
      <c r="Y6" s="12" t="s">
        <v>1058</v>
      </c>
      <c r="Z6" s="11"/>
      <c r="AA6" s="11"/>
      <c r="AB6" s="11"/>
      <c r="AC6" s="11">
        <v>0</v>
      </c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 t="s">
        <v>1019</v>
      </c>
      <c r="AO6" s="11" t="s">
        <v>1059</v>
      </c>
      <c r="AP6" s="11" t="s">
        <v>1021</v>
      </c>
      <c r="AQ6" s="11" t="s">
        <v>1060</v>
      </c>
      <c r="AR6" s="11" t="s">
        <v>1023</v>
      </c>
      <c r="AS6" s="11" t="s">
        <v>1061</v>
      </c>
      <c r="AT6" s="11" t="s">
        <v>1023</v>
      </c>
      <c r="AU6" s="11" t="s">
        <v>1060</v>
      </c>
      <c r="AV6" s="11" t="s">
        <v>1061</v>
      </c>
      <c r="AW6" s="12">
        <v>3</v>
      </c>
      <c r="AX6" s="12">
        <v>4</v>
      </c>
      <c r="AY6" s="12">
        <v>4</v>
      </c>
      <c r="AZ6" s="12">
        <v>3</v>
      </c>
      <c r="BA6" s="12">
        <v>6</v>
      </c>
      <c r="BB6" s="12">
        <v>3</v>
      </c>
      <c r="BC6" s="12">
        <v>2</v>
      </c>
      <c r="BD6" s="11" t="s">
        <v>1026</v>
      </c>
      <c r="BE6" s="11" t="s">
        <v>1027</v>
      </c>
    </row>
    <row r="7" spans="1:57" s="8" customFormat="1" ht="58" x14ac:dyDescent="0.35">
      <c r="A7" s="7" t="s">
        <v>20</v>
      </c>
      <c r="B7" s="7" t="s">
        <v>21</v>
      </c>
      <c r="C7" s="3" t="s">
        <v>44</v>
      </c>
      <c r="D7" s="3" t="s">
        <v>45</v>
      </c>
      <c r="E7" s="3" t="s">
        <v>45</v>
      </c>
      <c r="F7" s="3" t="s">
        <v>46</v>
      </c>
      <c r="G7" s="3" t="s">
        <v>25</v>
      </c>
      <c r="H7" s="4">
        <v>548</v>
      </c>
      <c r="I7" s="4">
        <v>200</v>
      </c>
      <c r="J7" s="3" t="s">
        <v>26</v>
      </c>
      <c r="K7" s="4" t="b">
        <v>1</v>
      </c>
      <c r="L7" s="6">
        <v>1</v>
      </c>
      <c r="M7" s="6">
        <v>1</v>
      </c>
      <c r="N7" s="3" t="s">
        <v>47</v>
      </c>
      <c r="O7" s="3"/>
      <c r="P7" s="3" t="s">
        <v>48</v>
      </c>
      <c r="Q7" s="3" t="s">
        <v>1062</v>
      </c>
      <c r="R7" s="3" t="s">
        <v>1029</v>
      </c>
      <c r="S7" s="3" t="s">
        <v>1006</v>
      </c>
      <c r="T7" s="3" t="s">
        <v>1007</v>
      </c>
      <c r="U7" s="11" t="s">
        <v>1063</v>
      </c>
      <c r="V7" s="11" t="s">
        <v>1064</v>
      </c>
      <c r="W7" s="11" t="s">
        <v>1065</v>
      </c>
      <c r="X7" s="13">
        <v>1</v>
      </c>
      <c r="Y7" s="12"/>
      <c r="Z7" s="11"/>
      <c r="AA7" s="11"/>
      <c r="AB7" s="11"/>
      <c r="AC7" s="11">
        <v>2</v>
      </c>
      <c r="AD7" s="11" t="s">
        <v>1066</v>
      </c>
      <c r="AE7" s="11" t="s">
        <v>1067</v>
      </c>
      <c r="AF7" s="11" t="s">
        <v>1014</v>
      </c>
      <c r="AG7" s="11" t="s">
        <v>1015</v>
      </c>
      <c r="AH7" s="11"/>
      <c r="AI7" s="11" t="s">
        <v>1016</v>
      </c>
      <c r="AJ7" s="11"/>
      <c r="AK7" s="11" t="s">
        <v>1068</v>
      </c>
      <c r="AL7" s="11" t="s">
        <v>1017</v>
      </c>
      <c r="AM7" s="11" t="s">
        <v>1069</v>
      </c>
      <c r="AN7" s="11" t="s">
        <v>1019</v>
      </c>
      <c r="AO7" s="11" t="s">
        <v>1070</v>
      </c>
      <c r="AP7" s="11" t="s">
        <v>1021</v>
      </c>
      <c r="AQ7" s="11" t="s">
        <v>1071</v>
      </c>
      <c r="AR7" s="11" t="s">
        <v>1048</v>
      </c>
      <c r="AS7" s="11" t="s">
        <v>1072</v>
      </c>
      <c r="AT7" s="11" t="s">
        <v>1050</v>
      </c>
      <c r="AU7" s="11" t="s">
        <v>1071</v>
      </c>
      <c r="AV7" s="11" t="s">
        <v>1072</v>
      </c>
      <c r="AW7" s="12">
        <v>1</v>
      </c>
      <c r="AX7" s="12">
        <v>1</v>
      </c>
      <c r="AY7" s="12">
        <v>1</v>
      </c>
      <c r="AZ7" s="12">
        <v>1</v>
      </c>
      <c r="BA7" s="12">
        <v>2</v>
      </c>
      <c r="BB7" s="12">
        <v>1</v>
      </c>
      <c r="BC7" s="12">
        <v>1</v>
      </c>
      <c r="BD7" s="11" t="s">
        <v>1026</v>
      </c>
      <c r="BE7" s="11" t="s">
        <v>1051</v>
      </c>
    </row>
    <row r="8" spans="1:57" s="8" customFormat="1" ht="58" x14ac:dyDescent="0.35">
      <c r="A8" s="7" t="s">
        <v>20</v>
      </c>
      <c r="B8" s="7" t="s">
        <v>21</v>
      </c>
      <c r="C8" s="3" t="s">
        <v>44</v>
      </c>
      <c r="D8" s="3" t="s">
        <v>49</v>
      </c>
      <c r="E8" s="3"/>
      <c r="F8" s="3" t="s">
        <v>46</v>
      </c>
      <c r="G8" s="3" t="s">
        <v>50</v>
      </c>
      <c r="H8" s="4">
        <v>548</v>
      </c>
      <c r="I8" s="4">
        <v>200</v>
      </c>
      <c r="J8" s="3" t="s">
        <v>26</v>
      </c>
      <c r="K8" s="4" t="b">
        <v>1</v>
      </c>
      <c r="L8" s="6">
        <v>1</v>
      </c>
      <c r="M8" s="6">
        <v>1</v>
      </c>
      <c r="N8" s="3" t="s">
        <v>47</v>
      </c>
      <c r="O8" s="3"/>
      <c r="P8" s="3" t="s">
        <v>48</v>
      </c>
      <c r="Q8" s="3" t="s">
        <v>1062</v>
      </c>
      <c r="R8" s="3" t="s">
        <v>1029</v>
      </c>
      <c r="S8" s="3" t="s">
        <v>1006</v>
      </c>
      <c r="T8" s="3" t="s">
        <v>1007</v>
      </c>
      <c r="U8" s="11" t="s">
        <v>1063</v>
      </c>
      <c r="V8" s="11" t="s">
        <v>1064</v>
      </c>
      <c r="W8" s="11" t="s">
        <v>1065</v>
      </c>
      <c r="X8" s="13">
        <v>1</v>
      </c>
      <c r="Y8" s="12"/>
      <c r="Z8" s="11"/>
      <c r="AA8" s="11"/>
      <c r="AB8" s="11"/>
      <c r="AC8" s="11">
        <v>0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 t="s">
        <v>1019</v>
      </c>
      <c r="AO8" s="11" t="s">
        <v>1070</v>
      </c>
      <c r="AP8" s="11" t="s">
        <v>1021</v>
      </c>
      <c r="AQ8" s="11" t="s">
        <v>1071</v>
      </c>
      <c r="AR8" s="11" t="s">
        <v>1048</v>
      </c>
      <c r="AS8" s="11" t="s">
        <v>1072</v>
      </c>
      <c r="AT8" s="11" t="s">
        <v>1050</v>
      </c>
      <c r="AU8" s="11" t="s">
        <v>1071</v>
      </c>
      <c r="AV8" s="11" t="s">
        <v>1072</v>
      </c>
      <c r="AW8" s="12">
        <v>1</v>
      </c>
      <c r="AX8" s="12">
        <v>1</v>
      </c>
      <c r="AY8" s="12">
        <v>1</v>
      </c>
      <c r="AZ8" s="12">
        <v>1</v>
      </c>
      <c r="BA8" s="12">
        <v>2</v>
      </c>
      <c r="BB8" s="12">
        <v>1</v>
      </c>
      <c r="BC8" s="12">
        <v>1</v>
      </c>
      <c r="BD8" s="11" t="s">
        <v>1026</v>
      </c>
      <c r="BE8" s="11" t="s">
        <v>1051</v>
      </c>
    </row>
    <row r="9" spans="1:57" s="8" customFormat="1" ht="58" x14ac:dyDescent="0.35">
      <c r="A9" s="7" t="s">
        <v>20</v>
      </c>
      <c r="B9" s="7" t="s">
        <v>21</v>
      </c>
      <c r="C9" s="3" t="s">
        <v>51</v>
      </c>
      <c r="D9" s="3" t="s">
        <v>52</v>
      </c>
      <c r="E9" s="3"/>
      <c r="F9" s="3" t="s">
        <v>53</v>
      </c>
      <c r="G9" s="3" t="s">
        <v>50</v>
      </c>
      <c r="H9" s="4">
        <v>618</v>
      </c>
      <c r="I9" s="4">
        <v>500</v>
      </c>
      <c r="J9" s="3" t="s">
        <v>26</v>
      </c>
      <c r="K9" s="4" t="b">
        <v>0</v>
      </c>
      <c r="L9" s="6">
        <v>0.33333333333333298</v>
      </c>
      <c r="M9" s="6">
        <v>0.33333333333333298</v>
      </c>
      <c r="N9" s="3" t="s">
        <v>54</v>
      </c>
      <c r="O9" s="3" t="s">
        <v>55</v>
      </c>
      <c r="P9" s="3" t="s">
        <v>56</v>
      </c>
      <c r="Q9" s="3" t="s">
        <v>1073</v>
      </c>
      <c r="R9" s="3" t="s">
        <v>1074</v>
      </c>
      <c r="S9" s="3" t="s">
        <v>1006</v>
      </c>
      <c r="T9" s="3" t="s">
        <v>1007</v>
      </c>
      <c r="U9" s="11" t="s">
        <v>1075</v>
      </c>
      <c r="V9" s="11" t="s">
        <v>1031</v>
      </c>
      <c r="W9" s="11" t="s">
        <v>1032</v>
      </c>
      <c r="X9" s="13">
        <v>0.7</v>
      </c>
      <c r="Y9" s="12"/>
      <c r="Z9" s="11"/>
      <c r="AA9" s="11"/>
      <c r="AB9" s="11"/>
      <c r="AC9" s="11">
        <v>4</v>
      </c>
      <c r="AD9" s="11" t="s">
        <v>1076</v>
      </c>
      <c r="AE9" s="11" t="s">
        <v>1077</v>
      </c>
      <c r="AF9" s="11" t="s">
        <v>1014</v>
      </c>
      <c r="AG9" s="11" t="s">
        <v>1015</v>
      </c>
      <c r="AH9" s="11" t="s">
        <v>1078</v>
      </c>
      <c r="AI9" s="11" t="s">
        <v>1016</v>
      </c>
      <c r="AJ9" s="11"/>
      <c r="AK9" s="11" t="s">
        <v>1079</v>
      </c>
      <c r="AL9" s="11" t="s">
        <v>1017</v>
      </c>
      <c r="AM9" s="11" t="s">
        <v>1080</v>
      </c>
      <c r="AN9" s="11" t="s">
        <v>1019</v>
      </c>
      <c r="AO9" s="11" t="s">
        <v>1081</v>
      </c>
      <c r="AP9" s="11" t="s">
        <v>1021</v>
      </c>
      <c r="AQ9" s="11" t="s">
        <v>1082</v>
      </c>
      <c r="AR9" s="11" t="s">
        <v>1050</v>
      </c>
      <c r="AS9" s="11" t="s">
        <v>1083</v>
      </c>
      <c r="AT9" s="11" t="s">
        <v>1048</v>
      </c>
      <c r="AU9" s="11" t="s">
        <v>1082</v>
      </c>
      <c r="AV9" s="11" t="s">
        <v>1083</v>
      </c>
      <c r="AW9" s="12">
        <v>1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2</v>
      </c>
      <c r="BD9" s="11" t="s">
        <v>1026</v>
      </c>
      <c r="BE9" s="11" t="s">
        <v>1051</v>
      </c>
    </row>
    <row r="10" spans="1:57" s="8" customFormat="1" ht="58" x14ac:dyDescent="0.35">
      <c r="A10" s="7" t="s">
        <v>20</v>
      </c>
      <c r="B10" s="7" t="s">
        <v>21</v>
      </c>
      <c r="C10" s="3" t="s">
        <v>51</v>
      </c>
      <c r="D10" s="3" t="s">
        <v>57</v>
      </c>
      <c r="E10" s="3"/>
      <c r="F10" s="3" t="s">
        <v>53</v>
      </c>
      <c r="G10" s="3" t="s">
        <v>50</v>
      </c>
      <c r="H10" s="4">
        <v>618</v>
      </c>
      <c r="I10" s="4">
        <v>300</v>
      </c>
      <c r="J10" s="3" t="s">
        <v>26</v>
      </c>
      <c r="K10" s="4" t="b">
        <v>0</v>
      </c>
      <c r="L10" s="6">
        <v>0.33333333333333298</v>
      </c>
      <c r="M10" s="6">
        <v>0.33333333333333298</v>
      </c>
      <c r="N10" s="3" t="s">
        <v>58</v>
      </c>
      <c r="O10" s="3" t="s">
        <v>59</v>
      </c>
      <c r="P10" s="3" t="s">
        <v>56</v>
      </c>
      <c r="Q10" s="3" t="s">
        <v>1073</v>
      </c>
      <c r="R10" s="3" t="s">
        <v>1074</v>
      </c>
      <c r="S10" s="3" t="s">
        <v>1006</v>
      </c>
      <c r="T10" s="3" t="s">
        <v>1007</v>
      </c>
      <c r="U10" s="11" t="s">
        <v>1075</v>
      </c>
      <c r="V10" s="11" t="s">
        <v>1031</v>
      </c>
      <c r="W10" s="11" t="s">
        <v>1032</v>
      </c>
      <c r="X10" s="13">
        <v>0.7</v>
      </c>
      <c r="Y10" s="12"/>
      <c r="Z10" s="11"/>
      <c r="AA10" s="11"/>
      <c r="AB10" s="11"/>
      <c r="AC10" s="11">
        <v>0</v>
      </c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 t="s">
        <v>1019</v>
      </c>
      <c r="AO10" s="11" t="s">
        <v>1081</v>
      </c>
      <c r="AP10" s="11" t="s">
        <v>1021</v>
      </c>
      <c r="AQ10" s="11" t="s">
        <v>1082</v>
      </c>
      <c r="AR10" s="11" t="s">
        <v>1050</v>
      </c>
      <c r="AS10" s="11" t="s">
        <v>1083</v>
      </c>
      <c r="AT10" s="11" t="s">
        <v>1048</v>
      </c>
      <c r="AU10" s="11" t="s">
        <v>1082</v>
      </c>
      <c r="AV10" s="11" t="s">
        <v>1083</v>
      </c>
      <c r="AW10" s="12">
        <v>1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2</v>
      </c>
      <c r="BD10" s="11" t="s">
        <v>1026</v>
      </c>
      <c r="BE10" s="11" t="s">
        <v>1051</v>
      </c>
    </row>
    <row r="11" spans="1:57" s="8" customFormat="1" ht="58" x14ac:dyDescent="0.35">
      <c r="A11" s="7" t="s">
        <v>20</v>
      </c>
      <c r="B11" s="7" t="s">
        <v>21</v>
      </c>
      <c r="C11" s="3" t="s">
        <v>60</v>
      </c>
      <c r="D11" s="3" t="s">
        <v>52</v>
      </c>
      <c r="E11" s="3"/>
      <c r="F11" s="3" t="s">
        <v>53</v>
      </c>
      <c r="G11" s="3" t="s">
        <v>50</v>
      </c>
      <c r="H11" s="4">
        <v>859</v>
      </c>
      <c r="I11" s="4">
        <v>500</v>
      </c>
      <c r="J11" s="3" t="s">
        <v>26</v>
      </c>
      <c r="K11" s="4" t="b">
        <v>0</v>
      </c>
      <c r="L11" s="6">
        <v>0.33333333333333298</v>
      </c>
      <c r="M11" s="6">
        <v>0.33333333333333298</v>
      </c>
      <c r="N11" s="3" t="s">
        <v>54</v>
      </c>
      <c r="O11" s="3" t="s">
        <v>55</v>
      </c>
      <c r="P11" s="3" t="s">
        <v>61</v>
      </c>
      <c r="Q11" s="3" t="s">
        <v>1084</v>
      </c>
      <c r="R11" s="3" t="s">
        <v>1029</v>
      </c>
      <c r="S11" s="3" t="s">
        <v>1006</v>
      </c>
      <c r="T11" s="3" t="s">
        <v>1007</v>
      </c>
      <c r="U11" s="11" t="s">
        <v>1085</v>
      </c>
      <c r="V11" s="11" t="s">
        <v>1064</v>
      </c>
      <c r="W11" s="11" t="s">
        <v>1065</v>
      </c>
      <c r="X11" s="13">
        <v>1</v>
      </c>
      <c r="Y11" s="12"/>
      <c r="Z11" s="11"/>
      <c r="AA11" s="11"/>
      <c r="AB11" s="11"/>
      <c r="AC11" s="11">
        <v>5</v>
      </c>
      <c r="AD11" s="11" t="s">
        <v>1086</v>
      </c>
      <c r="AE11" s="11" t="s">
        <v>1087</v>
      </c>
      <c r="AF11" s="11" t="s">
        <v>1014</v>
      </c>
      <c r="AG11" s="11" t="s">
        <v>1015</v>
      </c>
      <c r="AH11" s="11" t="s">
        <v>1088</v>
      </c>
      <c r="AI11" s="11" t="s">
        <v>1016</v>
      </c>
      <c r="AJ11" s="11"/>
      <c r="AK11" s="11" t="s">
        <v>1089</v>
      </c>
      <c r="AL11" s="11" t="s">
        <v>1017</v>
      </c>
      <c r="AM11" s="11" t="s">
        <v>1090</v>
      </c>
      <c r="AN11" s="11" t="s">
        <v>1019</v>
      </c>
      <c r="AO11" s="11" t="s">
        <v>1091</v>
      </c>
      <c r="AP11" s="11" t="s">
        <v>1021</v>
      </c>
      <c r="AQ11" s="11" t="s">
        <v>1092</v>
      </c>
      <c r="AR11" s="11" t="s">
        <v>1048</v>
      </c>
      <c r="AS11" s="11"/>
      <c r="AT11" s="11" t="s">
        <v>1034</v>
      </c>
      <c r="AU11" s="11" t="s">
        <v>1092</v>
      </c>
      <c r="AV11" s="11"/>
      <c r="AW11" s="12">
        <v>1</v>
      </c>
      <c r="AX11" s="12">
        <v>1</v>
      </c>
      <c r="AY11" s="12">
        <v>1</v>
      </c>
      <c r="AZ11" s="12">
        <v>1</v>
      </c>
      <c r="BA11" s="12">
        <v>5</v>
      </c>
      <c r="BB11" s="12"/>
      <c r="BC11" s="12"/>
      <c r="BD11" s="11" t="s">
        <v>1093</v>
      </c>
      <c r="BE11" s="11" t="s">
        <v>1037</v>
      </c>
    </row>
    <row r="12" spans="1:57" s="8" customFormat="1" ht="58" x14ac:dyDescent="0.35">
      <c r="A12" s="7" t="s">
        <v>20</v>
      </c>
      <c r="B12" s="7" t="s">
        <v>21</v>
      </c>
      <c r="C12" s="3" t="s">
        <v>60</v>
      </c>
      <c r="D12" s="3" t="s">
        <v>57</v>
      </c>
      <c r="E12" s="3" t="s">
        <v>57</v>
      </c>
      <c r="F12" s="3" t="s">
        <v>53</v>
      </c>
      <c r="G12" s="3" t="s">
        <v>25</v>
      </c>
      <c r="H12" s="4">
        <v>859</v>
      </c>
      <c r="I12" s="4">
        <v>300</v>
      </c>
      <c r="J12" s="3" t="s">
        <v>26</v>
      </c>
      <c r="K12" s="4" t="b">
        <v>1</v>
      </c>
      <c r="L12" s="6">
        <v>1</v>
      </c>
      <c r="M12" s="6">
        <v>1</v>
      </c>
      <c r="N12" s="3" t="s">
        <v>62</v>
      </c>
      <c r="O12" s="3"/>
      <c r="P12" s="3" t="s">
        <v>61</v>
      </c>
      <c r="Q12" s="3" t="s">
        <v>1084</v>
      </c>
      <c r="R12" s="3" t="s">
        <v>1029</v>
      </c>
      <c r="S12" s="3" t="s">
        <v>1006</v>
      </c>
      <c r="T12" s="3" t="s">
        <v>1007</v>
      </c>
      <c r="U12" s="11" t="s">
        <v>1085</v>
      </c>
      <c r="V12" s="11" t="s">
        <v>1064</v>
      </c>
      <c r="W12" s="11" t="s">
        <v>1065</v>
      </c>
      <c r="X12" s="13">
        <v>1</v>
      </c>
      <c r="Y12" s="12"/>
      <c r="Z12" s="11"/>
      <c r="AA12" s="11"/>
      <c r="AB12" s="11"/>
      <c r="AC12" s="11">
        <v>0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 t="s">
        <v>1019</v>
      </c>
      <c r="AO12" s="11" t="s">
        <v>1091</v>
      </c>
      <c r="AP12" s="11" t="s">
        <v>1021</v>
      </c>
      <c r="AQ12" s="11" t="s">
        <v>1092</v>
      </c>
      <c r="AR12" s="11" t="s">
        <v>1048</v>
      </c>
      <c r="AS12" s="11"/>
      <c r="AT12" s="11" t="s">
        <v>1034</v>
      </c>
      <c r="AU12" s="11" t="s">
        <v>1092</v>
      </c>
      <c r="AV12" s="11"/>
      <c r="AW12" s="12">
        <v>1</v>
      </c>
      <c r="AX12" s="12">
        <v>1</v>
      </c>
      <c r="AY12" s="12">
        <v>1</v>
      </c>
      <c r="AZ12" s="12">
        <v>1</v>
      </c>
      <c r="BA12" s="12">
        <v>5</v>
      </c>
      <c r="BB12" s="12"/>
      <c r="BC12" s="12"/>
      <c r="BD12" s="11" t="s">
        <v>1093</v>
      </c>
      <c r="BE12" s="11" t="s">
        <v>1037</v>
      </c>
    </row>
    <row r="13" spans="1:57" s="8" customFormat="1" ht="145" x14ac:dyDescent="0.35">
      <c r="A13" s="7" t="s">
        <v>20</v>
      </c>
      <c r="B13" s="7" t="s">
        <v>21</v>
      </c>
      <c r="C13" s="3" t="s">
        <v>63</v>
      </c>
      <c r="D13" s="3" t="s">
        <v>52</v>
      </c>
      <c r="E13" s="3"/>
      <c r="F13" s="3" t="s">
        <v>53</v>
      </c>
      <c r="G13" s="3" t="s">
        <v>50</v>
      </c>
      <c r="H13" s="4">
        <v>832</v>
      </c>
      <c r="I13" s="4">
        <v>500</v>
      </c>
      <c r="J13" s="3" t="s">
        <v>26</v>
      </c>
      <c r="K13" s="4" t="b">
        <v>0</v>
      </c>
      <c r="L13" s="6">
        <v>0.33333333333333298</v>
      </c>
      <c r="M13" s="6">
        <v>0.33333333333333298</v>
      </c>
      <c r="N13" s="3" t="s">
        <v>54</v>
      </c>
      <c r="O13" s="3" t="s">
        <v>55</v>
      </c>
      <c r="P13" s="3" t="s">
        <v>64</v>
      </c>
      <c r="Q13" s="3" t="s">
        <v>1094</v>
      </c>
      <c r="R13" s="3" t="s">
        <v>1029</v>
      </c>
      <c r="S13" s="3" t="s">
        <v>1006</v>
      </c>
      <c r="T13" s="3" t="s">
        <v>1007</v>
      </c>
      <c r="U13" s="11" t="s">
        <v>1095</v>
      </c>
      <c r="V13" s="11" t="s">
        <v>1096</v>
      </c>
      <c r="W13" s="11" t="s">
        <v>1097</v>
      </c>
      <c r="X13" s="13">
        <v>0.69</v>
      </c>
      <c r="Y13" s="12"/>
      <c r="Z13" s="11" t="s">
        <v>1098</v>
      </c>
      <c r="AA13" s="11"/>
      <c r="AB13" s="11"/>
      <c r="AC13" s="11">
        <v>10</v>
      </c>
      <c r="AD13" s="11" t="s">
        <v>1076</v>
      </c>
      <c r="AE13" s="11" t="s">
        <v>1099</v>
      </c>
      <c r="AF13" s="11" t="s">
        <v>1014</v>
      </c>
      <c r="AG13" s="11" t="s">
        <v>1015</v>
      </c>
      <c r="AH13" s="11" t="s">
        <v>1078</v>
      </c>
      <c r="AI13" s="11" t="s">
        <v>1016</v>
      </c>
      <c r="AJ13" s="11"/>
      <c r="AK13" s="11" t="s">
        <v>1079</v>
      </c>
      <c r="AL13" s="11" t="s">
        <v>1017</v>
      </c>
      <c r="AM13" s="11" t="s">
        <v>1080</v>
      </c>
      <c r="AN13" s="11" t="s">
        <v>1019</v>
      </c>
      <c r="AO13" s="11" t="s">
        <v>1100</v>
      </c>
      <c r="AP13" s="11" t="s">
        <v>1021</v>
      </c>
      <c r="AQ13" s="11" t="s">
        <v>1101</v>
      </c>
      <c r="AR13" s="11" t="s">
        <v>1050</v>
      </c>
      <c r="AS13" s="11" t="s">
        <v>1102</v>
      </c>
      <c r="AT13" s="11" t="s">
        <v>1050</v>
      </c>
      <c r="AU13" s="11" t="s">
        <v>1101</v>
      </c>
      <c r="AV13" s="11" t="s">
        <v>1102</v>
      </c>
      <c r="AW13" s="12">
        <v>1</v>
      </c>
      <c r="AX13" s="12">
        <v>0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1" t="s">
        <v>1026</v>
      </c>
      <c r="BE13" s="11" t="s">
        <v>1103</v>
      </c>
    </row>
    <row r="14" spans="1:57" s="8" customFormat="1" ht="43.5" x14ac:dyDescent="0.35">
      <c r="A14" s="7" t="s">
        <v>20</v>
      </c>
      <c r="B14" s="7" t="s">
        <v>21</v>
      </c>
      <c r="C14" s="3" t="s">
        <v>63</v>
      </c>
      <c r="D14" s="3" t="s">
        <v>57</v>
      </c>
      <c r="E14" s="3"/>
      <c r="F14" s="3" t="s">
        <v>53</v>
      </c>
      <c r="G14" s="3" t="s">
        <v>50</v>
      </c>
      <c r="H14" s="4">
        <v>832</v>
      </c>
      <c r="I14" s="4">
        <v>300</v>
      </c>
      <c r="J14" s="3" t="s">
        <v>26</v>
      </c>
      <c r="K14" s="4" t="b">
        <v>0</v>
      </c>
      <c r="L14" s="6">
        <v>0.33333333333333298</v>
      </c>
      <c r="M14" s="6">
        <v>0.33333333333333298</v>
      </c>
      <c r="N14" s="3" t="s">
        <v>58</v>
      </c>
      <c r="O14" s="3" t="s">
        <v>59</v>
      </c>
      <c r="P14" s="3" t="s">
        <v>64</v>
      </c>
      <c r="Q14" s="3" t="s">
        <v>1094</v>
      </c>
      <c r="R14" s="3" t="s">
        <v>1029</v>
      </c>
      <c r="S14" s="3" t="s">
        <v>1006</v>
      </c>
      <c r="T14" s="3" t="s">
        <v>1007</v>
      </c>
      <c r="U14" s="11" t="s">
        <v>1095</v>
      </c>
      <c r="V14" s="11" t="s">
        <v>1096</v>
      </c>
      <c r="W14" s="11" t="s">
        <v>1097</v>
      </c>
      <c r="X14" s="13">
        <v>0.69</v>
      </c>
      <c r="Y14" s="12"/>
      <c r="Z14" s="11" t="s">
        <v>1098</v>
      </c>
      <c r="AA14" s="11"/>
      <c r="AB14" s="11"/>
      <c r="AC14" s="11">
        <v>0</v>
      </c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 t="s">
        <v>1019</v>
      </c>
      <c r="AO14" s="11" t="s">
        <v>1100</v>
      </c>
      <c r="AP14" s="11" t="s">
        <v>1021</v>
      </c>
      <c r="AQ14" s="11" t="s">
        <v>1101</v>
      </c>
      <c r="AR14" s="11" t="s">
        <v>1050</v>
      </c>
      <c r="AS14" s="11" t="s">
        <v>1102</v>
      </c>
      <c r="AT14" s="11" t="s">
        <v>1050</v>
      </c>
      <c r="AU14" s="11" t="s">
        <v>1101</v>
      </c>
      <c r="AV14" s="11" t="s">
        <v>1102</v>
      </c>
      <c r="AW14" s="12">
        <v>1</v>
      </c>
      <c r="AX14" s="12">
        <v>0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1" t="s">
        <v>1026</v>
      </c>
      <c r="BE14" s="11" t="s">
        <v>1103</v>
      </c>
    </row>
    <row r="15" spans="1:57" s="8" customFormat="1" ht="58" x14ac:dyDescent="0.35">
      <c r="A15" s="7" t="s">
        <v>20</v>
      </c>
      <c r="B15" s="7" t="s">
        <v>21</v>
      </c>
      <c r="C15" s="3" t="s">
        <v>65</v>
      </c>
      <c r="D15" s="3" t="s">
        <v>57</v>
      </c>
      <c r="E15" s="3"/>
      <c r="F15" s="3" t="s">
        <v>53</v>
      </c>
      <c r="G15" s="3" t="s">
        <v>50</v>
      </c>
      <c r="H15" s="4">
        <v>461</v>
      </c>
      <c r="I15" s="4">
        <v>300</v>
      </c>
      <c r="J15" s="3" t="s">
        <v>26</v>
      </c>
      <c r="K15" s="4" t="b">
        <v>0</v>
      </c>
      <c r="L15" s="6">
        <v>0.33333333333333298</v>
      </c>
      <c r="M15" s="6">
        <v>0.33333333333333298</v>
      </c>
      <c r="N15" s="3" t="s">
        <v>58</v>
      </c>
      <c r="O15" s="3" t="s">
        <v>59</v>
      </c>
      <c r="P15" s="3" t="s">
        <v>66</v>
      </c>
      <c r="Q15" s="3" t="s">
        <v>1104</v>
      </c>
      <c r="R15" s="3" t="s">
        <v>1074</v>
      </c>
      <c r="S15" s="3" t="s">
        <v>1006</v>
      </c>
      <c r="T15" s="3" t="s">
        <v>1007</v>
      </c>
      <c r="U15" s="11" t="s">
        <v>1105</v>
      </c>
      <c r="V15" s="11" t="s">
        <v>1064</v>
      </c>
      <c r="W15" s="11" t="s">
        <v>1065</v>
      </c>
      <c r="X15" s="13">
        <v>1</v>
      </c>
      <c r="Y15" s="12"/>
      <c r="Z15" s="11"/>
      <c r="AA15" s="11"/>
      <c r="AB15" s="11"/>
      <c r="AC15" s="11">
        <v>0</v>
      </c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 t="s">
        <v>1019</v>
      </c>
      <c r="AO15" s="11" t="s">
        <v>1106</v>
      </c>
      <c r="AP15" s="11" t="s">
        <v>1021</v>
      </c>
      <c r="AQ15" s="11" t="s">
        <v>1107</v>
      </c>
      <c r="AR15" s="11" t="s">
        <v>1023</v>
      </c>
      <c r="AS15" s="11" t="s">
        <v>1108</v>
      </c>
      <c r="AT15" s="11" t="s">
        <v>1025</v>
      </c>
      <c r="AU15" s="11" t="s">
        <v>1107</v>
      </c>
      <c r="AV15" s="11" t="s">
        <v>1108</v>
      </c>
      <c r="AW15" s="12">
        <v>2</v>
      </c>
      <c r="AX15" s="12">
        <v>1</v>
      </c>
      <c r="AY15" s="12">
        <v>2</v>
      </c>
      <c r="AZ15" s="12">
        <v>2</v>
      </c>
      <c r="BA15" s="12">
        <v>2</v>
      </c>
      <c r="BB15" s="12">
        <v>2</v>
      </c>
      <c r="BC15" s="12">
        <v>1</v>
      </c>
      <c r="BD15" s="11" t="s">
        <v>1026</v>
      </c>
      <c r="BE15" s="11" t="s">
        <v>1027</v>
      </c>
    </row>
    <row r="16" spans="1:57" s="8" customFormat="1" ht="72.5" x14ac:dyDescent="0.35">
      <c r="A16" s="7" t="s">
        <v>20</v>
      </c>
      <c r="B16" s="7" t="s">
        <v>21</v>
      </c>
      <c r="C16" s="3" t="s">
        <v>67</v>
      </c>
      <c r="D16" s="3" t="s">
        <v>41</v>
      </c>
      <c r="E16" s="3" t="s">
        <v>41</v>
      </c>
      <c r="F16" s="3" t="s">
        <v>36</v>
      </c>
      <c r="G16" s="3" t="s">
        <v>25</v>
      </c>
      <c r="H16" s="4">
        <v>1668</v>
      </c>
      <c r="I16" s="4">
        <v>150</v>
      </c>
      <c r="J16" s="3" t="s">
        <v>26</v>
      </c>
      <c r="K16" s="4" t="b">
        <v>1</v>
      </c>
      <c r="L16" s="6">
        <v>1</v>
      </c>
      <c r="M16" s="6">
        <v>1</v>
      </c>
      <c r="N16" s="3" t="s">
        <v>42</v>
      </c>
      <c r="O16" s="3"/>
      <c r="P16" s="3" t="s">
        <v>68</v>
      </c>
      <c r="Q16" s="3" t="s">
        <v>1109</v>
      </c>
      <c r="R16" s="3" t="s">
        <v>1039</v>
      </c>
      <c r="S16" s="3" t="s">
        <v>1110</v>
      </c>
      <c r="T16" s="3" t="s">
        <v>1111</v>
      </c>
      <c r="U16" s="11" t="s">
        <v>1112</v>
      </c>
      <c r="V16" s="11" t="s">
        <v>1043</v>
      </c>
      <c r="W16" s="11" t="s">
        <v>1044</v>
      </c>
      <c r="X16" s="13">
        <v>0.7</v>
      </c>
      <c r="Y16" s="12"/>
      <c r="Z16" s="11"/>
      <c r="AA16" s="11"/>
      <c r="AB16" s="11"/>
      <c r="AC16" s="11">
        <v>0</v>
      </c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 t="s">
        <v>1019</v>
      </c>
      <c r="AO16" s="11" t="s">
        <v>1113</v>
      </c>
      <c r="AP16" s="11" t="s">
        <v>1114</v>
      </c>
      <c r="AQ16" s="11"/>
      <c r="AR16" s="11" t="s">
        <v>1034</v>
      </c>
      <c r="AS16" s="11"/>
      <c r="AT16" s="11" t="s">
        <v>1034</v>
      </c>
      <c r="AU16" s="11"/>
      <c r="AV16" s="11"/>
      <c r="AW16" s="12">
        <v>1</v>
      </c>
      <c r="AX16" s="12">
        <v>1</v>
      </c>
      <c r="AY16" s="12">
        <v>1</v>
      </c>
      <c r="AZ16" s="12"/>
      <c r="BA16" s="12"/>
      <c r="BB16" s="12"/>
      <c r="BC16" s="12"/>
      <c r="BD16" s="11" t="s">
        <v>1115</v>
      </c>
      <c r="BE16" s="11" t="s">
        <v>1116</v>
      </c>
    </row>
    <row r="17" spans="1:57" s="8" customFormat="1" ht="58" x14ac:dyDescent="0.35">
      <c r="A17" s="7" t="s">
        <v>20</v>
      </c>
      <c r="B17" s="7" t="s">
        <v>21</v>
      </c>
      <c r="C17" s="3" t="s">
        <v>69</v>
      </c>
      <c r="D17" s="3" t="s">
        <v>23</v>
      </c>
      <c r="E17" s="3"/>
      <c r="F17" s="3" t="s">
        <v>24</v>
      </c>
      <c r="G17" s="3" t="s">
        <v>50</v>
      </c>
      <c r="H17" s="4">
        <v>1942</v>
      </c>
      <c r="I17" s="4">
        <v>800</v>
      </c>
      <c r="J17" s="3" t="s">
        <v>26</v>
      </c>
      <c r="K17" s="4" t="b">
        <v>0</v>
      </c>
      <c r="L17" s="6">
        <v>0.5</v>
      </c>
      <c r="M17" s="6">
        <v>0.5</v>
      </c>
      <c r="N17" s="3" t="s">
        <v>70</v>
      </c>
      <c r="O17" s="3" t="s">
        <v>71</v>
      </c>
      <c r="P17" s="3" t="s">
        <v>72</v>
      </c>
      <c r="Q17" s="3" t="s">
        <v>1117</v>
      </c>
      <c r="R17" s="3" t="s">
        <v>1005</v>
      </c>
      <c r="S17" s="3" t="s">
        <v>1006</v>
      </c>
      <c r="T17" s="3" t="s">
        <v>1007</v>
      </c>
      <c r="U17" s="11" t="s">
        <v>1118</v>
      </c>
      <c r="V17" s="11" t="s">
        <v>1031</v>
      </c>
      <c r="W17" s="11" t="s">
        <v>1032</v>
      </c>
      <c r="X17" s="13">
        <v>0.7</v>
      </c>
      <c r="Y17" s="12"/>
      <c r="Z17" s="11"/>
      <c r="AA17" s="11"/>
      <c r="AB17" s="11"/>
      <c r="AC17" s="11">
        <v>3</v>
      </c>
      <c r="AD17" s="11" t="s">
        <v>1012</v>
      </c>
      <c r="AE17" s="11" t="s">
        <v>1119</v>
      </c>
      <c r="AF17" s="11" t="s">
        <v>1014</v>
      </c>
      <c r="AG17" s="11" t="s">
        <v>1015</v>
      </c>
      <c r="AH17" s="11"/>
      <c r="AI17" s="11" t="s">
        <v>1016</v>
      </c>
      <c r="AJ17" s="11"/>
      <c r="AK17" s="11" t="s">
        <v>262</v>
      </c>
      <c r="AL17" s="11" t="s">
        <v>1017</v>
      </c>
      <c r="AM17" s="11" t="s">
        <v>1018</v>
      </c>
      <c r="AN17" s="11" t="s">
        <v>1019</v>
      </c>
      <c r="AO17" s="11" t="s">
        <v>1020</v>
      </c>
      <c r="AP17" s="11" t="s">
        <v>1021</v>
      </c>
      <c r="AQ17" s="11" t="s">
        <v>1022</v>
      </c>
      <c r="AR17" s="11" t="s">
        <v>1023</v>
      </c>
      <c r="AS17" s="11" t="s">
        <v>1024</v>
      </c>
      <c r="AT17" s="11" t="s">
        <v>1025</v>
      </c>
      <c r="AU17" s="11" t="s">
        <v>1022</v>
      </c>
      <c r="AV17" s="11" t="s">
        <v>1024</v>
      </c>
      <c r="AW17" s="12">
        <v>2</v>
      </c>
      <c r="AX17" s="12">
        <v>2</v>
      </c>
      <c r="AY17" s="12">
        <v>2</v>
      </c>
      <c r="AZ17" s="12">
        <v>2</v>
      </c>
      <c r="BA17" s="12">
        <v>3</v>
      </c>
      <c r="BB17" s="12">
        <v>2</v>
      </c>
      <c r="BC17" s="12">
        <v>1</v>
      </c>
      <c r="BD17" s="11" t="s">
        <v>1026</v>
      </c>
      <c r="BE17" s="11" t="s">
        <v>1027</v>
      </c>
    </row>
    <row r="18" spans="1:57" s="8" customFormat="1" ht="43.5" x14ac:dyDescent="0.35">
      <c r="A18" s="7" t="s">
        <v>20</v>
      </c>
      <c r="B18" s="7" t="s">
        <v>21</v>
      </c>
      <c r="C18" s="3" t="s">
        <v>73</v>
      </c>
      <c r="D18" s="3" t="s">
        <v>23</v>
      </c>
      <c r="E18" s="3"/>
      <c r="F18" s="3" t="s">
        <v>24</v>
      </c>
      <c r="G18" s="3" t="s">
        <v>50</v>
      </c>
      <c r="H18" s="4">
        <v>303</v>
      </c>
      <c r="I18" s="4">
        <v>800</v>
      </c>
      <c r="J18" s="3" t="s">
        <v>74</v>
      </c>
      <c r="K18" s="4" t="b">
        <v>0</v>
      </c>
      <c r="L18" s="6">
        <v>0.5</v>
      </c>
      <c r="M18" s="6">
        <v>0.5</v>
      </c>
      <c r="N18" s="3" t="s">
        <v>75</v>
      </c>
      <c r="O18" s="3" t="s">
        <v>76</v>
      </c>
      <c r="P18" s="3" t="s">
        <v>77</v>
      </c>
      <c r="Q18" s="3" t="s">
        <v>1120</v>
      </c>
      <c r="R18" s="3" t="s">
        <v>1029</v>
      </c>
      <c r="S18" s="3" t="s">
        <v>1006</v>
      </c>
      <c r="T18" s="3" t="s">
        <v>1007</v>
      </c>
      <c r="U18" s="11" t="s">
        <v>1121</v>
      </c>
      <c r="V18" s="11" t="s">
        <v>1064</v>
      </c>
      <c r="W18" s="11" t="s">
        <v>1065</v>
      </c>
      <c r="X18" s="13">
        <v>1</v>
      </c>
      <c r="Y18" s="12"/>
      <c r="Z18" s="11"/>
      <c r="AA18" s="11"/>
      <c r="AB18" s="11"/>
      <c r="AC18" s="11">
        <v>1</v>
      </c>
      <c r="AD18" s="11" t="s">
        <v>1012</v>
      </c>
      <c r="AE18" s="11" t="s">
        <v>1122</v>
      </c>
      <c r="AF18" s="11" t="s">
        <v>1014</v>
      </c>
      <c r="AG18" s="11" t="s">
        <v>1015</v>
      </c>
      <c r="AH18" s="11"/>
      <c r="AI18" s="11" t="s">
        <v>1016</v>
      </c>
      <c r="AJ18" s="11"/>
      <c r="AK18" s="11" t="s">
        <v>262</v>
      </c>
      <c r="AL18" s="11" t="s">
        <v>1017</v>
      </c>
      <c r="AM18" s="11" t="s">
        <v>1018</v>
      </c>
      <c r="AN18" s="11" t="s">
        <v>1019</v>
      </c>
      <c r="AO18" s="11"/>
      <c r="AP18" s="11" t="s">
        <v>1123</v>
      </c>
      <c r="AQ18" s="11"/>
      <c r="AR18" s="11" t="s">
        <v>1034</v>
      </c>
      <c r="AS18" s="11"/>
      <c r="AT18" s="11" t="s">
        <v>1034</v>
      </c>
      <c r="AU18" s="11"/>
      <c r="AV18" s="11"/>
      <c r="AW18" s="12"/>
      <c r="AX18" s="12"/>
      <c r="AY18" s="12"/>
      <c r="AZ18" s="12"/>
      <c r="BA18" s="12"/>
      <c r="BB18" s="12"/>
      <c r="BC18" s="12"/>
      <c r="BD18" s="11" t="s">
        <v>1115</v>
      </c>
      <c r="BE18" s="11" t="s">
        <v>1124</v>
      </c>
    </row>
    <row r="19" spans="1:57" s="8" customFormat="1" ht="72.5" x14ac:dyDescent="0.35">
      <c r="A19" s="7" t="s">
        <v>20</v>
      </c>
      <c r="B19" s="7" t="s">
        <v>21</v>
      </c>
      <c r="C19" s="3" t="s">
        <v>78</v>
      </c>
      <c r="D19" s="3" t="s">
        <v>52</v>
      </c>
      <c r="E19" s="3"/>
      <c r="F19" s="3" t="s">
        <v>53</v>
      </c>
      <c r="G19" s="3" t="s">
        <v>50</v>
      </c>
      <c r="H19" s="4">
        <v>445</v>
      </c>
      <c r="I19" s="4">
        <v>500</v>
      </c>
      <c r="J19" s="3" t="s">
        <v>74</v>
      </c>
      <c r="K19" s="4" t="b">
        <v>0</v>
      </c>
      <c r="L19" s="6">
        <v>0.33333333333333298</v>
      </c>
      <c r="M19" s="6">
        <v>0.33333333333333298</v>
      </c>
      <c r="N19" s="3" t="s">
        <v>54</v>
      </c>
      <c r="O19" s="3" t="s">
        <v>55</v>
      </c>
      <c r="P19" s="3" t="s">
        <v>79</v>
      </c>
      <c r="Q19" s="3" t="s">
        <v>1125</v>
      </c>
      <c r="R19" s="3" t="s">
        <v>1029</v>
      </c>
      <c r="S19" s="3" t="s">
        <v>1006</v>
      </c>
      <c r="T19" s="3" t="s">
        <v>1007</v>
      </c>
      <c r="U19" s="11" t="s">
        <v>1126</v>
      </c>
      <c r="V19" s="11" t="s">
        <v>1127</v>
      </c>
      <c r="W19" s="11" t="s">
        <v>1128</v>
      </c>
      <c r="X19" s="13">
        <v>0.81</v>
      </c>
      <c r="Y19" s="12"/>
      <c r="Z19" s="11"/>
      <c r="AA19" s="11"/>
      <c r="AB19" s="11"/>
      <c r="AC19" s="11">
        <v>5</v>
      </c>
      <c r="AD19" s="11" t="s">
        <v>1076</v>
      </c>
      <c r="AE19" s="11" t="s">
        <v>1129</v>
      </c>
      <c r="AF19" s="11" t="s">
        <v>1014</v>
      </c>
      <c r="AG19" s="11" t="s">
        <v>1015</v>
      </c>
      <c r="AH19" s="11" t="s">
        <v>1078</v>
      </c>
      <c r="AI19" s="11" t="s">
        <v>1016</v>
      </c>
      <c r="AJ19" s="11"/>
      <c r="AK19" s="11" t="s">
        <v>1079</v>
      </c>
      <c r="AL19" s="11" t="s">
        <v>1017</v>
      </c>
      <c r="AM19" s="11" t="s">
        <v>1080</v>
      </c>
      <c r="AN19" s="11" t="s">
        <v>1019</v>
      </c>
      <c r="AO19" s="11" t="s">
        <v>1130</v>
      </c>
      <c r="AP19" s="11" t="s">
        <v>1021</v>
      </c>
      <c r="AQ19" s="11" t="s">
        <v>1131</v>
      </c>
      <c r="AR19" s="11" t="s">
        <v>1048</v>
      </c>
      <c r="AS19" s="11" t="s">
        <v>1132</v>
      </c>
      <c r="AT19" s="11" t="s">
        <v>1050</v>
      </c>
      <c r="AU19" s="11" t="s">
        <v>1131</v>
      </c>
      <c r="AV19" s="11" t="s">
        <v>1132</v>
      </c>
      <c r="AW19" s="12">
        <v>1</v>
      </c>
      <c r="AX19" s="12">
        <v>1</v>
      </c>
      <c r="AY19" s="12">
        <v>1</v>
      </c>
      <c r="AZ19" s="12">
        <v>1</v>
      </c>
      <c r="BA19" s="12">
        <v>3</v>
      </c>
      <c r="BB19" s="12">
        <v>1</v>
      </c>
      <c r="BC19" s="12">
        <v>1</v>
      </c>
      <c r="BD19" s="11" t="s">
        <v>1026</v>
      </c>
      <c r="BE19" s="11" t="s">
        <v>1051</v>
      </c>
    </row>
    <row r="20" spans="1:57" s="8" customFormat="1" ht="58" x14ac:dyDescent="0.35">
      <c r="A20" s="7" t="s">
        <v>20</v>
      </c>
      <c r="B20" s="7" t="s">
        <v>21</v>
      </c>
      <c r="C20" s="3" t="s">
        <v>78</v>
      </c>
      <c r="D20" s="3" t="s">
        <v>57</v>
      </c>
      <c r="E20" s="3"/>
      <c r="F20" s="3" t="s">
        <v>53</v>
      </c>
      <c r="G20" s="3" t="s">
        <v>50</v>
      </c>
      <c r="H20" s="4">
        <v>445</v>
      </c>
      <c r="I20" s="4">
        <v>300</v>
      </c>
      <c r="J20" s="3" t="s">
        <v>26</v>
      </c>
      <c r="K20" s="4" t="b">
        <v>0</v>
      </c>
      <c r="L20" s="6">
        <v>0.33333333333333298</v>
      </c>
      <c r="M20" s="6">
        <v>0.33333333333333298</v>
      </c>
      <c r="N20" s="3" t="s">
        <v>58</v>
      </c>
      <c r="O20" s="3" t="s">
        <v>59</v>
      </c>
      <c r="P20" s="3" t="s">
        <v>79</v>
      </c>
      <c r="Q20" s="3" t="s">
        <v>1125</v>
      </c>
      <c r="R20" s="3" t="s">
        <v>1029</v>
      </c>
      <c r="S20" s="3" t="s">
        <v>1006</v>
      </c>
      <c r="T20" s="3" t="s">
        <v>1007</v>
      </c>
      <c r="U20" s="11" t="s">
        <v>1126</v>
      </c>
      <c r="V20" s="11" t="s">
        <v>1127</v>
      </c>
      <c r="W20" s="11" t="s">
        <v>1128</v>
      </c>
      <c r="X20" s="13">
        <v>0.81</v>
      </c>
      <c r="Y20" s="12"/>
      <c r="Z20" s="11"/>
      <c r="AA20" s="11"/>
      <c r="AB20" s="11"/>
      <c r="AC20" s="11">
        <v>0</v>
      </c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 t="s">
        <v>1019</v>
      </c>
      <c r="AO20" s="11" t="s">
        <v>1130</v>
      </c>
      <c r="AP20" s="11" t="s">
        <v>1021</v>
      </c>
      <c r="AQ20" s="11" t="s">
        <v>1131</v>
      </c>
      <c r="AR20" s="11" t="s">
        <v>1048</v>
      </c>
      <c r="AS20" s="11" t="s">
        <v>1132</v>
      </c>
      <c r="AT20" s="11" t="s">
        <v>1050</v>
      </c>
      <c r="AU20" s="11" t="s">
        <v>1131</v>
      </c>
      <c r="AV20" s="11" t="s">
        <v>1132</v>
      </c>
      <c r="AW20" s="12">
        <v>1</v>
      </c>
      <c r="AX20" s="12">
        <v>1</v>
      </c>
      <c r="AY20" s="12">
        <v>1</v>
      </c>
      <c r="AZ20" s="12">
        <v>1</v>
      </c>
      <c r="BA20" s="12">
        <v>3</v>
      </c>
      <c r="BB20" s="12">
        <v>1</v>
      </c>
      <c r="BC20" s="12">
        <v>1</v>
      </c>
      <c r="BD20" s="11" t="s">
        <v>1026</v>
      </c>
      <c r="BE20" s="11" t="s">
        <v>1051</v>
      </c>
    </row>
    <row r="21" spans="1:57" s="8" customFormat="1" ht="72.5" x14ac:dyDescent="0.35">
      <c r="A21" s="7" t="s">
        <v>20</v>
      </c>
      <c r="B21" s="7" t="s">
        <v>21</v>
      </c>
      <c r="C21" s="3" t="s">
        <v>80</v>
      </c>
      <c r="D21" s="3" t="s">
        <v>45</v>
      </c>
      <c r="E21" s="3" t="s">
        <v>45</v>
      </c>
      <c r="F21" s="3" t="s">
        <v>46</v>
      </c>
      <c r="G21" s="3" t="s">
        <v>25</v>
      </c>
      <c r="H21" s="4">
        <v>354</v>
      </c>
      <c r="I21" s="4">
        <v>200</v>
      </c>
      <c r="J21" s="3" t="s">
        <v>26</v>
      </c>
      <c r="K21" s="4" t="b">
        <v>1</v>
      </c>
      <c r="L21" s="6">
        <v>1</v>
      </c>
      <c r="M21" s="6">
        <v>1</v>
      </c>
      <c r="N21" s="3" t="s">
        <v>47</v>
      </c>
      <c r="O21" s="3"/>
      <c r="P21" s="3" t="s">
        <v>81</v>
      </c>
      <c r="Q21" s="3" t="s">
        <v>1133</v>
      </c>
      <c r="R21" s="3" t="s">
        <v>1029</v>
      </c>
      <c r="S21" s="3" t="s">
        <v>1006</v>
      </c>
      <c r="T21" s="3" t="s">
        <v>1007</v>
      </c>
      <c r="U21" s="11" t="s">
        <v>1134</v>
      </c>
      <c r="V21" s="11" t="s">
        <v>1031</v>
      </c>
      <c r="W21" s="11" t="s">
        <v>1032</v>
      </c>
      <c r="X21" s="13">
        <v>0.7</v>
      </c>
      <c r="Y21" s="12"/>
      <c r="Z21" s="11"/>
      <c r="AA21" s="11"/>
      <c r="AB21" s="11"/>
      <c r="AC21" s="11">
        <v>0</v>
      </c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 t="s">
        <v>1019</v>
      </c>
      <c r="AO21" s="11" t="s">
        <v>1135</v>
      </c>
      <c r="AP21" s="11" t="s">
        <v>1021</v>
      </c>
      <c r="AQ21" s="11" t="s">
        <v>1136</v>
      </c>
      <c r="AR21" s="11" t="s">
        <v>1050</v>
      </c>
      <c r="AS21" s="11" t="s">
        <v>1137</v>
      </c>
      <c r="AT21" s="11" t="s">
        <v>1050</v>
      </c>
      <c r="AU21" s="11" t="s">
        <v>1136</v>
      </c>
      <c r="AV21" s="11" t="s">
        <v>1137</v>
      </c>
      <c r="AW21" s="12">
        <v>1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1" t="s">
        <v>1026</v>
      </c>
      <c r="BE21" s="11" t="s">
        <v>1103</v>
      </c>
    </row>
    <row r="22" spans="1:57" s="8" customFormat="1" ht="72.5" x14ac:dyDescent="0.35">
      <c r="A22" s="7" t="s">
        <v>20</v>
      </c>
      <c r="B22" s="7" t="s">
        <v>21</v>
      </c>
      <c r="C22" s="3" t="s">
        <v>80</v>
      </c>
      <c r="D22" s="3" t="s">
        <v>49</v>
      </c>
      <c r="E22" s="3"/>
      <c r="F22" s="3" t="s">
        <v>46</v>
      </c>
      <c r="G22" s="3" t="s">
        <v>50</v>
      </c>
      <c r="H22" s="4">
        <v>354</v>
      </c>
      <c r="I22" s="4">
        <v>200</v>
      </c>
      <c r="J22" s="3" t="s">
        <v>26</v>
      </c>
      <c r="K22" s="4" t="b">
        <v>1</v>
      </c>
      <c r="L22" s="6">
        <v>1</v>
      </c>
      <c r="M22" s="6">
        <v>1</v>
      </c>
      <c r="N22" s="3" t="s">
        <v>47</v>
      </c>
      <c r="O22" s="3"/>
      <c r="P22" s="3" t="s">
        <v>81</v>
      </c>
      <c r="Q22" s="3" t="s">
        <v>1133</v>
      </c>
      <c r="R22" s="3" t="s">
        <v>1029</v>
      </c>
      <c r="S22" s="3" t="s">
        <v>1006</v>
      </c>
      <c r="T22" s="3" t="s">
        <v>1007</v>
      </c>
      <c r="U22" s="11" t="s">
        <v>1134</v>
      </c>
      <c r="V22" s="11" t="s">
        <v>1031</v>
      </c>
      <c r="W22" s="11" t="s">
        <v>1032</v>
      </c>
      <c r="X22" s="13">
        <v>0.7</v>
      </c>
      <c r="Y22" s="12"/>
      <c r="Z22" s="11"/>
      <c r="AA22" s="11"/>
      <c r="AB22" s="11"/>
      <c r="AC22" s="11">
        <v>0</v>
      </c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 t="s">
        <v>1019</v>
      </c>
      <c r="AO22" s="11" t="s">
        <v>1135</v>
      </c>
      <c r="AP22" s="11" t="s">
        <v>1021</v>
      </c>
      <c r="AQ22" s="11" t="s">
        <v>1136</v>
      </c>
      <c r="AR22" s="11" t="s">
        <v>1050</v>
      </c>
      <c r="AS22" s="11" t="s">
        <v>1137</v>
      </c>
      <c r="AT22" s="11" t="s">
        <v>1050</v>
      </c>
      <c r="AU22" s="11" t="s">
        <v>1136</v>
      </c>
      <c r="AV22" s="11" t="s">
        <v>1137</v>
      </c>
      <c r="AW22" s="12">
        <v>1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1" t="s">
        <v>1026</v>
      </c>
      <c r="BE22" s="11" t="s">
        <v>1103</v>
      </c>
    </row>
    <row r="23" spans="1:57" s="8" customFormat="1" ht="72.5" x14ac:dyDescent="0.35">
      <c r="A23" s="7" t="s">
        <v>20</v>
      </c>
      <c r="B23" s="7" t="s">
        <v>21</v>
      </c>
      <c r="C23" s="3" t="s">
        <v>82</v>
      </c>
      <c r="D23" s="3" t="s">
        <v>83</v>
      </c>
      <c r="E23" s="3"/>
      <c r="F23" s="3" t="s">
        <v>84</v>
      </c>
      <c r="G23" s="3" t="s">
        <v>50</v>
      </c>
      <c r="H23" s="4">
        <v>1522</v>
      </c>
      <c r="I23" s="4">
        <v>500</v>
      </c>
      <c r="J23" s="3" t="s">
        <v>26</v>
      </c>
      <c r="K23" s="4" t="b">
        <v>1</v>
      </c>
      <c r="L23" s="6">
        <v>1</v>
      </c>
      <c r="M23" s="6">
        <v>1</v>
      </c>
      <c r="N23" s="3" t="s">
        <v>85</v>
      </c>
      <c r="O23" s="3"/>
      <c r="P23" s="3" t="s">
        <v>86</v>
      </c>
      <c r="Q23" s="3" t="s">
        <v>1138</v>
      </c>
      <c r="R23" s="3" t="s">
        <v>1139</v>
      </c>
      <c r="S23" s="3" t="s">
        <v>1140</v>
      </c>
      <c r="T23" s="3" t="s">
        <v>1007</v>
      </c>
      <c r="U23" s="11" t="s">
        <v>1141</v>
      </c>
      <c r="V23" s="11" t="s">
        <v>1127</v>
      </c>
      <c r="W23" s="11" t="s">
        <v>1128</v>
      </c>
      <c r="X23" s="13">
        <v>1</v>
      </c>
      <c r="Y23" s="12"/>
      <c r="Z23" s="11"/>
      <c r="AA23" s="11"/>
      <c r="AB23" s="11"/>
      <c r="AC23" s="11">
        <v>0</v>
      </c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 t="s">
        <v>1019</v>
      </c>
      <c r="AO23" s="11" t="s">
        <v>1142</v>
      </c>
      <c r="AP23" s="11" t="s">
        <v>1114</v>
      </c>
      <c r="AQ23" s="11"/>
      <c r="AR23" s="11" t="s">
        <v>1034</v>
      </c>
      <c r="AS23" s="11"/>
      <c r="AT23" s="11" t="s">
        <v>1034</v>
      </c>
      <c r="AU23" s="11"/>
      <c r="AV23" s="11"/>
      <c r="AW23" s="12">
        <v>1</v>
      </c>
      <c r="AX23" s="12">
        <v>1</v>
      </c>
      <c r="AY23" s="12">
        <v>1</v>
      </c>
      <c r="AZ23" s="12"/>
      <c r="BA23" s="12"/>
      <c r="BB23" s="12"/>
      <c r="BC23" s="12"/>
      <c r="BD23" s="11" t="s">
        <v>1115</v>
      </c>
      <c r="BE23" s="11" t="s">
        <v>1116</v>
      </c>
    </row>
    <row r="24" spans="1:57" s="8" customFormat="1" ht="101.5" x14ac:dyDescent="0.35">
      <c r="A24" s="7" t="s">
        <v>20</v>
      </c>
      <c r="B24" s="7" t="s">
        <v>21</v>
      </c>
      <c r="C24" s="3" t="s">
        <v>87</v>
      </c>
      <c r="D24" s="3" t="s">
        <v>41</v>
      </c>
      <c r="E24" s="3" t="s">
        <v>41</v>
      </c>
      <c r="F24" s="3" t="s">
        <v>36</v>
      </c>
      <c r="G24" s="3" t="s">
        <v>25</v>
      </c>
      <c r="H24" s="4">
        <v>1777</v>
      </c>
      <c r="I24" s="4">
        <v>150</v>
      </c>
      <c r="J24" s="3" t="s">
        <v>26</v>
      </c>
      <c r="K24" s="4" t="b">
        <v>1</v>
      </c>
      <c r="L24" s="6">
        <v>1</v>
      </c>
      <c r="M24" s="6">
        <v>1</v>
      </c>
      <c r="N24" s="3" t="s">
        <v>42</v>
      </c>
      <c r="O24" s="3"/>
      <c r="P24" s="3" t="s">
        <v>88</v>
      </c>
      <c r="Q24" s="3" t="s">
        <v>1143</v>
      </c>
      <c r="R24" s="3" t="s">
        <v>1039</v>
      </c>
      <c r="S24" s="3" t="s">
        <v>1144</v>
      </c>
      <c r="T24" s="3" t="s">
        <v>1145</v>
      </c>
      <c r="U24" s="11" t="s">
        <v>1146</v>
      </c>
      <c r="V24" s="11" t="s">
        <v>1043</v>
      </c>
      <c r="W24" s="11" t="s">
        <v>1044</v>
      </c>
      <c r="X24" s="13">
        <v>0.77</v>
      </c>
      <c r="Y24" s="12" t="s">
        <v>1147</v>
      </c>
      <c r="Z24" s="11"/>
      <c r="AA24" s="11"/>
      <c r="AB24" s="11"/>
      <c r="AC24" s="11">
        <v>1</v>
      </c>
      <c r="AD24" s="11" t="s">
        <v>1148</v>
      </c>
      <c r="AE24" s="11" t="s">
        <v>1149</v>
      </c>
      <c r="AF24" s="11" t="s">
        <v>1014</v>
      </c>
      <c r="AG24" s="11" t="s">
        <v>1150</v>
      </c>
      <c r="AH24" s="11"/>
      <c r="AI24" s="11" t="s">
        <v>1016</v>
      </c>
      <c r="AJ24" s="11"/>
      <c r="AK24" s="11" t="s">
        <v>1151</v>
      </c>
      <c r="AL24" s="11" t="s">
        <v>1017</v>
      </c>
      <c r="AM24" s="11" t="s">
        <v>1152</v>
      </c>
      <c r="AN24" s="11" t="s">
        <v>1019</v>
      </c>
      <c r="AO24" s="11" t="s">
        <v>1059</v>
      </c>
      <c r="AP24" s="11" t="s">
        <v>1021</v>
      </c>
      <c r="AQ24" s="11" t="s">
        <v>1060</v>
      </c>
      <c r="AR24" s="11" t="s">
        <v>1023</v>
      </c>
      <c r="AS24" s="11" t="s">
        <v>1061</v>
      </c>
      <c r="AT24" s="11" t="s">
        <v>1023</v>
      </c>
      <c r="AU24" s="11" t="s">
        <v>1060</v>
      </c>
      <c r="AV24" s="11" t="s">
        <v>1061</v>
      </c>
      <c r="AW24" s="12">
        <v>3</v>
      </c>
      <c r="AX24" s="12">
        <v>4</v>
      </c>
      <c r="AY24" s="12">
        <v>4</v>
      </c>
      <c r="AZ24" s="12">
        <v>3</v>
      </c>
      <c r="BA24" s="12">
        <v>6</v>
      </c>
      <c r="BB24" s="12">
        <v>3</v>
      </c>
      <c r="BC24" s="12">
        <v>2</v>
      </c>
      <c r="BD24" s="11" t="s">
        <v>1026</v>
      </c>
      <c r="BE24" s="11" t="s">
        <v>1027</v>
      </c>
    </row>
    <row r="25" spans="1:57" s="8" customFormat="1" ht="72.5" x14ac:dyDescent="0.35">
      <c r="A25" s="7" t="s">
        <v>20</v>
      </c>
      <c r="B25" s="7" t="s">
        <v>21</v>
      </c>
      <c r="C25" s="3" t="s">
        <v>89</v>
      </c>
      <c r="D25" s="3" t="s">
        <v>45</v>
      </c>
      <c r="E25" s="3"/>
      <c r="F25" s="3" t="s">
        <v>46</v>
      </c>
      <c r="G25" s="3" t="s">
        <v>50</v>
      </c>
      <c r="H25" s="4">
        <v>600</v>
      </c>
      <c r="I25" s="4">
        <v>200</v>
      </c>
      <c r="J25" s="3" t="s">
        <v>26</v>
      </c>
      <c r="K25" s="4" t="b">
        <v>0</v>
      </c>
      <c r="L25" s="6">
        <v>1</v>
      </c>
      <c r="M25" s="6">
        <v>0.66666666666666596</v>
      </c>
      <c r="N25" s="3" t="s">
        <v>47</v>
      </c>
      <c r="O25" s="3" t="s">
        <v>90</v>
      </c>
      <c r="P25" s="3" t="s">
        <v>91</v>
      </c>
      <c r="Q25" s="3" t="s">
        <v>1153</v>
      </c>
      <c r="R25" s="3" t="s">
        <v>1154</v>
      </c>
      <c r="S25" s="3" t="s">
        <v>1006</v>
      </c>
      <c r="T25" s="3" t="s">
        <v>1007</v>
      </c>
      <c r="U25" s="11" t="s">
        <v>1155</v>
      </c>
      <c r="V25" s="11" t="s">
        <v>1064</v>
      </c>
      <c r="W25" s="11" t="s">
        <v>1065</v>
      </c>
      <c r="X25" s="13">
        <v>1</v>
      </c>
      <c r="Y25" s="12"/>
      <c r="Z25" s="11"/>
      <c r="AA25" s="11"/>
      <c r="AB25" s="11"/>
      <c r="AC25" s="11">
        <v>0</v>
      </c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 t="s">
        <v>1019</v>
      </c>
      <c r="AO25" s="11" t="s">
        <v>1156</v>
      </c>
      <c r="AP25" s="11" t="s">
        <v>1114</v>
      </c>
      <c r="AQ25" s="11"/>
      <c r="AR25" s="11" t="s">
        <v>1034</v>
      </c>
      <c r="AS25" s="11"/>
      <c r="AT25" s="11" t="s">
        <v>1034</v>
      </c>
      <c r="AU25" s="11"/>
      <c r="AV25" s="11"/>
      <c r="AW25" s="12">
        <v>1</v>
      </c>
      <c r="AX25" s="12">
        <v>1</v>
      </c>
      <c r="AY25" s="12">
        <v>1</v>
      </c>
      <c r="AZ25" s="12"/>
      <c r="BA25" s="12"/>
      <c r="BB25" s="12"/>
      <c r="BC25" s="12"/>
      <c r="BD25" s="11" t="s">
        <v>1115</v>
      </c>
      <c r="BE25" s="11" t="s">
        <v>1116</v>
      </c>
    </row>
    <row r="26" spans="1:57" s="8" customFormat="1" ht="72.5" x14ac:dyDescent="0.35">
      <c r="A26" s="7" t="s">
        <v>20</v>
      </c>
      <c r="B26" s="7" t="s">
        <v>21</v>
      </c>
      <c r="C26" s="3" t="s">
        <v>92</v>
      </c>
      <c r="D26" s="3" t="s">
        <v>52</v>
      </c>
      <c r="E26" s="3"/>
      <c r="F26" s="3" t="s">
        <v>53</v>
      </c>
      <c r="G26" s="3" t="s">
        <v>50</v>
      </c>
      <c r="H26" s="4">
        <v>733</v>
      </c>
      <c r="I26" s="4">
        <v>500</v>
      </c>
      <c r="J26" s="3" t="s">
        <v>26</v>
      </c>
      <c r="K26" s="4" t="b">
        <v>0</v>
      </c>
      <c r="L26" s="6">
        <v>0.33333333333333298</v>
      </c>
      <c r="M26" s="6">
        <v>0.33333333333333298</v>
      </c>
      <c r="N26" s="3" t="s">
        <v>54</v>
      </c>
      <c r="O26" s="3" t="s">
        <v>55</v>
      </c>
      <c r="P26" s="3" t="s">
        <v>93</v>
      </c>
      <c r="Q26" s="3" t="s">
        <v>1157</v>
      </c>
      <c r="R26" s="3" t="s">
        <v>1029</v>
      </c>
      <c r="S26" s="3" t="s">
        <v>1006</v>
      </c>
      <c r="T26" s="3" t="s">
        <v>1158</v>
      </c>
      <c r="U26" s="11" t="s">
        <v>1159</v>
      </c>
      <c r="V26" s="11" t="s">
        <v>1031</v>
      </c>
      <c r="W26" s="11" t="s">
        <v>1032</v>
      </c>
      <c r="X26" s="13">
        <v>0.7</v>
      </c>
      <c r="Y26" s="12"/>
      <c r="Z26" s="11"/>
      <c r="AA26" s="11"/>
      <c r="AB26" s="11"/>
      <c r="AC26" s="11">
        <v>5</v>
      </c>
      <c r="AD26" s="11" t="s">
        <v>1076</v>
      </c>
      <c r="AE26" s="11" t="s">
        <v>1160</v>
      </c>
      <c r="AF26" s="11" t="s">
        <v>1014</v>
      </c>
      <c r="AG26" s="11" t="s">
        <v>1015</v>
      </c>
      <c r="AH26" s="11" t="s">
        <v>1078</v>
      </c>
      <c r="AI26" s="11" t="s">
        <v>1016</v>
      </c>
      <c r="AJ26" s="11"/>
      <c r="AK26" s="11" t="s">
        <v>1079</v>
      </c>
      <c r="AL26" s="11" t="s">
        <v>1017</v>
      </c>
      <c r="AM26" s="11" t="s">
        <v>1080</v>
      </c>
      <c r="AN26" s="11" t="s">
        <v>1019</v>
      </c>
      <c r="AO26" s="11" t="s">
        <v>1161</v>
      </c>
      <c r="AP26" s="11" t="s">
        <v>1021</v>
      </c>
      <c r="AQ26" s="11" t="s">
        <v>1162</v>
      </c>
      <c r="AR26" s="11" t="s">
        <v>1048</v>
      </c>
      <c r="AS26" s="11" t="s">
        <v>1163</v>
      </c>
      <c r="AT26" s="11" t="s">
        <v>1050</v>
      </c>
      <c r="AU26" s="11" t="s">
        <v>1162</v>
      </c>
      <c r="AV26" s="11" t="s">
        <v>1163</v>
      </c>
      <c r="AW26" s="12">
        <v>1</v>
      </c>
      <c r="AX26" s="12">
        <v>1</v>
      </c>
      <c r="AY26" s="12">
        <v>1</v>
      </c>
      <c r="AZ26" s="12">
        <v>1</v>
      </c>
      <c r="BA26" s="12">
        <v>4</v>
      </c>
      <c r="BB26" s="12">
        <v>1</v>
      </c>
      <c r="BC26" s="12">
        <v>1</v>
      </c>
      <c r="BD26" s="11" t="s">
        <v>1026</v>
      </c>
      <c r="BE26" s="11" t="s">
        <v>1051</v>
      </c>
    </row>
    <row r="27" spans="1:57" s="8" customFormat="1" ht="58" x14ac:dyDescent="0.35">
      <c r="A27" s="7" t="s">
        <v>20</v>
      </c>
      <c r="B27" s="7" t="s">
        <v>21</v>
      </c>
      <c r="C27" s="3" t="s">
        <v>92</v>
      </c>
      <c r="D27" s="3" t="s">
        <v>57</v>
      </c>
      <c r="E27" s="3"/>
      <c r="F27" s="3" t="s">
        <v>53</v>
      </c>
      <c r="G27" s="3" t="s">
        <v>50</v>
      </c>
      <c r="H27" s="4">
        <v>733</v>
      </c>
      <c r="I27" s="4">
        <v>300</v>
      </c>
      <c r="J27" s="3" t="s">
        <v>26</v>
      </c>
      <c r="K27" s="4" t="b">
        <v>0</v>
      </c>
      <c r="L27" s="6">
        <v>0.33333333333333298</v>
      </c>
      <c r="M27" s="6">
        <v>0.33333333333333298</v>
      </c>
      <c r="N27" s="3" t="s">
        <v>58</v>
      </c>
      <c r="O27" s="3" t="s">
        <v>59</v>
      </c>
      <c r="P27" s="3" t="s">
        <v>93</v>
      </c>
      <c r="Q27" s="3" t="s">
        <v>1157</v>
      </c>
      <c r="R27" s="3" t="s">
        <v>1029</v>
      </c>
      <c r="S27" s="3" t="s">
        <v>1006</v>
      </c>
      <c r="T27" s="3" t="s">
        <v>1158</v>
      </c>
      <c r="U27" s="11" t="s">
        <v>1159</v>
      </c>
      <c r="V27" s="11" t="s">
        <v>1031</v>
      </c>
      <c r="W27" s="11" t="s">
        <v>1032</v>
      </c>
      <c r="X27" s="13">
        <v>0.7</v>
      </c>
      <c r="Y27" s="12"/>
      <c r="Z27" s="11"/>
      <c r="AA27" s="11"/>
      <c r="AB27" s="11"/>
      <c r="AC27" s="11">
        <v>0</v>
      </c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 t="s">
        <v>1019</v>
      </c>
      <c r="AO27" s="11" t="s">
        <v>1161</v>
      </c>
      <c r="AP27" s="11" t="s">
        <v>1021</v>
      </c>
      <c r="AQ27" s="11" t="s">
        <v>1162</v>
      </c>
      <c r="AR27" s="11" t="s">
        <v>1048</v>
      </c>
      <c r="AS27" s="11" t="s">
        <v>1163</v>
      </c>
      <c r="AT27" s="11" t="s">
        <v>1050</v>
      </c>
      <c r="AU27" s="11" t="s">
        <v>1162</v>
      </c>
      <c r="AV27" s="11" t="s">
        <v>1163</v>
      </c>
      <c r="AW27" s="12">
        <v>1</v>
      </c>
      <c r="AX27" s="12">
        <v>1</v>
      </c>
      <c r="AY27" s="12">
        <v>1</v>
      </c>
      <c r="AZ27" s="12">
        <v>1</v>
      </c>
      <c r="BA27" s="12">
        <v>4</v>
      </c>
      <c r="BB27" s="12">
        <v>1</v>
      </c>
      <c r="BC27" s="12">
        <v>1</v>
      </c>
      <c r="BD27" s="11" t="s">
        <v>1026</v>
      </c>
      <c r="BE27" s="11" t="s">
        <v>1051</v>
      </c>
    </row>
    <row r="28" spans="1:57" s="8" customFormat="1" ht="58" x14ac:dyDescent="0.35">
      <c r="A28" s="7" t="s">
        <v>20</v>
      </c>
      <c r="B28" s="7" t="s">
        <v>21</v>
      </c>
      <c r="C28" s="3" t="s">
        <v>94</v>
      </c>
      <c r="D28" s="3" t="s">
        <v>57</v>
      </c>
      <c r="E28" s="3"/>
      <c r="F28" s="3" t="s">
        <v>53</v>
      </c>
      <c r="G28" s="3" t="s">
        <v>50</v>
      </c>
      <c r="H28" s="4">
        <v>530</v>
      </c>
      <c r="I28" s="4">
        <v>300</v>
      </c>
      <c r="J28" s="3" t="s">
        <v>26</v>
      </c>
      <c r="K28" s="4" t="b">
        <v>0</v>
      </c>
      <c r="L28" s="6">
        <v>0.33333333333333298</v>
      </c>
      <c r="M28" s="6">
        <v>0.33333333333333298</v>
      </c>
      <c r="N28" s="3" t="s">
        <v>58</v>
      </c>
      <c r="O28" s="3" t="s">
        <v>59</v>
      </c>
      <c r="P28" s="3" t="s">
        <v>95</v>
      </c>
      <c r="Q28" s="3" t="s">
        <v>1164</v>
      </c>
      <c r="R28" s="3" t="s">
        <v>1074</v>
      </c>
      <c r="S28" s="3" t="s">
        <v>1006</v>
      </c>
      <c r="T28" s="3" t="s">
        <v>1007</v>
      </c>
      <c r="U28" s="11" t="s">
        <v>1165</v>
      </c>
      <c r="V28" s="11" t="s">
        <v>1064</v>
      </c>
      <c r="W28" s="11" t="s">
        <v>1065</v>
      </c>
      <c r="X28" s="13">
        <v>1</v>
      </c>
      <c r="Y28" s="12"/>
      <c r="Z28" s="11"/>
      <c r="AA28" s="11"/>
      <c r="AB28" s="11"/>
      <c r="AC28" s="11">
        <v>0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 t="s">
        <v>1019</v>
      </c>
      <c r="AO28" s="11" t="s">
        <v>1166</v>
      </c>
      <c r="AP28" s="11" t="s">
        <v>1021</v>
      </c>
      <c r="AQ28" s="11" t="s">
        <v>1167</v>
      </c>
      <c r="AR28" s="11" t="s">
        <v>1023</v>
      </c>
      <c r="AS28" s="11" t="s">
        <v>1168</v>
      </c>
      <c r="AT28" s="11" t="s">
        <v>1025</v>
      </c>
      <c r="AU28" s="11" t="s">
        <v>1167</v>
      </c>
      <c r="AV28" s="11" t="s">
        <v>1168</v>
      </c>
      <c r="AW28" s="12">
        <v>2</v>
      </c>
      <c r="AX28" s="12">
        <v>2</v>
      </c>
      <c r="AY28" s="12">
        <v>2</v>
      </c>
      <c r="AZ28" s="12">
        <v>2</v>
      </c>
      <c r="BA28" s="12">
        <v>2</v>
      </c>
      <c r="BB28" s="12">
        <v>2</v>
      </c>
      <c r="BC28" s="12">
        <v>1</v>
      </c>
      <c r="BD28" s="11" t="s">
        <v>1026</v>
      </c>
      <c r="BE28" s="11" t="s">
        <v>1027</v>
      </c>
    </row>
    <row r="29" spans="1:57" s="8" customFormat="1" ht="58" x14ac:dyDescent="0.35">
      <c r="A29" s="7" t="s">
        <v>20</v>
      </c>
      <c r="B29" s="7" t="s">
        <v>21</v>
      </c>
      <c r="C29" s="3" t="s">
        <v>96</v>
      </c>
      <c r="D29" s="3" t="s">
        <v>57</v>
      </c>
      <c r="E29" s="3"/>
      <c r="F29" s="3" t="s">
        <v>53</v>
      </c>
      <c r="G29" s="3" t="s">
        <v>50</v>
      </c>
      <c r="H29" s="4">
        <v>629</v>
      </c>
      <c r="I29" s="4">
        <v>300</v>
      </c>
      <c r="J29" s="3" t="s">
        <v>26</v>
      </c>
      <c r="K29" s="4" t="b">
        <v>0</v>
      </c>
      <c r="L29" s="6">
        <v>0.33333333333333298</v>
      </c>
      <c r="M29" s="6">
        <v>0.33333333333333298</v>
      </c>
      <c r="N29" s="3" t="s">
        <v>58</v>
      </c>
      <c r="O29" s="3" t="s">
        <v>59</v>
      </c>
      <c r="P29" s="3" t="s">
        <v>97</v>
      </c>
      <c r="Q29" s="3" t="s">
        <v>1169</v>
      </c>
      <c r="R29" s="3" t="s">
        <v>1029</v>
      </c>
      <c r="S29" s="3" t="s">
        <v>1006</v>
      </c>
      <c r="T29" s="3" t="s">
        <v>1007</v>
      </c>
      <c r="U29" s="11" t="s">
        <v>1170</v>
      </c>
      <c r="V29" s="11" t="s">
        <v>1031</v>
      </c>
      <c r="W29" s="11" t="s">
        <v>1032</v>
      </c>
      <c r="X29" s="13">
        <v>0.7</v>
      </c>
      <c r="Y29" s="12"/>
      <c r="Z29" s="11"/>
      <c r="AA29" s="11"/>
      <c r="AB29" s="11"/>
      <c r="AC29" s="11">
        <v>0</v>
      </c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 t="s">
        <v>1019</v>
      </c>
      <c r="AO29" s="11" t="s">
        <v>1171</v>
      </c>
      <c r="AP29" s="11" t="s">
        <v>1021</v>
      </c>
      <c r="AQ29" s="11" t="s">
        <v>1172</v>
      </c>
      <c r="AR29" s="11" t="s">
        <v>1048</v>
      </c>
      <c r="AS29" s="11" t="s">
        <v>1173</v>
      </c>
      <c r="AT29" s="11" t="s">
        <v>1050</v>
      </c>
      <c r="AU29" s="11" t="s">
        <v>1172</v>
      </c>
      <c r="AV29" s="11" t="s">
        <v>1173</v>
      </c>
      <c r="AW29" s="12">
        <v>1</v>
      </c>
      <c r="AX29" s="12">
        <v>1</v>
      </c>
      <c r="AY29" s="12">
        <v>1</v>
      </c>
      <c r="AZ29" s="12">
        <v>1</v>
      </c>
      <c r="BA29" s="12">
        <v>2</v>
      </c>
      <c r="BB29" s="12">
        <v>1</v>
      </c>
      <c r="BC29" s="12">
        <v>1</v>
      </c>
      <c r="BD29" s="11" t="s">
        <v>1026</v>
      </c>
      <c r="BE29" s="11" t="s">
        <v>1051</v>
      </c>
    </row>
    <row r="30" spans="1:57" s="8" customFormat="1" ht="58" x14ac:dyDescent="0.35">
      <c r="A30" s="7" t="s">
        <v>20</v>
      </c>
      <c r="B30" s="7" t="s">
        <v>21</v>
      </c>
      <c r="C30" s="3" t="s">
        <v>96</v>
      </c>
      <c r="D30" s="3" t="s">
        <v>98</v>
      </c>
      <c r="E30" s="3"/>
      <c r="F30" s="3" t="s">
        <v>53</v>
      </c>
      <c r="G30" s="3" t="s">
        <v>50</v>
      </c>
      <c r="H30" s="4">
        <v>629</v>
      </c>
      <c r="I30" s="4">
        <v>300</v>
      </c>
      <c r="J30" s="3" t="s">
        <v>26</v>
      </c>
      <c r="K30" s="4" t="b">
        <v>0</v>
      </c>
      <c r="L30" s="6">
        <v>0.5</v>
      </c>
      <c r="M30" s="6">
        <v>0.5</v>
      </c>
      <c r="N30" s="3" t="s">
        <v>58</v>
      </c>
      <c r="O30" s="3" t="s">
        <v>99</v>
      </c>
      <c r="P30" s="3" t="s">
        <v>97</v>
      </c>
      <c r="Q30" s="3" t="s">
        <v>1169</v>
      </c>
      <c r="R30" s="3" t="s">
        <v>1029</v>
      </c>
      <c r="S30" s="3" t="s">
        <v>1006</v>
      </c>
      <c r="T30" s="3" t="s">
        <v>1007</v>
      </c>
      <c r="U30" s="11" t="s">
        <v>1170</v>
      </c>
      <c r="V30" s="11" t="s">
        <v>1031</v>
      </c>
      <c r="W30" s="11" t="s">
        <v>1032</v>
      </c>
      <c r="X30" s="13">
        <v>0.7</v>
      </c>
      <c r="Y30" s="12"/>
      <c r="Z30" s="11"/>
      <c r="AA30" s="11"/>
      <c r="AB30" s="11"/>
      <c r="AC30" s="11">
        <v>0</v>
      </c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 t="s">
        <v>1019</v>
      </c>
      <c r="AO30" s="11" t="s">
        <v>1171</v>
      </c>
      <c r="AP30" s="11" t="s">
        <v>1021</v>
      </c>
      <c r="AQ30" s="11" t="s">
        <v>1172</v>
      </c>
      <c r="AR30" s="11" t="s">
        <v>1048</v>
      </c>
      <c r="AS30" s="11" t="s">
        <v>1173</v>
      </c>
      <c r="AT30" s="11" t="s">
        <v>1050</v>
      </c>
      <c r="AU30" s="11" t="s">
        <v>1172</v>
      </c>
      <c r="AV30" s="11" t="s">
        <v>1173</v>
      </c>
      <c r="AW30" s="12">
        <v>1</v>
      </c>
      <c r="AX30" s="12">
        <v>1</v>
      </c>
      <c r="AY30" s="12">
        <v>1</v>
      </c>
      <c r="AZ30" s="12">
        <v>1</v>
      </c>
      <c r="BA30" s="12">
        <v>2</v>
      </c>
      <c r="BB30" s="12">
        <v>1</v>
      </c>
      <c r="BC30" s="12">
        <v>1</v>
      </c>
      <c r="BD30" s="11" t="s">
        <v>1026</v>
      </c>
      <c r="BE30" s="11" t="s">
        <v>1051</v>
      </c>
    </row>
    <row r="31" spans="1:57" s="8" customFormat="1" ht="58" x14ac:dyDescent="0.35">
      <c r="A31" s="7" t="s">
        <v>20</v>
      </c>
      <c r="B31" s="7" t="s">
        <v>21</v>
      </c>
      <c r="C31" s="3" t="s">
        <v>100</v>
      </c>
      <c r="D31" s="3" t="s">
        <v>57</v>
      </c>
      <c r="E31" s="3"/>
      <c r="F31" s="3" t="s">
        <v>53</v>
      </c>
      <c r="G31" s="3" t="s">
        <v>50</v>
      </c>
      <c r="H31" s="4">
        <v>425</v>
      </c>
      <c r="I31" s="4">
        <v>300</v>
      </c>
      <c r="J31" s="3" t="s">
        <v>26</v>
      </c>
      <c r="K31" s="4" t="b">
        <v>0</v>
      </c>
      <c r="L31" s="6">
        <v>0.33333333333333298</v>
      </c>
      <c r="M31" s="6">
        <v>0.33333333333333298</v>
      </c>
      <c r="N31" s="3" t="s">
        <v>58</v>
      </c>
      <c r="O31" s="3" t="s">
        <v>59</v>
      </c>
      <c r="P31" s="3" t="s">
        <v>101</v>
      </c>
      <c r="Q31" s="3" t="s">
        <v>1174</v>
      </c>
      <c r="R31" s="3" t="s">
        <v>1074</v>
      </c>
      <c r="S31" s="3" t="s">
        <v>1006</v>
      </c>
      <c r="T31" s="3" t="s">
        <v>1007</v>
      </c>
      <c r="U31" s="11" t="s">
        <v>1175</v>
      </c>
      <c r="V31" s="11" t="s">
        <v>1064</v>
      </c>
      <c r="W31" s="11" t="s">
        <v>1065</v>
      </c>
      <c r="X31" s="13">
        <v>1</v>
      </c>
      <c r="Y31" s="12"/>
      <c r="Z31" s="11"/>
      <c r="AA31" s="11"/>
      <c r="AB31" s="11"/>
      <c r="AC31" s="11">
        <v>0</v>
      </c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 t="s">
        <v>1019</v>
      </c>
      <c r="AO31" s="11" t="s">
        <v>1176</v>
      </c>
      <c r="AP31" s="11" t="s">
        <v>1021</v>
      </c>
      <c r="AQ31" s="11" t="s">
        <v>1177</v>
      </c>
      <c r="AR31" s="11" t="s">
        <v>1025</v>
      </c>
      <c r="AS31" s="11" t="s">
        <v>1178</v>
      </c>
      <c r="AT31" s="11" t="s">
        <v>1025</v>
      </c>
      <c r="AU31" s="11" t="s">
        <v>1177</v>
      </c>
      <c r="AV31" s="11" t="s">
        <v>1178</v>
      </c>
      <c r="AW31" s="12">
        <v>2</v>
      </c>
      <c r="AX31" s="12">
        <v>2</v>
      </c>
      <c r="AY31" s="12">
        <v>2</v>
      </c>
      <c r="AZ31" s="12">
        <v>2</v>
      </c>
      <c r="BA31" s="12">
        <v>1</v>
      </c>
      <c r="BB31" s="12">
        <v>2</v>
      </c>
      <c r="BC31" s="12">
        <v>1</v>
      </c>
      <c r="BD31" s="11" t="s">
        <v>1026</v>
      </c>
      <c r="BE31" s="11" t="s">
        <v>1027</v>
      </c>
    </row>
    <row r="32" spans="1:57" s="8" customFormat="1" ht="87" x14ac:dyDescent="0.35">
      <c r="A32" s="7" t="s">
        <v>20</v>
      </c>
      <c r="B32" s="7" t="s">
        <v>21</v>
      </c>
      <c r="C32" s="3" t="s">
        <v>102</v>
      </c>
      <c r="D32" s="3" t="s">
        <v>45</v>
      </c>
      <c r="E32" s="3" t="s">
        <v>45</v>
      </c>
      <c r="F32" s="3" t="s">
        <v>46</v>
      </c>
      <c r="G32" s="3" t="s">
        <v>25</v>
      </c>
      <c r="H32" s="4">
        <v>553</v>
      </c>
      <c r="I32" s="4">
        <v>200</v>
      </c>
      <c r="J32" s="3" t="s">
        <v>26</v>
      </c>
      <c r="K32" s="4" t="b">
        <v>1</v>
      </c>
      <c r="L32" s="6">
        <v>1</v>
      </c>
      <c r="M32" s="6">
        <v>1</v>
      </c>
      <c r="N32" s="3" t="s">
        <v>47</v>
      </c>
      <c r="O32" s="3"/>
      <c r="P32" s="3" t="s">
        <v>103</v>
      </c>
      <c r="Q32" s="3" t="s">
        <v>1179</v>
      </c>
      <c r="R32" s="3" t="s">
        <v>1029</v>
      </c>
      <c r="S32" s="3" t="s">
        <v>1006</v>
      </c>
      <c r="T32" s="3" t="s">
        <v>1007</v>
      </c>
      <c r="U32" s="11" t="s">
        <v>1180</v>
      </c>
      <c r="V32" s="11" t="s">
        <v>1031</v>
      </c>
      <c r="W32" s="11" t="s">
        <v>1032</v>
      </c>
      <c r="X32" s="13">
        <v>0.7</v>
      </c>
      <c r="Y32" s="12"/>
      <c r="Z32" s="11"/>
      <c r="AA32" s="11"/>
      <c r="AB32" s="11"/>
      <c r="AC32" s="11">
        <v>0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 t="s">
        <v>1019</v>
      </c>
      <c r="AO32" s="11" t="s">
        <v>1181</v>
      </c>
      <c r="AP32" s="11" t="s">
        <v>1021</v>
      </c>
      <c r="AQ32" s="11" t="s">
        <v>1182</v>
      </c>
      <c r="AR32" s="11" t="s">
        <v>1025</v>
      </c>
      <c r="AS32" s="11" t="s">
        <v>1183</v>
      </c>
      <c r="AT32" s="11" t="s">
        <v>1025</v>
      </c>
      <c r="AU32" s="11" t="s">
        <v>1182</v>
      </c>
      <c r="AV32" s="11" t="s">
        <v>1183</v>
      </c>
      <c r="AW32" s="12">
        <v>2</v>
      </c>
      <c r="AX32" s="12">
        <v>2</v>
      </c>
      <c r="AY32" s="12">
        <v>2</v>
      </c>
      <c r="AZ32" s="12">
        <v>2</v>
      </c>
      <c r="BA32" s="12">
        <v>1</v>
      </c>
      <c r="BB32" s="12">
        <v>2</v>
      </c>
      <c r="BC32" s="12">
        <v>1</v>
      </c>
      <c r="BD32" s="11" t="s">
        <v>1026</v>
      </c>
      <c r="BE32" s="11" t="s">
        <v>1027</v>
      </c>
    </row>
    <row r="33" spans="1:57" s="8" customFormat="1" ht="87" x14ac:dyDescent="0.35">
      <c r="A33" s="7" t="s">
        <v>20</v>
      </c>
      <c r="B33" s="7" t="s">
        <v>21</v>
      </c>
      <c r="C33" s="3" t="s">
        <v>102</v>
      </c>
      <c r="D33" s="3" t="s">
        <v>49</v>
      </c>
      <c r="E33" s="3"/>
      <c r="F33" s="3" t="s">
        <v>46</v>
      </c>
      <c r="G33" s="3" t="s">
        <v>50</v>
      </c>
      <c r="H33" s="4">
        <v>553</v>
      </c>
      <c r="I33" s="4">
        <v>200</v>
      </c>
      <c r="J33" s="3" t="s">
        <v>26</v>
      </c>
      <c r="K33" s="4" t="b">
        <v>1</v>
      </c>
      <c r="L33" s="6">
        <v>1</v>
      </c>
      <c r="M33" s="6">
        <v>1</v>
      </c>
      <c r="N33" s="3" t="s">
        <v>47</v>
      </c>
      <c r="O33" s="3"/>
      <c r="P33" s="3" t="s">
        <v>103</v>
      </c>
      <c r="Q33" s="3" t="s">
        <v>1179</v>
      </c>
      <c r="R33" s="3" t="s">
        <v>1029</v>
      </c>
      <c r="S33" s="3" t="s">
        <v>1006</v>
      </c>
      <c r="T33" s="3" t="s">
        <v>1007</v>
      </c>
      <c r="U33" s="11" t="s">
        <v>1180</v>
      </c>
      <c r="V33" s="11" t="s">
        <v>1031</v>
      </c>
      <c r="W33" s="11" t="s">
        <v>1032</v>
      </c>
      <c r="X33" s="13">
        <v>0.7</v>
      </c>
      <c r="Y33" s="12"/>
      <c r="Z33" s="11"/>
      <c r="AA33" s="11"/>
      <c r="AB33" s="11"/>
      <c r="AC33" s="11">
        <v>0</v>
      </c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 t="s">
        <v>1019</v>
      </c>
      <c r="AO33" s="11" t="s">
        <v>1181</v>
      </c>
      <c r="AP33" s="11" t="s">
        <v>1021</v>
      </c>
      <c r="AQ33" s="11" t="s">
        <v>1182</v>
      </c>
      <c r="AR33" s="11" t="s">
        <v>1025</v>
      </c>
      <c r="AS33" s="11" t="s">
        <v>1183</v>
      </c>
      <c r="AT33" s="11" t="s">
        <v>1025</v>
      </c>
      <c r="AU33" s="11" t="s">
        <v>1182</v>
      </c>
      <c r="AV33" s="11" t="s">
        <v>1183</v>
      </c>
      <c r="AW33" s="12">
        <v>2</v>
      </c>
      <c r="AX33" s="12">
        <v>2</v>
      </c>
      <c r="AY33" s="12">
        <v>2</v>
      </c>
      <c r="AZ33" s="12">
        <v>2</v>
      </c>
      <c r="BA33" s="12">
        <v>1</v>
      </c>
      <c r="BB33" s="12">
        <v>2</v>
      </c>
      <c r="BC33" s="12">
        <v>1</v>
      </c>
      <c r="BD33" s="11" t="s">
        <v>1026</v>
      </c>
      <c r="BE33" s="11" t="s">
        <v>1027</v>
      </c>
    </row>
    <row r="34" spans="1:57" s="8" customFormat="1" ht="58" x14ac:dyDescent="0.35">
      <c r="A34" s="7" t="s">
        <v>20</v>
      </c>
      <c r="B34" s="7" t="s">
        <v>21</v>
      </c>
      <c r="C34" s="3" t="s">
        <v>104</v>
      </c>
      <c r="D34" s="3" t="s">
        <v>57</v>
      </c>
      <c r="E34" s="3"/>
      <c r="F34" s="3" t="s">
        <v>53</v>
      </c>
      <c r="G34" s="3" t="s">
        <v>50</v>
      </c>
      <c r="H34" s="4">
        <v>372</v>
      </c>
      <c r="I34" s="4">
        <v>300</v>
      </c>
      <c r="J34" s="3" t="s">
        <v>26</v>
      </c>
      <c r="K34" s="4" t="b">
        <v>0</v>
      </c>
      <c r="L34" s="6">
        <v>0.33333333333333298</v>
      </c>
      <c r="M34" s="6">
        <v>0.33333333333333298</v>
      </c>
      <c r="N34" s="3" t="s">
        <v>58</v>
      </c>
      <c r="O34" s="3" t="s">
        <v>59</v>
      </c>
      <c r="P34" s="3" t="s">
        <v>105</v>
      </c>
      <c r="Q34" s="3" t="s">
        <v>1184</v>
      </c>
      <c r="R34" s="3" t="s">
        <v>1029</v>
      </c>
      <c r="S34" s="3" t="s">
        <v>1006</v>
      </c>
      <c r="T34" s="3" t="s">
        <v>1007</v>
      </c>
      <c r="U34" s="11" t="s">
        <v>1185</v>
      </c>
      <c r="V34" s="11" t="s">
        <v>1031</v>
      </c>
      <c r="W34" s="11" t="s">
        <v>1032</v>
      </c>
      <c r="X34" s="13">
        <v>0.7</v>
      </c>
      <c r="Y34" s="12"/>
      <c r="Z34" s="11"/>
      <c r="AA34" s="11"/>
      <c r="AB34" s="11"/>
      <c r="AC34" s="11">
        <v>0</v>
      </c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 t="s">
        <v>1019</v>
      </c>
      <c r="AO34" s="11" t="s">
        <v>1186</v>
      </c>
      <c r="AP34" s="11" t="s">
        <v>1021</v>
      </c>
      <c r="AQ34" s="11" t="s">
        <v>1187</v>
      </c>
      <c r="AR34" s="11" t="s">
        <v>1023</v>
      </c>
      <c r="AS34" s="11" t="s">
        <v>1188</v>
      </c>
      <c r="AT34" s="11" t="s">
        <v>1025</v>
      </c>
      <c r="AU34" s="11" t="s">
        <v>1187</v>
      </c>
      <c r="AV34" s="11" t="s">
        <v>1188</v>
      </c>
      <c r="AW34" s="12">
        <v>4</v>
      </c>
      <c r="AX34" s="12">
        <v>4</v>
      </c>
      <c r="AY34" s="12">
        <v>5</v>
      </c>
      <c r="AZ34" s="12">
        <v>4</v>
      </c>
      <c r="BA34" s="12">
        <v>3</v>
      </c>
      <c r="BB34" s="12">
        <v>4</v>
      </c>
      <c r="BC34" s="12">
        <v>1</v>
      </c>
      <c r="BD34" s="11" t="s">
        <v>1026</v>
      </c>
      <c r="BE34" s="11" t="s">
        <v>1027</v>
      </c>
    </row>
    <row r="35" spans="1:57" s="8" customFormat="1" ht="58" x14ac:dyDescent="0.35">
      <c r="A35" s="7" t="s">
        <v>20</v>
      </c>
      <c r="B35" s="7" t="s">
        <v>21</v>
      </c>
      <c r="C35" s="3" t="s">
        <v>106</v>
      </c>
      <c r="D35" s="3" t="s">
        <v>52</v>
      </c>
      <c r="E35" s="3"/>
      <c r="F35" s="3" t="s">
        <v>53</v>
      </c>
      <c r="G35" s="3" t="s">
        <v>50</v>
      </c>
      <c r="H35" s="4">
        <v>829</v>
      </c>
      <c r="I35" s="4">
        <v>500</v>
      </c>
      <c r="J35" s="3" t="s">
        <v>26</v>
      </c>
      <c r="K35" s="4" t="b">
        <v>0</v>
      </c>
      <c r="L35" s="6">
        <v>0.33333333333333298</v>
      </c>
      <c r="M35" s="6">
        <v>0.33333333333333298</v>
      </c>
      <c r="N35" s="3" t="s">
        <v>54</v>
      </c>
      <c r="O35" s="3" t="s">
        <v>55</v>
      </c>
      <c r="P35" s="3" t="s">
        <v>107</v>
      </c>
      <c r="Q35" s="3" t="s">
        <v>1189</v>
      </c>
      <c r="R35" s="3" t="s">
        <v>1029</v>
      </c>
      <c r="S35" s="3" t="s">
        <v>1006</v>
      </c>
      <c r="T35" s="3" t="s">
        <v>1007</v>
      </c>
      <c r="U35" s="11" t="s">
        <v>1190</v>
      </c>
      <c r="V35" s="11" t="s">
        <v>1127</v>
      </c>
      <c r="W35" s="11" t="s">
        <v>1128</v>
      </c>
      <c r="X35" s="13">
        <v>0.75</v>
      </c>
      <c r="Y35" s="12"/>
      <c r="Z35" s="11"/>
      <c r="AA35" s="11"/>
      <c r="AB35" s="11"/>
      <c r="AC35" s="11">
        <v>3</v>
      </c>
      <c r="AD35" s="11" t="s">
        <v>1076</v>
      </c>
      <c r="AE35" s="11" t="s">
        <v>1191</v>
      </c>
      <c r="AF35" s="11" t="s">
        <v>1014</v>
      </c>
      <c r="AG35" s="11" t="s">
        <v>1015</v>
      </c>
      <c r="AH35" s="11" t="s">
        <v>1078</v>
      </c>
      <c r="AI35" s="11" t="s">
        <v>1016</v>
      </c>
      <c r="AJ35" s="11"/>
      <c r="AK35" s="11" t="s">
        <v>1079</v>
      </c>
      <c r="AL35" s="11" t="s">
        <v>1017</v>
      </c>
      <c r="AM35" s="11" t="s">
        <v>1080</v>
      </c>
      <c r="AN35" s="11" t="s">
        <v>1019</v>
      </c>
      <c r="AO35" s="11" t="s">
        <v>1192</v>
      </c>
      <c r="AP35" s="11" t="s">
        <v>1021</v>
      </c>
      <c r="AQ35" s="11" t="s">
        <v>1193</v>
      </c>
      <c r="AR35" s="11" t="s">
        <v>1048</v>
      </c>
      <c r="AS35" s="11" t="s">
        <v>1194</v>
      </c>
      <c r="AT35" s="11" t="s">
        <v>1048</v>
      </c>
      <c r="AU35" s="11" t="s">
        <v>1193</v>
      </c>
      <c r="AV35" s="11" t="s">
        <v>1194</v>
      </c>
      <c r="AW35" s="12">
        <v>1</v>
      </c>
      <c r="AX35" s="12">
        <v>1</v>
      </c>
      <c r="AY35" s="12">
        <v>1</v>
      </c>
      <c r="AZ35" s="12">
        <v>1</v>
      </c>
      <c r="BA35" s="12">
        <v>2</v>
      </c>
      <c r="BB35" s="12">
        <v>1</v>
      </c>
      <c r="BC35" s="12">
        <v>2</v>
      </c>
      <c r="BD35" s="11" t="s">
        <v>1026</v>
      </c>
      <c r="BE35" s="11" t="s">
        <v>1027</v>
      </c>
    </row>
    <row r="36" spans="1:57" s="8" customFormat="1" ht="72.5" x14ac:dyDescent="0.35">
      <c r="A36" s="7" t="s">
        <v>20</v>
      </c>
      <c r="B36" s="7" t="s">
        <v>21</v>
      </c>
      <c r="C36" s="3" t="s">
        <v>108</v>
      </c>
      <c r="D36" s="3" t="s">
        <v>52</v>
      </c>
      <c r="E36" s="3"/>
      <c r="F36" s="3" t="s">
        <v>53</v>
      </c>
      <c r="G36" s="3" t="s">
        <v>50</v>
      </c>
      <c r="H36" s="4">
        <v>565</v>
      </c>
      <c r="I36" s="4">
        <v>500</v>
      </c>
      <c r="J36" s="3" t="s">
        <v>26</v>
      </c>
      <c r="K36" s="4" t="b">
        <v>0</v>
      </c>
      <c r="L36" s="6">
        <v>0.33333333333333298</v>
      </c>
      <c r="M36" s="6">
        <v>0.33333333333333298</v>
      </c>
      <c r="N36" s="3" t="s">
        <v>54</v>
      </c>
      <c r="O36" s="3" t="s">
        <v>55</v>
      </c>
      <c r="P36" s="3" t="s">
        <v>109</v>
      </c>
      <c r="Q36" s="3" t="s">
        <v>1195</v>
      </c>
      <c r="R36" s="3" t="s">
        <v>1139</v>
      </c>
      <c r="S36" s="3" t="s">
        <v>1006</v>
      </c>
      <c r="T36" s="3" t="s">
        <v>1196</v>
      </c>
      <c r="U36" s="11" t="s">
        <v>1197</v>
      </c>
      <c r="V36" s="11" t="s">
        <v>1031</v>
      </c>
      <c r="W36" s="11" t="s">
        <v>1032</v>
      </c>
      <c r="X36" s="13">
        <v>0.7</v>
      </c>
      <c r="Y36" s="12"/>
      <c r="Z36" s="11"/>
      <c r="AA36" s="11"/>
      <c r="AB36" s="11"/>
      <c r="AC36" s="11">
        <v>5</v>
      </c>
      <c r="AD36" s="11" t="s">
        <v>1076</v>
      </c>
      <c r="AE36" s="11" t="s">
        <v>1198</v>
      </c>
      <c r="AF36" s="11" t="s">
        <v>1014</v>
      </c>
      <c r="AG36" s="11" t="s">
        <v>1015</v>
      </c>
      <c r="AH36" s="11" t="s">
        <v>1199</v>
      </c>
      <c r="AI36" s="11" t="s">
        <v>1016</v>
      </c>
      <c r="AJ36" s="11"/>
      <c r="AK36" s="11" t="s">
        <v>1079</v>
      </c>
      <c r="AL36" s="11" t="s">
        <v>1017</v>
      </c>
      <c r="AM36" s="11" t="s">
        <v>1080</v>
      </c>
      <c r="AN36" s="11" t="s">
        <v>1019</v>
      </c>
      <c r="AO36" s="11" t="s">
        <v>1200</v>
      </c>
      <c r="AP36" s="11" t="s">
        <v>1114</v>
      </c>
      <c r="AQ36" s="11"/>
      <c r="AR36" s="11" t="s">
        <v>1034</v>
      </c>
      <c r="AS36" s="11"/>
      <c r="AT36" s="11" t="s">
        <v>1034</v>
      </c>
      <c r="AU36" s="11"/>
      <c r="AV36" s="11"/>
      <c r="AW36" s="12">
        <v>1</v>
      </c>
      <c r="AX36" s="12">
        <v>1</v>
      </c>
      <c r="AY36" s="12">
        <v>2</v>
      </c>
      <c r="AZ36" s="12"/>
      <c r="BA36" s="12"/>
      <c r="BB36" s="12"/>
      <c r="BC36" s="12"/>
      <c r="BD36" s="11" t="s">
        <v>1115</v>
      </c>
      <c r="BE36" s="11" t="s">
        <v>1116</v>
      </c>
    </row>
    <row r="37" spans="1:57" s="8" customFormat="1" ht="72.5" x14ac:dyDescent="0.35">
      <c r="A37" s="7" t="s">
        <v>20</v>
      </c>
      <c r="B37" s="7" t="s">
        <v>21</v>
      </c>
      <c r="C37" s="3" t="s">
        <v>108</v>
      </c>
      <c r="D37" s="3" t="s">
        <v>57</v>
      </c>
      <c r="E37" s="3" t="s">
        <v>57</v>
      </c>
      <c r="F37" s="3" t="s">
        <v>53</v>
      </c>
      <c r="G37" s="3" t="s">
        <v>25</v>
      </c>
      <c r="H37" s="4">
        <v>565</v>
      </c>
      <c r="I37" s="4">
        <v>300</v>
      </c>
      <c r="J37" s="3" t="s">
        <v>26</v>
      </c>
      <c r="K37" s="4" t="b">
        <v>1</v>
      </c>
      <c r="L37" s="6">
        <v>1</v>
      </c>
      <c r="M37" s="6">
        <v>1</v>
      </c>
      <c r="N37" s="3" t="s">
        <v>62</v>
      </c>
      <c r="O37" s="3"/>
      <c r="P37" s="3" t="s">
        <v>109</v>
      </c>
      <c r="Q37" s="3" t="s">
        <v>1195</v>
      </c>
      <c r="R37" s="3" t="s">
        <v>1139</v>
      </c>
      <c r="S37" s="3" t="s">
        <v>1006</v>
      </c>
      <c r="T37" s="3" t="s">
        <v>1196</v>
      </c>
      <c r="U37" s="11" t="s">
        <v>1197</v>
      </c>
      <c r="V37" s="11" t="s">
        <v>1031</v>
      </c>
      <c r="W37" s="11" t="s">
        <v>1032</v>
      </c>
      <c r="X37" s="13">
        <v>0.7</v>
      </c>
      <c r="Y37" s="12"/>
      <c r="Z37" s="11"/>
      <c r="AA37" s="11"/>
      <c r="AB37" s="11"/>
      <c r="AC37" s="11">
        <v>1</v>
      </c>
      <c r="AD37" s="11" t="s">
        <v>1201</v>
      </c>
      <c r="AE37" s="11" t="s">
        <v>1202</v>
      </c>
      <c r="AF37" s="11" t="s">
        <v>1014</v>
      </c>
      <c r="AG37" s="11" t="s">
        <v>1203</v>
      </c>
      <c r="AH37" s="11"/>
      <c r="AI37" s="11" t="s">
        <v>1016</v>
      </c>
      <c r="AJ37" s="11"/>
      <c r="AK37" s="11" t="s">
        <v>1204</v>
      </c>
      <c r="AL37" s="11" t="s">
        <v>1017</v>
      </c>
      <c r="AM37" s="11" t="s">
        <v>1205</v>
      </c>
      <c r="AN37" s="11" t="s">
        <v>1019</v>
      </c>
      <c r="AO37" s="11" t="s">
        <v>1200</v>
      </c>
      <c r="AP37" s="11" t="s">
        <v>1114</v>
      </c>
      <c r="AQ37" s="11"/>
      <c r="AR37" s="11" t="s">
        <v>1034</v>
      </c>
      <c r="AS37" s="11"/>
      <c r="AT37" s="11" t="s">
        <v>1034</v>
      </c>
      <c r="AU37" s="11"/>
      <c r="AV37" s="11"/>
      <c r="AW37" s="12">
        <v>1</v>
      </c>
      <c r="AX37" s="12">
        <v>1</v>
      </c>
      <c r="AY37" s="12">
        <v>2</v>
      </c>
      <c r="AZ37" s="12"/>
      <c r="BA37" s="12"/>
      <c r="BB37" s="12"/>
      <c r="BC37" s="12"/>
      <c r="BD37" s="11" t="s">
        <v>1115</v>
      </c>
      <c r="BE37" s="11" t="s">
        <v>1116</v>
      </c>
    </row>
    <row r="38" spans="1:57" s="8" customFormat="1" ht="72.5" x14ac:dyDescent="0.35">
      <c r="A38" s="7" t="s">
        <v>20</v>
      </c>
      <c r="B38" s="7" t="s">
        <v>21</v>
      </c>
      <c r="C38" s="3" t="s">
        <v>108</v>
      </c>
      <c r="D38" s="3" t="s">
        <v>98</v>
      </c>
      <c r="E38" s="3"/>
      <c r="F38" s="3" t="s">
        <v>53</v>
      </c>
      <c r="G38" s="3" t="s">
        <v>50</v>
      </c>
      <c r="H38" s="4">
        <v>565</v>
      </c>
      <c r="I38" s="4">
        <v>300</v>
      </c>
      <c r="J38" s="3" t="s">
        <v>26</v>
      </c>
      <c r="K38" s="4" t="b">
        <v>0</v>
      </c>
      <c r="L38" s="6">
        <v>0.5</v>
      </c>
      <c r="M38" s="6">
        <v>0.5</v>
      </c>
      <c r="N38" s="3" t="s">
        <v>58</v>
      </c>
      <c r="O38" s="3" t="s">
        <v>99</v>
      </c>
      <c r="P38" s="3" t="s">
        <v>109</v>
      </c>
      <c r="Q38" s="3" t="s">
        <v>1195</v>
      </c>
      <c r="R38" s="3" t="s">
        <v>1139</v>
      </c>
      <c r="S38" s="3" t="s">
        <v>1006</v>
      </c>
      <c r="T38" s="3" t="s">
        <v>1196</v>
      </c>
      <c r="U38" s="11" t="s">
        <v>1197</v>
      </c>
      <c r="V38" s="11" t="s">
        <v>1031</v>
      </c>
      <c r="W38" s="11" t="s">
        <v>1032</v>
      </c>
      <c r="X38" s="13">
        <v>0.7</v>
      </c>
      <c r="Y38" s="12"/>
      <c r="Z38" s="11"/>
      <c r="AA38" s="11"/>
      <c r="AB38" s="11"/>
      <c r="AC38" s="11">
        <v>0</v>
      </c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 t="s">
        <v>1019</v>
      </c>
      <c r="AO38" s="11" t="s">
        <v>1200</v>
      </c>
      <c r="AP38" s="11" t="s">
        <v>1114</v>
      </c>
      <c r="AQ38" s="11"/>
      <c r="AR38" s="11" t="s">
        <v>1034</v>
      </c>
      <c r="AS38" s="11"/>
      <c r="AT38" s="11" t="s">
        <v>1034</v>
      </c>
      <c r="AU38" s="11"/>
      <c r="AV38" s="11"/>
      <c r="AW38" s="12">
        <v>1</v>
      </c>
      <c r="AX38" s="12">
        <v>1</v>
      </c>
      <c r="AY38" s="12">
        <v>2</v>
      </c>
      <c r="AZ38" s="12"/>
      <c r="BA38" s="12"/>
      <c r="BB38" s="12"/>
      <c r="BC38" s="12"/>
      <c r="BD38" s="11" t="s">
        <v>1115</v>
      </c>
      <c r="BE38" s="11" t="s">
        <v>1116</v>
      </c>
    </row>
    <row r="39" spans="1:57" s="8" customFormat="1" ht="101.5" x14ac:dyDescent="0.35">
      <c r="A39" s="7" t="s">
        <v>20</v>
      </c>
      <c r="B39" s="7" t="s">
        <v>21</v>
      </c>
      <c r="C39" s="3" t="s">
        <v>110</v>
      </c>
      <c r="D39" s="3" t="s">
        <v>57</v>
      </c>
      <c r="E39" s="3"/>
      <c r="F39" s="3" t="s">
        <v>53</v>
      </c>
      <c r="G39" s="3" t="s">
        <v>50</v>
      </c>
      <c r="H39" s="4">
        <v>465</v>
      </c>
      <c r="I39" s="4">
        <v>300</v>
      </c>
      <c r="J39" s="3" t="s">
        <v>26</v>
      </c>
      <c r="K39" s="4" t="b">
        <v>0</v>
      </c>
      <c r="L39" s="6">
        <v>0.33333333333333298</v>
      </c>
      <c r="M39" s="6">
        <v>0.33333333333333298</v>
      </c>
      <c r="N39" s="3" t="s">
        <v>58</v>
      </c>
      <c r="O39" s="3" t="s">
        <v>59</v>
      </c>
      <c r="P39" s="3" t="s">
        <v>111</v>
      </c>
      <c r="Q39" s="3" t="s">
        <v>1206</v>
      </c>
      <c r="R39" s="3" t="s">
        <v>1029</v>
      </c>
      <c r="S39" s="3" t="s">
        <v>1006</v>
      </c>
      <c r="T39" s="3" t="s">
        <v>1007</v>
      </c>
      <c r="U39" s="11" t="s">
        <v>1207</v>
      </c>
      <c r="V39" s="11" t="s">
        <v>1064</v>
      </c>
      <c r="W39" s="11" t="s">
        <v>1065</v>
      </c>
      <c r="X39" s="13">
        <v>1</v>
      </c>
      <c r="Y39" s="12"/>
      <c r="Z39" s="11"/>
      <c r="AA39" s="11"/>
      <c r="AB39" s="11"/>
      <c r="AC39" s="11">
        <v>0</v>
      </c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 t="s">
        <v>1019</v>
      </c>
      <c r="AO39" s="11" t="s">
        <v>1208</v>
      </c>
      <c r="AP39" s="11" t="s">
        <v>1021</v>
      </c>
      <c r="AQ39" s="11" t="s">
        <v>1209</v>
      </c>
      <c r="AR39" s="11" t="s">
        <v>1048</v>
      </c>
      <c r="AS39" s="11" t="s">
        <v>1210</v>
      </c>
      <c r="AT39" s="11" t="s">
        <v>1050</v>
      </c>
      <c r="AU39" s="11" t="s">
        <v>1209</v>
      </c>
      <c r="AV39" s="11" t="s">
        <v>1210</v>
      </c>
      <c r="AW39" s="12">
        <v>1</v>
      </c>
      <c r="AX39" s="12">
        <v>1</v>
      </c>
      <c r="AY39" s="12">
        <v>1</v>
      </c>
      <c r="AZ39" s="12">
        <v>1</v>
      </c>
      <c r="BA39" s="12">
        <v>7</v>
      </c>
      <c r="BB39" s="12">
        <v>1</v>
      </c>
      <c r="BC39" s="12">
        <v>1</v>
      </c>
      <c r="BD39" s="11" t="s">
        <v>1026</v>
      </c>
      <c r="BE39" s="11" t="s">
        <v>1051</v>
      </c>
    </row>
    <row r="40" spans="1:57" s="8" customFormat="1" ht="116" x14ac:dyDescent="0.35">
      <c r="A40" s="7" t="s">
        <v>20</v>
      </c>
      <c r="B40" s="7" t="s">
        <v>21</v>
      </c>
      <c r="C40" s="3" t="s">
        <v>112</v>
      </c>
      <c r="D40" s="3" t="s">
        <v>52</v>
      </c>
      <c r="E40" s="3" t="s">
        <v>52</v>
      </c>
      <c r="F40" s="3" t="s">
        <v>53</v>
      </c>
      <c r="G40" s="3" t="s">
        <v>25</v>
      </c>
      <c r="H40" s="4">
        <v>1101</v>
      </c>
      <c r="I40" s="4">
        <v>500</v>
      </c>
      <c r="J40" s="3" t="s">
        <v>26</v>
      </c>
      <c r="K40" s="4" t="b">
        <v>1</v>
      </c>
      <c r="L40" s="6">
        <v>1</v>
      </c>
      <c r="M40" s="6">
        <v>1</v>
      </c>
      <c r="N40" s="3" t="s">
        <v>113</v>
      </c>
      <c r="O40" s="3"/>
      <c r="P40" s="3" t="s">
        <v>114</v>
      </c>
      <c r="Q40" s="3" t="s">
        <v>1211</v>
      </c>
      <c r="R40" s="3" t="s">
        <v>1029</v>
      </c>
      <c r="S40" s="3" t="s">
        <v>1006</v>
      </c>
      <c r="T40" s="3" t="s">
        <v>1007</v>
      </c>
      <c r="U40" s="11" t="s">
        <v>1212</v>
      </c>
      <c r="V40" s="11" t="s">
        <v>1064</v>
      </c>
      <c r="W40" s="11" t="s">
        <v>1065</v>
      </c>
      <c r="X40" s="13">
        <v>1</v>
      </c>
      <c r="Y40" s="12"/>
      <c r="Z40" s="11"/>
      <c r="AA40" s="11"/>
      <c r="AB40" s="11"/>
      <c r="AC40" s="11">
        <v>10</v>
      </c>
      <c r="AD40" s="11" t="s">
        <v>1086</v>
      </c>
      <c r="AE40" s="11" t="s">
        <v>1213</v>
      </c>
      <c r="AF40" s="11" t="s">
        <v>1014</v>
      </c>
      <c r="AG40" s="11" t="s">
        <v>1015</v>
      </c>
      <c r="AH40" s="11" t="s">
        <v>1214</v>
      </c>
      <c r="AI40" s="11" t="s">
        <v>1016</v>
      </c>
      <c r="AJ40" s="11"/>
      <c r="AK40" s="11" t="s">
        <v>1089</v>
      </c>
      <c r="AL40" s="11" t="s">
        <v>1017</v>
      </c>
      <c r="AM40" s="11" t="s">
        <v>1090</v>
      </c>
      <c r="AN40" s="11" t="s">
        <v>1019</v>
      </c>
      <c r="AO40" s="11" t="s">
        <v>1215</v>
      </c>
      <c r="AP40" s="11" t="s">
        <v>1021</v>
      </c>
      <c r="AQ40" s="11" t="s">
        <v>1216</v>
      </c>
      <c r="AR40" s="11" t="s">
        <v>1048</v>
      </c>
      <c r="AS40" s="11" t="s">
        <v>1217</v>
      </c>
      <c r="AT40" s="11" t="s">
        <v>1050</v>
      </c>
      <c r="AU40" s="11" t="s">
        <v>1216</v>
      </c>
      <c r="AV40" s="11" t="s">
        <v>1217</v>
      </c>
      <c r="AW40" s="12">
        <v>1</v>
      </c>
      <c r="AX40" s="12">
        <v>1</v>
      </c>
      <c r="AY40" s="12">
        <v>1</v>
      </c>
      <c r="AZ40" s="12">
        <v>1</v>
      </c>
      <c r="BA40" s="12">
        <v>3</v>
      </c>
      <c r="BB40" s="12">
        <v>1</v>
      </c>
      <c r="BC40" s="12">
        <v>1</v>
      </c>
      <c r="BD40" s="11" t="s">
        <v>1026</v>
      </c>
      <c r="BE40" s="11" t="s">
        <v>1051</v>
      </c>
    </row>
    <row r="41" spans="1:57" s="8" customFormat="1" ht="58" x14ac:dyDescent="0.35">
      <c r="A41" s="7" t="s">
        <v>20</v>
      </c>
      <c r="B41" s="7" t="s">
        <v>21</v>
      </c>
      <c r="C41" s="3" t="s">
        <v>115</v>
      </c>
      <c r="D41" s="3" t="s">
        <v>57</v>
      </c>
      <c r="E41" s="3"/>
      <c r="F41" s="3" t="s">
        <v>53</v>
      </c>
      <c r="G41" s="3" t="s">
        <v>50</v>
      </c>
      <c r="H41" s="4">
        <v>647</v>
      </c>
      <c r="I41" s="4">
        <v>300</v>
      </c>
      <c r="J41" s="3" t="s">
        <v>26</v>
      </c>
      <c r="K41" s="4" t="b">
        <v>0</v>
      </c>
      <c r="L41" s="6">
        <v>0.33333333333333298</v>
      </c>
      <c r="M41" s="6">
        <v>0.33333333333333298</v>
      </c>
      <c r="N41" s="3" t="s">
        <v>58</v>
      </c>
      <c r="O41" s="3" t="s">
        <v>59</v>
      </c>
      <c r="P41" s="3" t="s">
        <v>116</v>
      </c>
      <c r="Q41" s="3" t="s">
        <v>1218</v>
      </c>
      <c r="R41" s="3" t="s">
        <v>1074</v>
      </c>
      <c r="S41" s="3" t="s">
        <v>1006</v>
      </c>
      <c r="T41" s="3" t="s">
        <v>1007</v>
      </c>
      <c r="U41" s="11" t="s">
        <v>1219</v>
      </c>
      <c r="V41" s="11" t="s">
        <v>1064</v>
      </c>
      <c r="W41" s="11" t="s">
        <v>1065</v>
      </c>
      <c r="X41" s="13">
        <v>1</v>
      </c>
      <c r="Y41" s="12"/>
      <c r="Z41" s="11"/>
      <c r="AA41" s="11"/>
      <c r="AB41" s="11"/>
      <c r="AC41" s="11">
        <v>0</v>
      </c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 t="s">
        <v>1019</v>
      </c>
      <c r="AO41" s="11" t="s">
        <v>1220</v>
      </c>
      <c r="AP41" s="11" t="s">
        <v>1021</v>
      </c>
      <c r="AQ41" s="11" t="s">
        <v>1221</v>
      </c>
      <c r="AR41" s="11" t="s">
        <v>1025</v>
      </c>
      <c r="AS41" s="11" t="s">
        <v>1222</v>
      </c>
      <c r="AT41" s="11" t="s">
        <v>1025</v>
      </c>
      <c r="AU41" s="11" t="s">
        <v>1221</v>
      </c>
      <c r="AV41" s="11" t="s">
        <v>1222</v>
      </c>
      <c r="AW41" s="12">
        <v>3</v>
      </c>
      <c r="AX41" s="12">
        <v>3</v>
      </c>
      <c r="AY41" s="12">
        <v>3</v>
      </c>
      <c r="AZ41" s="12">
        <v>3</v>
      </c>
      <c r="BA41" s="12">
        <v>1</v>
      </c>
      <c r="BB41" s="12">
        <v>3</v>
      </c>
      <c r="BC41" s="12">
        <v>1</v>
      </c>
      <c r="BD41" s="11" t="s">
        <v>1026</v>
      </c>
      <c r="BE41" s="11" t="s">
        <v>1027</v>
      </c>
    </row>
    <row r="42" spans="1:57" s="8" customFormat="1" ht="72.5" x14ac:dyDescent="0.35">
      <c r="A42" s="7" t="s">
        <v>20</v>
      </c>
      <c r="B42" s="7" t="s">
        <v>21</v>
      </c>
      <c r="C42" s="3" t="s">
        <v>117</v>
      </c>
      <c r="D42" s="3" t="s">
        <v>52</v>
      </c>
      <c r="E42" s="3"/>
      <c r="F42" s="3" t="s">
        <v>53</v>
      </c>
      <c r="G42" s="3" t="s">
        <v>50</v>
      </c>
      <c r="H42" s="4">
        <v>307</v>
      </c>
      <c r="I42" s="4">
        <v>500</v>
      </c>
      <c r="J42" s="3" t="s">
        <v>74</v>
      </c>
      <c r="K42" s="4" t="b">
        <v>0</v>
      </c>
      <c r="L42" s="6">
        <v>0.33333333333333298</v>
      </c>
      <c r="M42" s="6">
        <v>0.33333333333333298</v>
      </c>
      <c r="N42" s="3" t="s">
        <v>54</v>
      </c>
      <c r="O42" s="3" t="s">
        <v>55</v>
      </c>
      <c r="P42" s="3" t="s">
        <v>118</v>
      </c>
      <c r="Q42" s="3" t="s">
        <v>1223</v>
      </c>
      <c r="R42" s="3" t="s">
        <v>1074</v>
      </c>
      <c r="S42" s="3" t="s">
        <v>1006</v>
      </c>
      <c r="T42" s="3" t="s">
        <v>1007</v>
      </c>
      <c r="U42" s="11" t="s">
        <v>1224</v>
      </c>
      <c r="V42" s="11" t="s">
        <v>1127</v>
      </c>
      <c r="W42" s="11" t="s">
        <v>1128</v>
      </c>
      <c r="X42" s="13">
        <v>1</v>
      </c>
      <c r="Y42" s="12"/>
      <c r="Z42" s="11"/>
      <c r="AA42" s="11"/>
      <c r="AB42" s="11"/>
      <c r="AC42" s="11">
        <v>2</v>
      </c>
      <c r="AD42" s="11" t="s">
        <v>1076</v>
      </c>
      <c r="AE42" s="11" t="s">
        <v>1225</v>
      </c>
      <c r="AF42" s="11" t="s">
        <v>1014</v>
      </c>
      <c r="AG42" s="11" t="s">
        <v>1015</v>
      </c>
      <c r="AH42" s="11" t="s">
        <v>1078</v>
      </c>
      <c r="AI42" s="11" t="s">
        <v>1016</v>
      </c>
      <c r="AJ42" s="11"/>
      <c r="AK42" s="11" t="s">
        <v>1079</v>
      </c>
      <c r="AL42" s="11" t="s">
        <v>1017</v>
      </c>
      <c r="AM42" s="11" t="s">
        <v>1080</v>
      </c>
      <c r="AN42" s="11" t="s">
        <v>1019</v>
      </c>
      <c r="AO42" s="11" t="s">
        <v>1226</v>
      </c>
      <c r="AP42" s="11" t="s">
        <v>1114</v>
      </c>
      <c r="AQ42" s="11"/>
      <c r="AR42" s="11" t="s">
        <v>1034</v>
      </c>
      <c r="AS42" s="11"/>
      <c r="AT42" s="11" t="s">
        <v>1034</v>
      </c>
      <c r="AU42" s="11"/>
      <c r="AV42" s="11"/>
      <c r="AW42" s="12">
        <v>1</v>
      </c>
      <c r="AX42" s="12">
        <v>1</v>
      </c>
      <c r="AY42" s="12">
        <v>1</v>
      </c>
      <c r="AZ42" s="12"/>
      <c r="BA42" s="12"/>
      <c r="BB42" s="12"/>
      <c r="BC42" s="12"/>
      <c r="BD42" s="11" t="s">
        <v>1115</v>
      </c>
      <c r="BE42" s="11" t="s">
        <v>1116</v>
      </c>
    </row>
    <row r="43" spans="1:57" s="8" customFormat="1" ht="72.5" x14ac:dyDescent="0.35">
      <c r="A43" s="7" t="s">
        <v>20</v>
      </c>
      <c r="B43" s="7" t="s">
        <v>21</v>
      </c>
      <c r="C43" s="3" t="s">
        <v>117</v>
      </c>
      <c r="D43" s="3" t="s">
        <v>57</v>
      </c>
      <c r="E43" s="3"/>
      <c r="F43" s="3" t="s">
        <v>53</v>
      </c>
      <c r="G43" s="3" t="s">
        <v>50</v>
      </c>
      <c r="H43" s="4">
        <v>307</v>
      </c>
      <c r="I43" s="4">
        <v>300</v>
      </c>
      <c r="J43" s="3" t="s">
        <v>26</v>
      </c>
      <c r="K43" s="4" t="b">
        <v>0</v>
      </c>
      <c r="L43" s="6">
        <v>0.33333333333333298</v>
      </c>
      <c r="M43" s="6">
        <v>0.33333333333333298</v>
      </c>
      <c r="N43" s="3" t="s">
        <v>58</v>
      </c>
      <c r="O43" s="3" t="s">
        <v>59</v>
      </c>
      <c r="P43" s="3" t="s">
        <v>118</v>
      </c>
      <c r="Q43" s="3" t="s">
        <v>1223</v>
      </c>
      <c r="R43" s="3" t="s">
        <v>1074</v>
      </c>
      <c r="S43" s="3" t="s">
        <v>1006</v>
      </c>
      <c r="T43" s="3" t="s">
        <v>1007</v>
      </c>
      <c r="U43" s="11" t="s">
        <v>1224</v>
      </c>
      <c r="V43" s="11" t="s">
        <v>1127</v>
      </c>
      <c r="W43" s="11" t="s">
        <v>1128</v>
      </c>
      <c r="X43" s="13">
        <v>1</v>
      </c>
      <c r="Y43" s="12"/>
      <c r="Z43" s="11"/>
      <c r="AA43" s="11"/>
      <c r="AB43" s="11"/>
      <c r="AC43" s="11">
        <v>1</v>
      </c>
      <c r="AD43" s="11" t="s">
        <v>1227</v>
      </c>
      <c r="AE43" s="11" t="s">
        <v>1228</v>
      </c>
      <c r="AF43" s="11" t="s">
        <v>1014</v>
      </c>
      <c r="AG43" s="11" t="s">
        <v>1015</v>
      </c>
      <c r="AH43" s="11" t="s">
        <v>1078</v>
      </c>
      <c r="AI43" s="11" t="s">
        <v>1016</v>
      </c>
      <c r="AJ43" s="11"/>
      <c r="AK43" s="11" t="s">
        <v>1229</v>
      </c>
      <c r="AL43" s="11" t="s">
        <v>1017</v>
      </c>
      <c r="AM43" s="11" t="s">
        <v>1230</v>
      </c>
      <c r="AN43" s="11" t="s">
        <v>1019</v>
      </c>
      <c r="AO43" s="11" t="s">
        <v>1226</v>
      </c>
      <c r="AP43" s="11" t="s">
        <v>1114</v>
      </c>
      <c r="AQ43" s="11"/>
      <c r="AR43" s="11" t="s">
        <v>1034</v>
      </c>
      <c r="AS43" s="11"/>
      <c r="AT43" s="11" t="s">
        <v>1034</v>
      </c>
      <c r="AU43" s="11"/>
      <c r="AV43" s="11"/>
      <c r="AW43" s="12">
        <v>1</v>
      </c>
      <c r="AX43" s="12">
        <v>1</v>
      </c>
      <c r="AY43" s="12">
        <v>1</v>
      </c>
      <c r="AZ43" s="12"/>
      <c r="BA43" s="12"/>
      <c r="BB43" s="12"/>
      <c r="BC43" s="12"/>
      <c r="BD43" s="11" t="s">
        <v>1115</v>
      </c>
      <c r="BE43" s="11" t="s">
        <v>1116</v>
      </c>
    </row>
    <row r="44" spans="1:57" s="8" customFormat="1" ht="72.5" x14ac:dyDescent="0.35">
      <c r="A44" s="7" t="s">
        <v>20</v>
      </c>
      <c r="B44" s="7" t="s">
        <v>21</v>
      </c>
      <c r="C44" s="3" t="s">
        <v>117</v>
      </c>
      <c r="D44" s="3" t="s">
        <v>98</v>
      </c>
      <c r="E44" s="3"/>
      <c r="F44" s="3" t="s">
        <v>53</v>
      </c>
      <c r="G44" s="3" t="s">
        <v>50</v>
      </c>
      <c r="H44" s="4">
        <v>307</v>
      </c>
      <c r="I44" s="4">
        <v>300</v>
      </c>
      <c r="J44" s="3" t="s">
        <v>26</v>
      </c>
      <c r="K44" s="4" t="b">
        <v>0</v>
      </c>
      <c r="L44" s="6">
        <v>0.5</v>
      </c>
      <c r="M44" s="6">
        <v>0.5</v>
      </c>
      <c r="N44" s="3" t="s">
        <v>58</v>
      </c>
      <c r="O44" s="3" t="s">
        <v>99</v>
      </c>
      <c r="P44" s="3" t="s">
        <v>118</v>
      </c>
      <c r="Q44" s="3" t="s">
        <v>1223</v>
      </c>
      <c r="R44" s="3" t="s">
        <v>1074</v>
      </c>
      <c r="S44" s="3" t="s">
        <v>1006</v>
      </c>
      <c r="T44" s="3" t="s">
        <v>1007</v>
      </c>
      <c r="U44" s="11" t="s">
        <v>1224</v>
      </c>
      <c r="V44" s="11" t="s">
        <v>1127</v>
      </c>
      <c r="W44" s="11" t="s">
        <v>1128</v>
      </c>
      <c r="X44" s="13">
        <v>1</v>
      </c>
      <c r="Y44" s="12"/>
      <c r="Z44" s="11"/>
      <c r="AA44" s="11"/>
      <c r="AB44" s="11"/>
      <c r="AC44" s="11">
        <v>0</v>
      </c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 t="s">
        <v>1019</v>
      </c>
      <c r="AO44" s="11" t="s">
        <v>1226</v>
      </c>
      <c r="AP44" s="11" t="s">
        <v>1114</v>
      </c>
      <c r="AQ44" s="11"/>
      <c r="AR44" s="11" t="s">
        <v>1034</v>
      </c>
      <c r="AS44" s="11"/>
      <c r="AT44" s="11" t="s">
        <v>1034</v>
      </c>
      <c r="AU44" s="11"/>
      <c r="AV44" s="11"/>
      <c r="AW44" s="12">
        <v>1</v>
      </c>
      <c r="AX44" s="12">
        <v>1</v>
      </c>
      <c r="AY44" s="12">
        <v>1</v>
      </c>
      <c r="AZ44" s="12"/>
      <c r="BA44" s="12"/>
      <c r="BB44" s="12"/>
      <c r="BC44" s="12"/>
      <c r="BD44" s="11" t="s">
        <v>1115</v>
      </c>
      <c r="BE44" s="11" t="s">
        <v>1116</v>
      </c>
    </row>
    <row r="45" spans="1:57" s="8" customFormat="1" ht="72.5" x14ac:dyDescent="0.35">
      <c r="A45" s="7" t="s">
        <v>20</v>
      </c>
      <c r="B45" s="7" t="s">
        <v>21</v>
      </c>
      <c r="C45" s="3" t="s">
        <v>119</v>
      </c>
      <c r="D45" s="3" t="s">
        <v>45</v>
      </c>
      <c r="E45" s="3"/>
      <c r="F45" s="3" t="s">
        <v>46</v>
      </c>
      <c r="G45" s="3" t="s">
        <v>50</v>
      </c>
      <c r="H45" s="4">
        <v>480</v>
      </c>
      <c r="I45" s="4">
        <v>200</v>
      </c>
      <c r="J45" s="3" t="s">
        <v>26</v>
      </c>
      <c r="K45" s="4" t="b">
        <v>0</v>
      </c>
      <c r="L45" s="6">
        <v>1</v>
      </c>
      <c r="M45" s="6">
        <v>0.66666666666666596</v>
      </c>
      <c r="N45" s="3" t="s">
        <v>47</v>
      </c>
      <c r="O45" s="3" t="s">
        <v>90</v>
      </c>
      <c r="P45" s="3" t="s">
        <v>120</v>
      </c>
      <c r="Q45" s="3" t="s">
        <v>1231</v>
      </c>
      <c r="R45" s="3" t="s">
        <v>1029</v>
      </c>
      <c r="S45" s="3" t="s">
        <v>1006</v>
      </c>
      <c r="T45" s="3" t="s">
        <v>1007</v>
      </c>
      <c r="U45" s="11" t="s">
        <v>1232</v>
      </c>
      <c r="V45" s="11" t="s">
        <v>1031</v>
      </c>
      <c r="W45" s="11" t="s">
        <v>1032</v>
      </c>
      <c r="X45" s="13">
        <v>0.7</v>
      </c>
      <c r="Y45" s="12"/>
      <c r="Z45" s="11"/>
      <c r="AA45" s="11"/>
      <c r="AB45" s="11"/>
      <c r="AC45" s="11">
        <v>0</v>
      </c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 t="s">
        <v>1019</v>
      </c>
      <c r="AO45" s="11" t="s">
        <v>1233</v>
      </c>
      <c r="AP45" s="11" t="s">
        <v>1114</v>
      </c>
      <c r="AQ45" s="11"/>
      <c r="AR45" s="11" t="s">
        <v>1034</v>
      </c>
      <c r="AS45" s="11"/>
      <c r="AT45" s="11" t="s">
        <v>1034</v>
      </c>
      <c r="AU45" s="11"/>
      <c r="AV45" s="11"/>
      <c r="AW45" s="12">
        <v>1</v>
      </c>
      <c r="AX45" s="12">
        <v>1</v>
      </c>
      <c r="AY45" s="12">
        <v>1</v>
      </c>
      <c r="AZ45" s="12"/>
      <c r="BA45" s="12"/>
      <c r="BB45" s="12"/>
      <c r="BC45" s="12"/>
      <c r="BD45" s="11" t="s">
        <v>1115</v>
      </c>
      <c r="BE45" s="11" t="s">
        <v>1116</v>
      </c>
    </row>
    <row r="46" spans="1:57" s="8" customFormat="1" ht="319" x14ac:dyDescent="0.35">
      <c r="A46" s="7" t="s">
        <v>20</v>
      </c>
      <c r="B46" s="7" t="s">
        <v>21</v>
      </c>
      <c r="C46" s="3" t="s">
        <v>121</v>
      </c>
      <c r="D46" s="3" t="s">
        <v>122</v>
      </c>
      <c r="E46" s="3"/>
      <c r="F46" s="3" t="s">
        <v>53</v>
      </c>
      <c r="G46" s="3" t="s">
        <v>50</v>
      </c>
      <c r="H46" s="4">
        <v>632</v>
      </c>
      <c r="I46" s="4">
        <v>150</v>
      </c>
      <c r="J46" s="3" t="s">
        <v>26</v>
      </c>
      <c r="K46" s="4" t="b">
        <v>1</v>
      </c>
      <c r="L46" s="6">
        <v>1</v>
      </c>
      <c r="M46" s="6">
        <v>1</v>
      </c>
      <c r="N46" s="3" t="s">
        <v>123</v>
      </c>
      <c r="O46" s="3"/>
      <c r="P46" s="3" t="s">
        <v>124</v>
      </c>
      <c r="Q46" s="3" t="s">
        <v>1234</v>
      </c>
      <c r="R46" s="3" t="s">
        <v>1235</v>
      </c>
      <c r="S46" s="3" t="s">
        <v>1006</v>
      </c>
      <c r="T46" s="3" t="s">
        <v>1007</v>
      </c>
      <c r="U46" s="11" t="s">
        <v>1236</v>
      </c>
      <c r="V46" s="11" t="s">
        <v>1009</v>
      </c>
      <c r="W46" s="11" t="s">
        <v>1010</v>
      </c>
      <c r="X46" s="13">
        <v>0.59</v>
      </c>
      <c r="Y46" s="12"/>
      <c r="Z46" s="11" t="s">
        <v>1237</v>
      </c>
      <c r="AA46" s="11"/>
      <c r="AB46" s="11"/>
      <c r="AC46" s="11">
        <v>2</v>
      </c>
      <c r="AD46" s="11" t="s">
        <v>1238</v>
      </c>
      <c r="AE46" s="11" t="s">
        <v>1239</v>
      </c>
      <c r="AF46" s="11" t="s">
        <v>1014</v>
      </c>
      <c r="AG46" s="11" t="s">
        <v>1015</v>
      </c>
      <c r="AH46" s="11" t="s">
        <v>123</v>
      </c>
      <c r="AI46" s="11" t="s">
        <v>1016</v>
      </c>
      <c r="AJ46" s="11"/>
      <c r="AK46" s="11" t="s">
        <v>1240</v>
      </c>
      <c r="AL46" s="11" t="s">
        <v>1017</v>
      </c>
      <c r="AM46" s="11" t="s">
        <v>1241</v>
      </c>
      <c r="AN46" s="11" t="s">
        <v>1019</v>
      </c>
      <c r="AO46" s="11" t="s">
        <v>1242</v>
      </c>
      <c r="AP46" s="11" t="s">
        <v>1021</v>
      </c>
      <c r="AQ46" s="11" t="s">
        <v>1243</v>
      </c>
      <c r="AR46" s="11" t="s">
        <v>1048</v>
      </c>
      <c r="AS46" s="11" t="s">
        <v>1244</v>
      </c>
      <c r="AT46" s="11" t="s">
        <v>1023</v>
      </c>
      <c r="AU46" s="11" t="s">
        <v>1245</v>
      </c>
      <c r="AV46" s="11" t="s">
        <v>1244</v>
      </c>
      <c r="AW46" s="12">
        <v>3</v>
      </c>
      <c r="AX46" s="12">
        <v>2</v>
      </c>
      <c r="AY46" s="12">
        <v>2</v>
      </c>
      <c r="AZ46" s="12">
        <v>1</v>
      </c>
      <c r="BA46" s="12">
        <v>2</v>
      </c>
      <c r="BB46" s="12">
        <v>3</v>
      </c>
      <c r="BC46" s="12">
        <v>22</v>
      </c>
      <c r="BD46" s="11" t="s">
        <v>1026</v>
      </c>
      <c r="BE46" s="11" t="s">
        <v>1027</v>
      </c>
    </row>
    <row r="47" spans="1:57" s="8" customFormat="1" ht="72.5" x14ac:dyDescent="0.35">
      <c r="A47" s="7" t="s">
        <v>20</v>
      </c>
      <c r="B47" s="7" t="s">
        <v>21</v>
      </c>
      <c r="C47" s="3" t="s">
        <v>125</v>
      </c>
      <c r="D47" s="3" t="s">
        <v>57</v>
      </c>
      <c r="E47" s="3"/>
      <c r="F47" s="3" t="s">
        <v>53</v>
      </c>
      <c r="G47" s="3" t="s">
        <v>50</v>
      </c>
      <c r="H47" s="4">
        <v>336</v>
      </c>
      <c r="I47" s="4">
        <v>300</v>
      </c>
      <c r="J47" s="3" t="s">
        <v>26</v>
      </c>
      <c r="K47" s="4" t="b">
        <v>0</v>
      </c>
      <c r="L47" s="6">
        <v>0.33333333333333298</v>
      </c>
      <c r="M47" s="6">
        <v>0.33333333333333298</v>
      </c>
      <c r="N47" s="3" t="s">
        <v>58</v>
      </c>
      <c r="O47" s="3" t="s">
        <v>59</v>
      </c>
      <c r="P47" s="3" t="s">
        <v>126</v>
      </c>
      <c r="Q47" s="3" t="s">
        <v>1246</v>
      </c>
      <c r="R47" s="3" t="s">
        <v>1074</v>
      </c>
      <c r="S47" s="3" t="s">
        <v>1006</v>
      </c>
      <c r="T47" s="3" t="s">
        <v>1007</v>
      </c>
      <c r="U47" s="11" t="s">
        <v>1247</v>
      </c>
      <c r="V47" s="11" t="s">
        <v>1127</v>
      </c>
      <c r="W47" s="11" t="s">
        <v>1128</v>
      </c>
      <c r="X47" s="13">
        <v>1</v>
      </c>
      <c r="Y47" s="12"/>
      <c r="Z47" s="11"/>
      <c r="AA47" s="11"/>
      <c r="AB47" s="11"/>
      <c r="AC47" s="11">
        <v>0</v>
      </c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 t="s">
        <v>1019</v>
      </c>
      <c r="AO47" s="11" t="s">
        <v>1248</v>
      </c>
      <c r="AP47" s="11" t="s">
        <v>1114</v>
      </c>
      <c r="AQ47" s="11"/>
      <c r="AR47" s="11" t="s">
        <v>1034</v>
      </c>
      <c r="AS47" s="11"/>
      <c r="AT47" s="11" t="s">
        <v>1034</v>
      </c>
      <c r="AU47" s="11"/>
      <c r="AV47" s="11"/>
      <c r="AW47" s="12">
        <v>1</v>
      </c>
      <c r="AX47" s="12">
        <v>1</v>
      </c>
      <c r="AY47" s="12">
        <v>1</v>
      </c>
      <c r="AZ47" s="12"/>
      <c r="BA47" s="12"/>
      <c r="BB47" s="12"/>
      <c r="BC47" s="12"/>
      <c r="BD47" s="11" t="s">
        <v>1115</v>
      </c>
      <c r="BE47" s="11" t="s">
        <v>1116</v>
      </c>
    </row>
    <row r="48" spans="1:57" s="8" customFormat="1" ht="72.5" x14ac:dyDescent="0.35">
      <c r="A48" s="7" t="s">
        <v>20</v>
      </c>
      <c r="B48" s="7" t="s">
        <v>21</v>
      </c>
      <c r="C48" s="3" t="s">
        <v>127</v>
      </c>
      <c r="D48" s="3" t="s">
        <v>57</v>
      </c>
      <c r="E48" s="3"/>
      <c r="F48" s="3" t="s">
        <v>53</v>
      </c>
      <c r="G48" s="3" t="s">
        <v>50</v>
      </c>
      <c r="H48" s="4">
        <v>328</v>
      </c>
      <c r="I48" s="4">
        <v>300</v>
      </c>
      <c r="J48" s="3" t="s">
        <v>26</v>
      </c>
      <c r="K48" s="4" t="b">
        <v>0</v>
      </c>
      <c r="L48" s="6">
        <v>0.33333333333333298</v>
      </c>
      <c r="M48" s="6">
        <v>0.33333333333333298</v>
      </c>
      <c r="N48" s="3" t="s">
        <v>58</v>
      </c>
      <c r="O48" s="3" t="s">
        <v>59</v>
      </c>
      <c r="P48" s="3" t="s">
        <v>128</v>
      </c>
      <c r="Q48" s="3" t="s">
        <v>1249</v>
      </c>
      <c r="R48" s="3" t="s">
        <v>1074</v>
      </c>
      <c r="S48" s="3" t="s">
        <v>1006</v>
      </c>
      <c r="T48" s="3" t="s">
        <v>1007</v>
      </c>
      <c r="U48" s="11" t="s">
        <v>1250</v>
      </c>
      <c r="V48" s="11" t="s">
        <v>1064</v>
      </c>
      <c r="W48" s="11" t="s">
        <v>1065</v>
      </c>
      <c r="X48" s="13">
        <v>1</v>
      </c>
      <c r="Y48" s="12"/>
      <c r="Z48" s="11"/>
      <c r="AA48" s="11"/>
      <c r="AB48" s="11"/>
      <c r="AC48" s="11">
        <v>0</v>
      </c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 t="s">
        <v>1019</v>
      </c>
      <c r="AO48" s="11" t="s">
        <v>1251</v>
      </c>
      <c r="AP48" s="11" t="s">
        <v>1114</v>
      </c>
      <c r="AQ48" s="11"/>
      <c r="AR48" s="11" t="s">
        <v>1034</v>
      </c>
      <c r="AS48" s="11"/>
      <c r="AT48" s="11" t="s">
        <v>1034</v>
      </c>
      <c r="AU48" s="11"/>
      <c r="AV48" s="11"/>
      <c r="AW48" s="12">
        <v>1</v>
      </c>
      <c r="AX48" s="12">
        <v>1</v>
      </c>
      <c r="AY48" s="12">
        <v>1</v>
      </c>
      <c r="AZ48" s="12"/>
      <c r="BA48" s="12"/>
      <c r="BB48" s="12"/>
      <c r="BC48" s="12"/>
      <c r="BD48" s="11" t="s">
        <v>1115</v>
      </c>
      <c r="BE48" s="11" t="s">
        <v>1116</v>
      </c>
    </row>
    <row r="49" spans="1:57" s="8" customFormat="1" ht="58" x14ac:dyDescent="0.35">
      <c r="A49" s="7" t="s">
        <v>20</v>
      </c>
      <c r="B49" s="7" t="s">
        <v>21</v>
      </c>
      <c r="C49" s="3" t="s">
        <v>129</v>
      </c>
      <c r="D49" s="3" t="s">
        <v>130</v>
      </c>
      <c r="E49" s="3" t="s">
        <v>130</v>
      </c>
      <c r="F49" s="3" t="s">
        <v>24</v>
      </c>
      <c r="G49" s="3" t="s">
        <v>25</v>
      </c>
      <c r="H49" s="4">
        <v>852</v>
      </c>
      <c r="I49" s="4">
        <v>400</v>
      </c>
      <c r="J49" s="3" t="s">
        <v>26</v>
      </c>
      <c r="K49" s="4" t="b">
        <v>1</v>
      </c>
      <c r="L49" s="6">
        <v>1</v>
      </c>
      <c r="M49" s="6">
        <v>1</v>
      </c>
      <c r="N49" s="3" t="s">
        <v>131</v>
      </c>
      <c r="O49" s="3"/>
      <c r="P49" s="3" t="s">
        <v>132</v>
      </c>
      <c r="Q49" s="3" t="s">
        <v>1252</v>
      </c>
      <c r="R49" s="3" t="s">
        <v>1029</v>
      </c>
      <c r="S49" s="3" t="s">
        <v>1006</v>
      </c>
      <c r="T49" s="3" t="s">
        <v>1007</v>
      </c>
      <c r="U49" s="11" t="s">
        <v>1253</v>
      </c>
      <c r="V49" s="11" t="s">
        <v>1064</v>
      </c>
      <c r="W49" s="11" t="s">
        <v>1065</v>
      </c>
      <c r="X49" s="13">
        <v>1</v>
      </c>
      <c r="Y49" s="12"/>
      <c r="Z49" s="11"/>
      <c r="AA49" s="11"/>
      <c r="AB49" s="11"/>
      <c r="AC49" s="11">
        <v>0</v>
      </c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 t="s">
        <v>1019</v>
      </c>
      <c r="AO49" s="11" t="s">
        <v>1254</v>
      </c>
      <c r="AP49" s="11" t="s">
        <v>1021</v>
      </c>
      <c r="AQ49" s="11" t="s">
        <v>1255</v>
      </c>
      <c r="AR49" s="11" t="s">
        <v>1048</v>
      </c>
      <c r="AS49" s="11" t="s">
        <v>1256</v>
      </c>
      <c r="AT49" s="11" t="s">
        <v>1050</v>
      </c>
      <c r="AU49" s="11" t="s">
        <v>1255</v>
      </c>
      <c r="AV49" s="11" t="s">
        <v>1256</v>
      </c>
      <c r="AW49" s="12">
        <v>1</v>
      </c>
      <c r="AX49" s="12">
        <v>1</v>
      </c>
      <c r="AY49" s="12">
        <v>1</v>
      </c>
      <c r="AZ49" s="12">
        <v>1</v>
      </c>
      <c r="BA49" s="12">
        <v>3</v>
      </c>
      <c r="BB49" s="12">
        <v>1</v>
      </c>
      <c r="BC49" s="12">
        <v>1</v>
      </c>
      <c r="BD49" s="11" t="s">
        <v>1026</v>
      </c>
      <c r="BE49" s="11" t="s">
        <v>1051</v>
      </c>
    </row>
    <row r="50" spans="1:57" s="8" customFormat="1" ht="58" x14ac:dyDescent="0.35">
      <c r="A50" s="7" t="s">
        <v>20</v>
      </c>
      <c r="B50" s="7" t="s">
        <v>21</v>
      </c>
      <c r="C50" s="3" t="s">
        <v>133</v>
      </c>
      <c r="D50" s="3" t="s">
        <v>57</v>
      </c>
      <c r="E50" s="3"/>
      <c r="F50" s="3" t="s">
        <v>53</v>
      </c>
      <c r="G50" s="3" t="s">
        <v>50</v>
      </c>
      <c r="H50" s="4">
        <v>377</v>
      </c>
      <c r="I50" s="4">
        <v>300</v>
      </c>
      <c r="J50" s="3" t="s">
        <v>26</v>
      </c>
      <c r="K50" s="4" t="b">
        <v>0</v>
      </c>
      <c r="L50" s="6">
        <v>0.33333333333333298</v>
      </c>
      <c r="M50" s="6">
        <v>0.33333333333333298</v>
      </c>
      <c r="N50" s="3" t="s">
        <v>58</v>
      </c>
      <c r="O50" s="3" t="s">
        <v>59</v>
      </c>
      <c r="P50" s="3" t="s">
        <v>134</v>
      </c>
      <c r="Q50" s="3" t="s">
        <v>1257</v>
      </c>
      <c r="R50" s="3" t="s">
        <v>1074</v>
      </c>
      <c r="S50" s="3" t="s">
        <v>1006</v>
      </c>
      <c r="T50" s="3" t="s">
        <v>1007</v>
      </c>
      <c r="U50" s="11" t="s">
        <v>1258</v>
      </c>
      <c r="V50" s="11" t="s">
        <v>1031</v>
      </c>
      <c r="W50" s="11" t="s">
        <v>1032</v>
      </c>
      <c r="X50" s="13">
        <v>0.7</v>
      </c>
      <c r="Y50" s="12"/>
      <c r="Z50" s="11"/>
      <c r="AA50" s="11"/>
      <c r="AB50" s="11"/>
      <c r="AC50" s="11">
        <v>0</v>
      </c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 t="s">
        <v>1019</v>
      </c>
      <c r="AO50" s="11" t="s">
        <v>1259</v>
      </c>
      <c r="AP50" s="11" t="s">
        <v>1021</v>
      </c>
      <c r="AQ50" s="11" t="s">
        <v>1260</v>
      </c>
      <c r="AR50" s="11" t="s">
        <v>1023</v>
      </c>
      <c r="AS50" s="11" t="s">
        <v>1261</v>
      </c>
      <c r="AT50" s="11" t="s">
        <v>1025</v>
      </c>
      <c r="AU50" s="11" t="s">
        <v>1260</v>
      </c>
      <c r="AV50" s="11" t="s">
        <v>1261</v>
      </c>
      <c r="AW50" s="12">
        <v>3</v>
      </c>
      <c r="AX50" s="12">
        <v>3</v>
      </c>
      <c r="AY50" s="12">
        <v>4</v>
      </c>
      <c r="AZ50" s="12">
        <v>3</v>
      </c>
      <c r="BA50" s="12">
        <v>2</v>
      </c>
      <c r="BB50" s="12">
        <v>3</v>
      </c>
      <c r="BC50" s="12">
        <v>1</v>
      </c>
      <c r="BD50" s="11" t="s">
        <v>1026</v>
      </c>
      <c r="BE50" s="11" t="s">
        <v>1027</v>
      </c>
    </row>
    <row r="51" spans="1:57" s="8" customFormat="1" ht="72.5" x14ac:dyDescent="0.35">
      <c r="A51" s="7" t="s">
        <v>20</v>
      </c>
      <c r="B51" s="7" t="s">
        <v>21</v>
      </c>
      <c r="C51" s="3" t="s">
        <v>135</v>
      </c>
      <c r="D51" s="3" t="s">
        <v>57</v>
      </c>
      <c r="E51" s="3"/>
      <c r="F51" s="3" t="s">
        <v>53</v>
      </c>
      <c r="G51" s="3" t="s">
        <v>50</v>
      </c>
      <c r="H51" s="4">
        <v>801</v>
      </c>
      <c r="I51" s="4">
        <v>300</v>
      </c>
      <c r="J51" s="3" t="s">
        <v>26</v>
      </c>
      <c r="K51" s="4" t="b">
        <v>0</v>
      </c>
      <c r="L51" s="6">
        <v>0.66666666666666596</v>
      </c>
      <c r="M51" s="6">
        <v>0.66666666666666596</v>
      </c>
      <c r="N51" s="3" t="s">
        <v>136</v>
      </c>
      <c r="O51" s="3" t="s">
        <v>137</v>
      </c>
      <c r="P51" s="3" t="s">
        <v>138</v>
      </c>
      <c r="Q51" s="3" t="s">
        <v>1262</v>
      </c>
      <c r="R51" s="3" t="s">
        <v>1029</v>
      </c>
      <c r="S51" s="3" t="s">
        <v>1006</v>
      </c>
      <c r="T51" s="3" t="s">
        <v>1007</v>
      </c>
      <c r="U51" s="11" t="s">
        <v>1263</v>
      </c>
      <c r="V51" s="11" t="s">
        <v>1009</v>
      </c>
      <c r="W51" s="11" t="s">
        <v>1010</v>
      </c>
      <c r="X51" s="13">
        <v>0.77</v>
      </c>
      <c r="Y51" s="12"/>
      <c r="Z51" s="11" t="s">
        <v>1264</v>
      </c>
      <c r="AA51" s="11"/>
      <c r="AB51" s="11"/>
      <c r="AC51" s="11">
        <v>0</v>
      </c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 t="s">
        <v>1019</v>
      </c>
      <c r="AO51" s="11" t="s">
        <v>1265</v>
      </c>
      <c r="AP51" s="11" t="s">
        <v>1114</v>
      </c>
      <c r="AQ51" s="11"/>
      <c r="AR51" s="11" t="s">
        <v>1034</v>
      </c>
      <c r="AS51" s="11"/>
      <c r="AT51" s="11" t="s">
        <v>1034</v>
      </c>
      <c r="AU51" s="11"/>
      <c r="AV51" s="11"/>
      <c r="AW51" s="12">
        <v>1</v>
      </c>
      <c r="AX51" s="12">
        <v>1</v>
      </c>
      <c r="AY51" s="12">
        <v>1</v>
      </c>
      <c r="AZ51" s="12"/>
      <c r="BA51" s="12"/>
      <c r="BB51" s="12"/>
      <c r="BC51" s="12"/>
      <c r="BD51" s="11" t="s">
        <v>1115</v>
      </c>
      <c r="BE51" s="11" t="s">
        <v>1116</v>
      </c>
    </row>
    <row r="52" spans="1:57" s="8" customFormat="1" ht="72.5" x14ac:dyDescent="0.35">
      <c r="A52" s="7" t="s">
        <v>20</v>
      </c>
      <c r="B52" s="7" t="s">
        <v>21</v>
      </c>
      <c r="C52" s="3" t="s">
        <v>135</v>
      </c>
      <c r="D52" s="3" t="s">
        <v>98</v>
      </c>
      <c r="E52" s="3"/>
      <c r="F52" s="3" t="s">
        <v>53</v>
      </c>
      <c r="G52" s="3" t="s">
        <v>50</v>
      </c>
      <c r="H52" s="4">
        <v>801</v>
      </c>
      <c r="I52" s="4">
        <v>300</v>
      </c>
      <c r="J52" s="3" t="s">
        <v>26</v>
      </c>
      <c r="K52" s="4" t="b">
        <v>0</v>
      </c>
      <c r="L52" s="6">
        <v>0.5</v>
      </c>
      <c r="M52" s="6">
        <v>0.5</v>
      </c>
      <c r="N52" s="3" t="s">
        <v>58</v>
      </c>
      <c r="O52" s="3" t="s">
        <v>99</v>
      </c>
      <c r="P52" s="3" t="s">
        <v>138</v>
      </c>
      <c r="Q52" s="3" t="s">
        <v>1262</v>
      </c>
      <c r="R52" s="3" t="s">
        <v>1029</v>
      </c>
      <c r="S52" s="3" t="s">
        <v>1006</v>
      </c>
      <c r="T52" s="3" t="s">
        <v>1007</v>
      </c>
      <c r="U52" s="11" t="s">
        <v>1263</v>
      </c>
      <c r="V52" s="11" t="s">
        <v>1009</v>
      </c>
      <c r="W52" s="11" t="s">
        <v>1010</v>
      </c>
      <c r="X52" s="13">
        <v>0.77</v>
      </c>
      <c r="Y52" s="12"/>
      <c r="Z52" s="11" t="s">
        <v>1264</v>
      </c>
      <c r="AA52" s="11"/>
      <c r="AB52" s="11"/>
      <c r="AC52" s="11">
        <v>0</v>
      </c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 t="s">
        <v>1019</v>
      </c>
      <c r="AO52" s="11" t="s">
        <v>1265</v>
      </c>
      <c r="AP52" s="11" t="s">
        <v>1114</v>
      </c>
      <c r="AQ52" s="11"/>
      <c r="AR52" s="11" t="s">
        <v>1034</v>
      </c>
      <c r="AS52" s="11"/>
      <c r="AT52" s="11" t="s">
        <v>1034</v>
      </c>
      <c r="AU52" s="11"/>
      <c r="AV52" s="11"/>
      <c r="AW52" s="12">
        <v>1</v>
      </c>
      <c r="AX52" s="12">
        <v>1</v>
      </c>
      <c r="AY52" s="12">
        <v>1</v>
      </c>
      <c r="AZ52" s="12"/>
      <c r="BA52" s="12"/>
      <c r="BB52" s="12"/>
      <c r="BC52" s="12"/>
      <c r="BD52" s="11" t="s">
        <v>1115</v>
      </c>
      <c r="BE52" s="11" t="s">
        <v>1116</v>
      </c>
    </row>
    <row r="53" spans="1:57" s="8" customFormat="1" ht="58" x14ac:dyDescent="0.35">
      <c r="A53" s="7" t="s">
        <v>20</v>
      </c>
      <c r="B53" s="7" t="s">
        <v>21</v>
      </c>
      <c r="C53" s="3" t="s">
        <v>139</v>
      </c>
      <c r="D53" s="3" t="s">
        <v>57</v>
      </c>
      <c r="E53" s="3"/>
      <c r="F53" s="3" t="s">
        <v>53</v>
      </c>
      <c r="G53" s="3" t="s">
        <v>50</v>
      </c>
      <c r="H53" s="4">
        <v>528</v>
      </c>
      <c r="I53" s="4">
        <v>300</v>
      </c>
      <c r="J53" s="3" t="s">
        <v>26</v>
      </c>
      <c r="K53" s="4" t="b">
        <v>0</v>
      </c>
      <c r="L53" s="6">
        <v>0.33333333333333298</v>
      </c>
      <c r="M53" s="6">
        <v>0.33333333333333298</v>
      </c>
      <c r="N53" s="3" t="s">
        <v>58</v>
      </c>
      <c r="O53" s="3" t="s">
        <v>59</v>
      </c>
      <c r="P53" s="3" t="s">
        <v>140</v>
      </c>
      <c r="Q53" s="3" t="s">
        <v>1266</v>
      </c>
      <c r="R53" s="3" t="s">
        <v>1029</v>
      </c>
      <c r="S53" s="3" t="s">
        <v>1006</v>
      </c>
      <c r="T53" s="3" t="s">
        <v>1007</v>
      </c>
      <c r="U53" s="11" t="s">
        <v>1267</v>
      </c>
      <c r="V53" s="11" t="s">
        <v>1031</v>
      </c>
      <c r="W53" s="11" t="s">
        <v>1032</v>
      </c>
      <c r="X53" s="13">
        <v>0.7</v>
      </c>
      <c r="Y53" s="12"/>
      <c r="Z53" s="11"/>
      <c r="AA53" s="11"/>
      <c r="AB53" s="11"/>
      <c r="AC53" s="11">
        <v>0</v>
      </c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 t="s">
        <v>1019</v>
      </c>
      <c r="AO53" s="11" t="s">
        <v>1268</v>
      </c>
      <c r="AP53" s="11" t="s">
        <v>1021</v>
      </c>
      <c r="AQ53" s="11" t="s">
        <v>1269</v>
      </c>
      <c r="AR53" s="11" t="s">
        <v>1048</v>
      </c>
      <c r="AS53" s="11" t="s">
        <v>1270</v>
      </c>
      <c r="AT53" s="11" t="s">
        <v>1050</v>
      </c>
      <c r="AU53" s="11" t="s">
        <v>1269</v>
      </c>
      <c r="AV53" s="11" t="s">
        <v>1270</v>
      </c>
      <c r="AW53" s="12">
        <v>1</v>
      </c>
      <c r="AX53" s="12">
        <v>1</v>
      </c>
      <c r="AY53" s="12">
        <v>1</v>
      </c>
      <c r="AZ53" s="12">
        <v>1</v>
      </c>
      <c r="BA53" s="12">
        <v>4</v>
      </c>
      <c r="BB53" s="12">
        <v>1</v>
      </c>
      <c r="BC53" s="12">
        <v>1</v>
      </c>
      <c r="BD53" s="11" t="s">
        <v>1026</v>
      </c>
      <c r="BE53" s="11" t="s">
        <v>1051</v>
      </c>
    </row>
    <row r="54" spans="1:57" s="8" customFormat="1" ht="58" x14ac:dyDescent="0.35">
      <c r="A54" s="7" t="s">
        <v>20</v>
      </c>
      <c r="B54" s="7" t="s">
        <v>21</v>
      </c>
      <c r="C54" s="3" t="s">
        <v>141</v>
      </c>
      <c r="D54" s="3" t="s">
        <v>57</v>
      </c>
      <c r="E54" s="3"/>
      <c r="F54" s="3" t="s">
        <v>53</v>
      </c>
      <c r="G54" s="3" t="s">
        <v>50</v>
      </c>
      <c r="H54" s="4">
        <v>678</v>
      </c>
      <c r="I54" s="4">
        <v>300</v>
      </c>
      <c r="J54" s="3" t="s">
        <v>26</v>
      </c>
      <c r="K54" s="4" t="b">
        <v>0</v>
      </c>
      <c r="L54" s="6">
        <v>0.33333333333333298</v>
      </c>
      <c r="M54" s="6">
        <v>0.33333333333333298</v>
      </c>
      <c r="N54" s="3" t="s">
        <v>58</v>
      </c>
      <c r="O54" s="3" t="s">
        <v>59</v>
      </c>
      <c r="P54" s="3" t="s">
        <v>142</v>
      </c>
      <c r="Q54" s="3" t="s">
        <v>1271</v>
      </c>
      <c r="R54" s="3" t="s">
        <v>1029</v>
      </c>
      <c r="S54" s="3" t="s">
        <v>1006</v>
      </c>
      <c r="T54" s="3" t="s">
        <v>1007</v>
      </c>
      <c r="U54" s="11" t="s">
        <v>1272</v>
      </c>
      <c r="V54" s="11" t="s">
        <v>1064</v>
      </c>
      <c r="W54" s="11" t="s">
        <v>1065</v>
      </c>
      <c r="X54" s="13">
        <v>1</v>
      </c>
      <c r="Y54" s="12"/>
      <c r="Z54" s="11"/>
      <c r="AA54" s="11"/>
      <c r="AB54" s="11"/>
      <c r="AC54" s="11">
        <v>1</v>
      </c>
      <c r="AD54" s="11" t="s">
        <v>1227</v>
      </c>
      <c r="AE54" s="11" t="s">
        <v>1273</v>
      </c>
      <c r="AF54" s="11" t="s">
        <v>1014</v>
      </c>
      <c r="AG54" s="11" t="s">
        <v>1015</v>
      </c>
      <c r="AH54" s="11"/>
      <c r="AI54" s="11" t="s">
        <v>1016</v>
      </c>
      <c r="AJ54" s="11"/>
      <c r="AK54" s="11" t="s">
        <v>1229</v>
      </c>
      <c r="AL54" s="11" t="s">
        <v>1017</v>
      </c>
      <c r="AM54" s="11" t="s">
        <v>1230</v>
      </c>
      <c r="AN54" s="11" t="s">
        <v>1019</v>
      </c>
      <c r="AO54" s="11" t="s">
        <v>1274</v>
      </c>
      <c r="AP54" s="11" t="s">
        <v>1021</v>
      </c>
      <c r="AQ54" s="11" t="s">
        <v>1275</v>
      </c>
      <c r="AR54" s="11" t="s">
        <v>1023</v>
      </c>
      <c r="AS54" s="11" t="s">
        <v>1276</v>
      </c>
      <c r="AT54" s="11" t="s">
        <v>1025</v>
      </c>
      <c r="AU54" s="11" t="s">
        <v>1275</v>
      </c>
      <c r="AV54" s="11" t="s">
        <v>1276</v>
      </c>
      <c r="AW54" s="12">
        <v>2</v>
      </c>
      <c r="AX54" s="12">
        <v>1</v>
      </c>
      <c r="AY54" s="12">
        <v>2</v>
      </c>
      <c r="AZ54" s="12">
        <v>2</v>
      </c>
      <c r="BA54" s="12">
        <v>3</v>
      </c>
      <c r="BB54" s="12">
        <v>2</v>
      </c>
      <c r="BC54" s="12">
        <v>1</v>
      </c>
      <c r="BD54" s="11" t="s">
        <v>1026</v>
      </c>
      <c r="BE54" s="11" t="s">
        <v>1027</v>
      </c>
    </row>
    <row r="55" spans="1:57" s="8" customFormat="1" ht="58" x14ac:dyDescent="0.35">
      <c r="A55" s="7" t="s">
        <v>20</v>
      </c>
      <c r="B55" s="7" t="s">
        <v>21</v>
      </c>
      <c r="C55" s="3" t="s">
        <v>143</v>
      </c>
      <c r="D55" s="3" t="s">
        <v>57</v>
      </c>
      <c r="E55" s="3"/>
      <c r="F55" s="3" t="s">
        <v>53</v>
      </c>
      <c r="G55" s="3" t="s">
        <v>50</v>
      </c>
      <c r="H55" s="4">
        <v>818</v>
      </c>
      <c r="I55" s="4">
        <v>300</v>
      </c>
      <c r="J55" s="3" t="s">
        <v>26</v>
      </c>
      <c r="K55" s="4" t="b">
        <v>0</v>
      </c>
      <c r="L55" s="6">
        <v>0.33333333333333298</v>
      </c>
      <c r="M55" s="6">
        <v>0.33333333333333298</v>
      </c>
      <c r="N55" s="3" t="s">
        <v>58</v>
      </c>
      <c r="O55" s="3" t="s">
        <v>59</v>
      </c>
      <c r="P55" s="3" t="s">
        <v>144</v>
      </c>
      <c r="Q55" s="3" t="s">
        <v>1277</v>
      </c>
      <c r="R55" s="3" t="s">
        <v>1074</v>
      </c>
      <c r="S55" s="3" t="s">
        <v>1006</v>
      </c>
      <c r="T55" s="3" t="s">
        <v>1007</v>
      </c>
      <c r="U55" s="11" t="s">
        <v>1278</v>
      </c>
      <c r="V55" s="11" t="s">
        <v>1096</v>
      </c>
      <c r="W55" s="11" t="s">
        <v>1097</v>
      </c>
      <c r="X55" s="13">
        <v>0.76</v>
      </c>
      <c r="Y55" s="12"/>
      <c r="Z55" s="11" t="s">
        <v>1279</v>
      </c>
      <c r="AA55" s="11"/>
      <c r="AB55" s="11"/>
      <c r="AC55" s="11">
        <v>1</v>
      </c>
      <c r="AD55" s="11" t="s">
        <v>1227</v>
      </c>
      <c r="AE55" s="11" t="s">
        <v>1280</v>
      </c>
      <c r="AF55" s="11" t="s">
        <v>1014</v>
      </c>
      <c r="AG55" s="11" t="s">
        <v>1015</v>
      </c>
      <c r="AH55" s="11"/>
      <c r="AI55" s="11" t="s">
        <v>1016</v>
      </c>
      <c r="AJ55" s="11"/>
      <c r="AK55" s="11" t="s">
        <v>1229</v>
      </c>
      <c r="AL55" s="11" t="s">
        <v>1017</v>
      </c>
      <c r="AM55" s="11" t="s">
        <v>1230</v>
      </c>
      <c r="AN55" s="11" t="s">
        <v>1019</v>
      </c>
      <c r="AO55" s="11" t="s">
        <v>1281</v>
      </c>
      <c r="AP55" s="11" t="s">
        <v>1021</v>
      </c>
      <c r="AQ55" s="11" t="s">
        <v>1282</v>
      </c>
      <c r="AR55" s="11" t="s">
        <v>1048</v>
      </c>
      <c r="AS55" s="11" t="s">
        <v>1283</v>
      </c>
      <c r="AT55" s="11" t="s">
        <v>1050</v>
      </c>
      <c r="AU55" s="11" t="s">
        <v>1282</v>
      </c>
      <c r="AV55" s="11" t="s">
        <v>1283</v>
      </c>
      <c r="AW55" s="12">
        <v>1</v>
      </c>
      <c r="AX55" s="12">
        <v>1</v>
      </c>
      <c r="AY55" s="12">
        <v>1</v>
      </c>
      <c r="AZ55" s="12">
        <v>1</v>
      </c>
      <c r="BA55" s="12">
        <v>2</v>
      </c>
      <c r="BB55" s="12">
        <v>1</v>
      </c>
      <c r="BC55" s="12">
        <v>1</v>
      </c>
      <c r="BD55" s="11" t="s">
        <v>1026</v>
      </c>
      <c r="BE55" s="11" t="s">
        <v>1051</v>
      </c>
    </row>
    <row r="56" spans="1:57" s="8" customFormat="1" ht="58" x14ac:dyDescent="0.35">
      <c r="A56" s="7" t="s">
        <v>20</v>
      </c>
      <c r="B56" s="7" t="s">
        <v>21</v>
      </c>
      <c r="C56" s="3" t="s">
        <v>145</v>
      </c>
      <c r="D56" s="3" t="s">
        <v>57</v>
      </c>
      <c r="E56" s="3"/>
      <c r="F56" s="3" t="s">
        <v>53</v>
      </c>
      <c r="G56" s="3" t="s">
        <v>50</v>
      </c>
      <c r="H56" s="4">
        <v>420</v>
      </c>
      <c r="I56" s="4">
        <v>300</v>
      </c>
      <c r="J56" s="3" t="s">
        <v>26</v>
      </c>
      <c r="K56" s="4" t="b">
        <v>0</v>
      </c>
      <c r="L56" s="6">
        <v>0.33333333333333298</v>
      </c>
      <c r="M56" s="6">
        <v>0.33333333333333298</v>
      </c>
      <c r="N56" s="3" t="s">
        <v>58</v>
      </c>
      <c r="O56" s="3" t="s">
        <v>59</v>
      </c>
      <c r="P56" s="3" t="s">
        <v>146</v>
      </c>
      <c r="Q56" s="3" t="s">
        <v>1284</v>
      </c>
      <c r="R56" s="3" t="s">
        <v>1074</v>
      </c>
      <c r="S56" s="3" t="s">
        <v>1006</v>
      </c>
      <c r="T56" s="3" t="s">
        <v>1007</v>
      </c>
      <c r="U56" s="11" t="s">
        <v>1285</v>
      </c>
      <c r="V56" s="11" t="s">
        <v>1064</v>
      </c>
      <c r="W56" s="11" t="s">
        <v>1065</v>
      </c>
      <c r="X56" s="13">
        <v>1</v>
      </c>
      <c r="Y56" s="12"/>
      <c r="Z56" s="11"/>
      <c r="AA56" s="11"/>
      <c r="AB56" s="11"/>
      <c r="AC56" s="11">
        <v>1</v>
      </c>
      <c r="AD56" s="11" t="s">
        <v>1227</v>
      </c>
      <c r="AE56" s="11" t="s">
        <v>1286</v>
      </c>
      <c r="AF56" s="11" t="s">
        <v>1014</v>
      </c>
      <c r="AG56" s="11" t="s">
        <v>1015</v>
      </c>
      <c r="AH56" s="11" t="s">
        <v>54</v>
      </c>
      <c r="AI56" s="11" t="s">
        <v>1016</v>
      </c>
      <c r="AJ56" s="11"/>
      <c r="AK56" s="11" t="s">
        <v>1229</v>
      </c>
      <c r="AL56" s="11" t="s">
        <v>1017</v>
      </c>
      <c r="AM56" s="11" t="s">
        <v>1230</v>
      </c>
      <c r="AN56" s="11" t="s">
        <v>1019</v>
      </c>
      <c r="AO56" s="11" t="s">
        <v>1176</v>
      </c>
      <c r="AP56" s="11" t="s">
        <v>1021</v>
      </c>
      <c r="AQ56" s="11" t="s">
        <v>1177</v>
      </c>
      <c r="AR56" s="11" t="s">
        <v>1025</v>
      </c>
      <c r="AS56" s="11" t="s">
        <v>1178</v>
      </c>
      <c r="AT56" s="11" t="s">
        <v>1025</v>
      </c>
      <c r="AU56" s="11" t="s">
        <v>1177</v>
      </c>
      <c r="AV56" s="11" t="s">
        <v>1178</v>
      </c>
      <c r="AW56" s="12">
        <v>2</v>
      </c>
      <c r="AX56" s="12">
        <v>2</v>
      </c>
      <c r="AY56" s="12">
        <v>2</v>
      </c>
      <c r="AZ56" s="12">
        <v>2</v>
      </c>
      <c r="BA56" s="12">
        <v>1</v>
      </c>
      <c r="BB56" s="12">
        <v>2</v>
      </c>
      <c r="BC56" s="12">
        <v>1</v>
      </c>
      <c r="BD56" s="11" t="s">
        <v>1026</v>
      </c>
      <c r="BE56" s="11" t="s">
        <v>1027</v>
      </c>
    </row>
    <row r="57" spans="1:57" s="8" customFormat="1" ht="58" x14ac:dyDescent="0.35">
      <c r="A57" s="7" t="s">
        <v>20</v>
      </c>
      <c r="B57" s="7" t="s">
        <v>21</v>
      </c>
      <c r="C57" s="3" t="s">
        <v>147</v>
      </c>
      <c r="D57" s="3" t="s">
        <v>45</v>
      </c>
      <c r="E57" s="3" t="s">
        <v>45</v>
      </c>
      <c r="F57" s="3" t="s">
        <v>46</v>
      </c>
      <c r="G57" s="3" t="s">
        <v>25</v>
      </c>
      <c r="H57" s="4">
        <v>285</v>
      </c>
      <c r="I57" s="4">
        <v>200</v>
      </c>
      <c r="J57" s="3" t="s">
        <v>26</v>
      </c>
      <c r="K57" s="4" t="b">
        <v>1</v>
      </c>
      <c r="L57" s="6">
        <v>1</v>
      </c>
      <c r="M57" s="6">
        <v>1</v>
      </c>
      <c r="N57" s="3" t="s">
        <v>47</v>
      </c>
      <c r="O57" s="3"/>
      <c r="P57" s="3" t="s">
        <v>148</v>
      </c>
      <c r="Q57" s="3" t="s">
        <v>1287</v>
      </c>
      <c r="R57" s="3" t="s">
        <v>1029</v>
      </c>
      <c r="S57" s="3" t="s">
        <v>1006</v>
      </c>
      <c r="T57" s="3" t="s">
        <v>1007</v>
      </c>
      <c r="U57" s="11" t="s">
        <v>1288</v>
      </c>
      <c r="V57" s="11" t="s">
        <v>1031</v>
      </c>
      <c r="W57" s="11" t="s">
        <v>1032</v>
      </c>
      <c r="X57" s="13">
        <v>0.7</v>
      </c>
      <c r="Y57" s="12"/>
      <c r="Z57" s="11"/>
      <c r="AA57" s="11"/>
      <c r="AB57" s="11"/>
      <c r="AC57" s="11">
        <v>0</v>
      </c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 t="s">
        <v>1019</v>
      </c>
      <c r="AO57" s="11" t="s">
        <v>1181</v>
      </c>
      <c r="AP57" s="11" t="s">
        <v>1021</v>
      </c>
      <c r="AQ57" s="11" t="s">
        <v>1182</v>
      </c>
      <c r="AR57" s="11" t="s">
        <v>1025</v>
      </c>
      <c r="AS57" s="11" t="s">
        <v>1183</v>
      </c>
      <c r="AT57" s="11" t="s">
        <v>1025</v>
      </c>
      <c r="AU57" s="11" t="s">
        <v>1182</v>
      </c>
      <c r="AV57" s="11" t="s">
        <v>1183</v>
      </c>
      <c r="AW57" s="12">
        <v>2</v>
      </c>
      <c r="AX57" s="12">
        <v>2</v>
      </c>
      <c r="AY57" s="12">
        <v>2</v>
      </c>
      <c r="AZ57" s="12">
        <v>2</v>
      </c>
      <c r="BA57" s="12">
        <v>1</v>
      </c>
      <c r="BB57" s="12">
        <v>2</v>
      </c>
      <c r="BC57" s="12">
        <v>1</v>
      </c>
      <c r="BD57" s="11" t="s">
        <v>1026</v>
      </c>
      <c r="BE57" s="11" t="s">
        <v>1027</v>
      </c>
    </row>
    <row r="58" spans="1:57" s="8" customFormat="1" ht="58" x14ac:dyDescent="0.35">
      <c r="A58" s="7" t="s">
        <v>20</v>
      </c>
      <c r="B58" s="7" t="s">
        <v>21</v>
      </c>
      <c r="C58" s="3" t="s">
        <v>149</v>
      </c>
      <c r="D58" s="3" t="s">
        <v>52</v>
      </c>
      <c r="E58" s="3"/>
      <c r="F58" s="3" t="s">
        <v>53</v>
      </c>
      <c r="G58" s="3" t="s">
        <v>50</v>
      </c>
      <c r="H58" s="4">
        <v>350</v>
      </c>
      <c r="I58" s="4">
        <v>500</v>
      </c>
      <c r="J58" s="3" t="s">
        <v>74</v>
      </c>
      <c r="K58" s="4" t="b">
        <v>0</v>
      </c>
      <c r="L58" s="6">
        <v>0.33333333333333298</v>
      </c>
      <c r="M58" s="6">
        <v>0.33333333333333298</v>
      </c>
      <c r="N58" s="3" t="s">
        <v>54</v>
      </c>
      <c r="O58" s="3" t="s">
        <v>55</v>
      </c>
      <c r="P58" s="3" t="s">
        <v>150</v>
      </c>
      <c r="Q58" s="3" t="s">
        <v>1289</v>
      </c>
      <c r="R58" s="3" t="s">
        <v>1029</v>
      </c>
      <c r="S58" s="3" t="s">
        <v>1006</v>
      </c>
      <c r="T58" s="3" t="s">
        <v>1007</v>
      </c>
      <c r="U58" s="11" t="s">
        <v>1290</v>
      </c>
      <c r="V58" s="11" t="s">
        <v>1031</v>
      </c>
      <c r="W58" s="11" t="s">
        <v>1032</v>
      </c>
      <c r="X58" s="13">
        <v>0.7</v>
      </c>
      <c r="Y58" s="12"/>
      <c r="Z58" s="11"/>
      <c r="AA58" s="11"/>
      <c r="AB58" s="11"/>
      <c r="AC58" s="11">
        <v>3</v>
      </c>
      <c r="AD58" s="11" t="s">
        <v>1076</v>
      </c>
      <c r="AE58" s="11" t="s">
        <v>1291</v>
      </c>
      <c r="AF58" s="11" t="s">
        <v>1014</v>
      </c>
      <c r="AG58" s="11" t="s">
        <v>1015</v>
      </c>
      <c r="AH58" s="11" t="s">
        <v>1078</v>
      </c>
      <c r="AI58" s="11" t="s">
        <v>1016</v>
      </c>
      <c r="AJ58" s="11"/>
      <c r="AK58" s="11" t="s">
        <v>1079</v>
      </c>
      <c r="AL58" s="11" t="s">
        <v>1017</v>
      </c>
      <c r="AM58" s="11" t="s">
        <v>1080</v>
      </c>
      <c r="AN58" s="11" t="s">
        <v>1019</v>
      </c>
      <c r="AO58" s="11" t="s">
        <v>1186</v>
      </c>
      <c r="AP58" s="11" t="s">
        <v>1021</v>
      </c>
      <c r="AQ58" s="11" t="s">
        <v>1187</v>
      </c>
      <c r="AR58" s="11" t="s">
        <v>1023</v>
      </c>
      <c r="AS58" s="11" t="s">
        <v>1188</v>
      </c>
      <c r="AT58" s="11" t="s">
        <v>1025</v>
      </c>
      <c r="AU58" s="11" t="s">
        <v>1187</v>
      </c>
      <c r="AV58" s="11" t="s">
        <v>1188</v>
      </c>
      <c r="AW58" s="12">
        <v>4</v>
      </c>
      <c r="AX58" s="12">
        <v>4</v>
      </c>
      <c r="AY58" s="12">
        <v>5</v>
      </c>
      <c r="AZ58" s="12">
        <v>4</v>
      </c>
      <c r="BA58" s="12">
        <v>3</v>
      </c>
      <c r="BB58" s="12">
        <v>4</v>
      </c>
      <c r="BC58" s="12">
        <v>1</v>
      </c>
      <c r="BD58" s="11" t="s">
        <v>1026</v>
      </c>
      <c r="BE58" s="11" t="s">
        <v>1027</v>
      </c>
    </row>
    <row r="59" spans="1:57" s="8" customFormat="1" ht="58" x14ac:dyDescent="0.35">
      <c r="A59" s="7" t="s">
        <v>20</v>
      </c>
      <c r="B59" s="7" t="s">
        <v>21</v>
      </c>
      <c r="C59" s="3" t="s">
        <v>149</v>
      </c>
      <c r="D59" s="3" t="s">
        <v>57</v>
      </c>
      <c r="E59" s="3"/>
      <c r="F59" s="3" t="s">
        <v>53</v>
      </c>
      <c r="G59" s="3" t="s">
        <v>50</v>
      </c>
      <c r="H59" s="4">
        <v>350</v>
      </c>
      <c r="I59" s="4">
        <v>300</v>
      </c>
      <c r="J59" s="3" t="s">
        <v>26</v>
      </c>
      <c r="K59" s="4" t="b">
        <v>0</v>
      </c>
      <c r="L59" s="6">
        <v>0.33333333333333298</v>
      </c>
      <c r="M59" s="6">
        <v>0.33333333333333298</v>
      </c>
      <c r="N59" s="3" t="s">
        <v>58</v>
      </c>
      <c r="O59" s="3" t="s">
        <v>59</v>
      </c>
      <c r="P59" s="3" t="s">
        <v>150</v>
      </c>
      <c r="Q59" s="3" t="s">
        <v>1289</v>
      </c>
      <c r="R59" s="3" t="s">
        <v>1029</v>
      </c>
      <c r="S59" s="3" t="s">
        <v>1006</v>
      </c>
      <c r="T59" s="3" t="s">
        <v>1007</v>
      </c>
      <c r="U59" s="11" t="s">
        <v>1290</v>
      </c>
      <c r="V59" s="11" t="s">
        <v>1031</v>
      </c>
      <c r="W59" s="11" t="s">
        <v>1032</v>
      </c>
      <c r="X59" s="13">
        <v>0.7</v>
      </c>
      <c r="Y59" s="12"/>
      <c r="Z59" s="11"/>
      <c r="AA59" s="11"/>
      <c r="AB59" s="11"/>
      <c r="AC59" s="11">
        <v>1</v>
      </c>
      <c r="AD59" s="11" t="s">
        <v>1201</v>
      </c>
      <c r="AE59" s="11" t="s">
        <v>1292</v>
      </c>
      <c r="AF59" s="11" t="s">
        <v>1014</v>
      </c>
      <c r="AG59" s="11" t="s">
        <v>1203</v>
      </c>
      <c r="AH59" s="11"/>
      <c r="AI59" s="11" t="s">
        <v>1016</v>
      </c>
      <c r="AJ59" s="11"/>
      <c r="AK59" s="11" t="s">
        <v>1204</v>
      </c>
      <c r="AL59" s="11" t="s">
        <v>1017</v>
      </c>
      <c r="AM59" s="11" t="s">
        <v>1205</v>
      </c>
      <c r="AN59" s="11" t="s">
        <v>1019</v>
      </c>
      <c r="AO59" s="11" t="s">
        <v>1186</v>
      </c>
      <c r="AP59" s="11" t="s">
        <v>1021</v>
      </c>
      <c r="AQ59" s="11" t="s">
        <v>1187</v>
      </c>
      <c r="AR59" s="11" t="s">
        <v>1023</v>
      </c>
      <c r="AS59" s="11" t="s">
        <v>1188</v>
      </c>
      <c r="AT59" s="11" t="s">
        <v>1025</v>
      </c>
      <c r="AU59" s="11" t="s">
        <v>1187</v>
      </c>
      <c r="AV59" s="11" t="s">
        <v>1188</v>
      </c>
      <c r="AW59" s="12">
        <v>4</v>
      </c>
      <c r="AX59" s="12">
        <v>4</v>
      </c>
      <c r="AY59" s="12">
        <v>5</v>
      </c>
      <c r="AZ59" s="12">
        <v>4</v>
      </c>
      <c r="BA59" s="12">
        <v>3</v>
      </c>
      <c r="BB59" s="12">
        <v>4</v>
      </c>
      <c r="BC59" s="12">
        <v>1</v>
      </c>
      <c r="BD59" s="11" t="s">
        <v>1026</v>
      </c>
      <c r="BE59" s="11" t="s">
        <v>1027</v>
      </c>
    </row>
    <row r="60" spans="1:57" s="8" customFormat="1" ht="72.5" x14ac:dyDescent="0.35">
      <c r="A60" s="7" t="s">
        <v>20</v>
      </c>
      <c r="B60" s="7" t="s">
        <v>21</v>
      </c>
      <c r="C60" s="3" t="s">
        <v>151</v>
      </c>
      <c r="D60" s="3" t="s">
        <v>52</v>
      </c>
      <c r="E60" s="3"/>
      <c r="F60" s="3" t="s">
        <v>53</v>
      </c>
      <c r="G60" s="3" t="s">
        <v>50</v>
      </c>
      <c r="H60" s="4">
        <v>418</v>
      </c>
      <c r="I60" s="4">
        <v>500</v>
      </c>
      <c r="J60" s="3" t="s">
        <v>74</v>
      </c>
      <c r="K60" s="4" t="b">
        <v>0</v>
      </c>
      <c r="L60" s="6">
        <v>0.33333333333333298</v>
      </c>
      <c r="M60" s="6">
        <v>0.33333333333333298</v>
      </c>
      <c r="N60" s="3" t="s">
        <v>54</v>
      </c>
      <c r="O60" s="3" t="s">
        <v>55</v>
      </c>
      <c r="P60" s="3" t="s">
        <v>152</v>
      </c>
      <c r="Q60" s="3" t="s">
        <v>1293</v>
      </c>
      <c r="R60" s="3" t="s">
        <v>1074</v>
      </c>
      <c r="S60" s="3" t="s">
        <v>1006</v>
      </c>
      <c r="T60" s="3" t="s">
        <v>1007</v>
      </c>
      <c r="U60" s="11" t="s">
        <v>1294</v>
      </c>
      <c r="V60" s="11" t="s">
        <v>1031</v>
      </c>
      <c r="W60" s="11" t="s">
        <v>1032</v>
      </c>
      <c r="X60" s="13">
        <v>0.7</v>
      </c>
      <c r="Y60" s="12"/>
      <c r="Z60" s="11"/>
      <c r="AA60" s="11"/>
      <c r="AB60" s="11"/>
      <c r="AC60" s="11">
        <v>5</v>
      </c>
      <c r="AD60" s="11" t="s">
        <v>1076</v>
      </c>
      <c r="AE60" s="11" t="s">
        <v>1295</v>
      </c>
      <c r="AF60" s="11" t="s">
        <v>1014</v>
      </c>
      <c r="AG60" s="11" t="s">
        <v>1015</v>
      </c>
      <c r="AH60" s="11" t="s">
        <v>1078</v>
      </c>
      <c r="AI60" s="11" t="s">
        <v>1016</v>
      </c>
      <c r="AJ60" s="11"/>
      <c r="AK60" s="11" t="s">
        <v>1079</v>
      </c>
      <c r="AL60" s="11" t="s">
        <v>1017</v>
      </c>
      <c r="AM60" s="11" t="s">
        <v>1080</v>
      </c>
      <c r="AN60" s="11" t="s">
        <v>1019</v>
      </c>
      <c r="AO60" s="11" t="s">
        <v>1296</v>
      </c>
      <c r="AP60" s="11" t="s">
        <v>1021</v>
      </c>
      <c r="AQ60" s="11" t="s">
        <v>1297</v>
      </c>
      <c r="AR60" s="11" t="s">
        <v>1048</v>
      </c>
      <c r="AS60" s="11" t="s">
        <v>1298</v>
      </c>
      <c r="AT60" s="11" t="s">
        <v>1050</v>
      </c>
      <c r="AU60" s="11" t="s">
        <v>1297</v>
      </c>
      <c r="AV60" s="11" t="s">
        <v>1298</v>
      </c>
      <c r="AW60" s="12">
        <v>1</v>
      </c>
      <c r="AX60" s="12">
        <v>1</v>
      </c>
      <c r="AY60" s="12">
        <v>1</v>
      </c>
      <c r="AZ60" s="12">
        <v>1</v>
      </c>
      <c r="BA60" s="12">
        <v>2</v>
      </c>
      <c r="BB60" s="12">
        <v>1</v>
      </c>
      <c r="BC60" s="12">
        <v>1</v>
      </c>
      <c r="BD60" s="11" t="s">
        <v>1026</v>
      </c>
      <c r="BE60" s="11" t="s">
        <v>1051</v>
      </c>
    </row>
    <row r="61" spans="1:57" s="8" customFormat="1" ht="58" x14ac:dyDescent="0.35">
      <c r="A61" s="7" t="s">
        <v>20</v>
      </c>
      <c r="B61" s="7" t="s">
        <v>21</v>
      </c>
      <c r="C61" s="3" t="s">
        <v>151</v>
      </c>
      <c r="D61" s="3" t="s">
        <v>57</v>
      </c>
      <c r="E61" s="3"/>
      <c r="F61" s="3" t="s">
        <v>53</v>
      </c>
      <c r="G61" s="3" t="s">
        <v>50</v>
      </c>
      <c r="H61" s="4">
        <v>418</v>
      </c>
      <c r="I61" s="4">
        <v>300</v>
      </c>
      <c r="J61" s="3" t="s">
        <v>26</v>
      </c>
      <c r="K61" s="4" t="b">
        <v>0</v>
      </c>
      <c r="L61" s="6">
        <v>0.33333333333333298</v>
      </c>
      <c r="M61" s="6">
        <v>0.33333333333333298</v>
      </c>
      <c r="N61" s="3" t="s">
        <v>58</v>
      </c>
      <c r="O61" s="3" t="s">
        <v>59</v>
      </c>
      <c r="P61" s="3" t="s">
        <v>152</v>
      </c>
      <c r="Q61" s="3" t="s">
        <v>1293</v>
      </c>
      <c r="R61" s="3" t="s">
        <v>1074</v>
      </c>
      <c r="S61" s="3" t="s">
        <v>1006</v>
      </c>
      <c r="T61" s="3" t="s">
        <v>1007</v>
      </c>
      <c r="U61" s="11" t="s">
        <v>1294</v>
      </c>
      <c r="V61" s="11" t="s">
        <v>1031</v>
      </c>
      <c r="W61" s="11" t="s">
        <v>1032</v>
      </c>
      <c r="X61" s="13">
        <v>0.7</v>
      </c>
      <c r="Y61" s="12"/>
      <c r="Z61" s="11"/>
      <c r="AA61" s="11"/>
      <c r="AB61" s="11"/>
      <c r="AC61" s="11">
        <v>0</v>
      </c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 t="s">
        <v>1019</v>
      </c>
      <c r="AO61" s="11" t="s">
        <v>1296</v>
      </c>
      <c r="AP61" s="11" t="s">
        <v>1021</v>
      </c>
      <c r="AQ61" s="11" t="s">
        <v>1297</v>
      </c>
      <c r="AR61" s="11" t="s">
        <v>1048</v>
      </c>
      <c r="AS61" s="11" t="s">
        <v>1298</v>
      </c>
      <c r="AT61" s="11" t="s">
        <v>1050</v>
      </c>
      <c r="AU61" s="11" t="s">
        <v>1297</v>
      </c>
      <c r="AV61" s="11" t="s">
        <v>1298</v>
      </c>
      <c r="AW61" s="12">
        <v>1</v>
      </c>
      <c r="AX61" s="12">
        <v>1</v>
      </c>
      <c r="AY61" s="12">
        <v>1</v>
      </c>
      <c r="AZ61" s="12">
        <v>1</v>
      </c>
      <c r="BA61" s="12">
        <v>2</v>
      </c>
      <c r="BB61" s="12">
        <v>1</v>
      </c>
      <c r="BC61" s="12">
        <v>1</v>
      </c>
      <c r="BD61" s="11" t="s">
        <v>1026</v>
      </c>
      <c r="BE61" s="11" t="s">
        <v>1051</v>
      </c>
    </row>
    <row r="62" spans="1:57" s="8" customFormat="1" ht="87" x14ac:dyDescent="0.35">
      <c r="A62" s="7" t="s">
        <v>20</v>
      </c>
      <c r="B62" s="7" t="s">
        <v>21</v>
      </c>
      <c r="C62" s="3" t="s">
        <v>153</v>
      </c>
      <c r="D62" s="3" t="s">
        <v>52</v>
      </c>
      <c r="E62" s="3"/>
      <c r="F62" s="3" t="s">
        <v>53</v>
      </c>
      <c r="G62" s="3" t="s">
        <v>50</v>
      </c>
      <c r="H62" s="4">
        <v>662</v>
      </c>
      <c r="I62" s="4">
        <v>500</v>
      </c>
      <c r="J62" s="3" t="s">
        <v>26</v>
      </c>
      <c r="K62" s="4" t="b">
        <v>0</v>
      </c>
      <c r="L62" s="6">
        <v>0.33333333333333298</v>
      </c>
      <c r="M62" s="6">
        <v>0.33333333333333298</v>
      </c>
      <c r="N62" s="3" t="s">
        <v>54</v>
      </c>
      <c r="O62" s="3" t="s">
        <v>55</v>
      </c>
      <c r="P62" s="3" t="s">
        <v>154</v>
      </c>
      <c r="Q62" s="3" t="s">
        <v>1299</v>
      </c>
      <c r="R62" s="3" t="s">
        <v>1029</v>
      </c>
      <c r="S62" s="3" t="s">
        <v>1006</v>
      </c>
      <c r="T62" s="3" t="s">
        <v>1007</v>
      </c>
      <c r="U62" s="11" t="s">
        <v>1300</v>
      </c>
      <c r="V62" s="11" t="s">
        <v>1031</v>
      </c>
      <c r="W62" s="11" t="s">
        <v>1032</v>
      </c>
      <c r="X62" s="13">
        <v>0.7</v>
      </c>
      <c r="Y62" s="12"/>
      <c r="Z62" s="11"/>
      <c r="AA62" s="11"/>
      <c r="AB62" s="11"/>
      <c r="AC62" s="11">
        <v>6</v>
      </c>
      <c r="AD62" s="11" t="s">
        <v>1076</v>
      </c>
      <c r="AE62" s="11" t="s">
        <v>1301</v>
      </c>
      <c r="AF62" s="11" t="s">
        <v>1014</v>
      </c>
      <c r="AG62" s="11" t="s">
        <v>1015</v>
      </c>
      <c r="AH62" s="11" t="s">
        <v>1302</v>
      </c>
      <c r="AI62" s="11" t="s">
        <v>1016</v>
      </c>
      <c r="AJ62" s="11"/>
      <c r="AK62" s="11" t="s">
        <v>1079</v>
      </c>
      <c r="AL62" s="11" t="s">
        <v>1017</v>
      </c>
      <c r="AM62" s="11" t="s">
        <v>1080</v>
      </c>
      <c r="AN62" s="11" t="s">
        <v>1019</v>
      </c>
      <c r="AO62" s="11" t="s">
        <v>1274</v>
      </c>
      <c r="AP62" s="11" t="s">
        <v>1021</v>
      </c>
      <c r="AQ62" s="11" t="s">
        <v>1275</v>
      </c>
      <c r="AR62" s="11" t="s">
        <v>1023</v>
      </c>
      <c r="AS62" s="11" t="s">
        <v>1276</v>
      </c>
      <c r="AT62" s="11" t="s">
        <v>1025</v>
      </c>
      <c r="AU62" s="11" t="s">
        <v>1275</v>
      </c>
      <c r="AV62" s="11" t="s">
        <v>1276</v>
      </c>
      <c r="AW62" s="12">
        <v>2</v>
      </c>
      <c r="AX62" s="12">
        <v>1</v>
      </c>
      <c r="AY62" s="12">
        <v>2</v>
      </c>
      <c r="AZ62" s="12">
        <v>2</v>
      </c>
      <c r="BA62" s="12">
        <v>3</v>
      </c>
      <c r="BB62" s="12">
        <v>2</v>
      </c>
      <c r="BC62" s="12">
        <v>1</v>
      </c>
      <c r="BD62" s="11" t="s">
        <v>1026</v>
      </c>
      <c r="BE62" s="11" t="s">
        <v>1027</v>
      </c>
    </row>
    <row r="63" spans="1:57" s="8" customFormat="1" ht="58" x14ac:dyDescent="0.35">
      <c r="A63" s="7" t="s">
        <v>20</v>
      </c>
      <c r="B63" s="7" t="s">
        <v>21</v>
      </c>
      <c r="C63" s="3" t="s">
        <v>155</v>
      </c>
      <c r="D63" s="3" t="s">
        <v>57</v>
      </c>
      <c r="E63" s="3"/>
      <c r="F63" s="3" t="s">
        <v>53</v>
      </c>
      <c r="G63" s="3" t="s">
        <v>50</v>
      </c>
      <c r="H63" s="4">
        <v>556</v>
      </c>
      <c r="I63" s="4">
        <v>300</v>
      </c>
      <c r="J63" s="3" t="s">
        <v>26</v>
      </c>
      <c r="K63" s="4" t="b">
        <v>0</v>
      </c>
      <c r="L63" s="6">
        <v>0.33333333333333298</v>
      </c>
      <c r="M63" s="6">
        <v>0.33333333333333298</v>
      </c>
      <c r="N63" s="3" t="s">
        <v>58</v>
      </c>
      <c r="O63" s="3" t="s">
        <v>59</v>
      </c>
      <c r="P63" s="3" t="s">
        <v>156</v>
      </c>
      <c r="Q63" s="3" t="s">
        <v>1303</v>
      </c>
      <c r="R63" s="3" t="s">
        <v>1154</v>
      </c>
      <c r="S63" s="3" t="s">
        <v>1006</v>
      </c>
      <c r="T63" s="3" t="s">
        <v>1007</v>
      </c>
      <c r="U63" s="11" t="s">
        <v>1304</v>
      </c>
      <c r="V63" s="11" t="s">
        <v>1127</v>
      </c>
      <c r="W63" s="11" t="s">
        <v>1128</v>
      </c>
      <c r="X63" s="13">
        <v>1</v>
      </c>
      <c r="Y63" s="12"/>
      <c r="Z63" s="11"/>
      <c r="AA63" s="11"/>
      <c r="AB63" s="11"/>
      <c r="AC63" s="11">
        <v>0</v>
      </c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 t="s">
        <v>1019</v>
      </c>
      <c r="AO63" s="11" t="s">
        <v>1305</v>
      </c>
      <c r="AP63" s="11" t="s">
        <v>1021</v>
      </c>
      <c r="AQ63" s="11" t="s">
        <v>1306</v>
      </c>
      <c r="AR63" s="11" t="s">
        <v>1023</v>
      </c>
      <c r="AS63" s="11" t="s">
        <v>1307</v>
      </c>
      <c r="AT63" s="11" t="s">
        <v>1025</v>
      </c>
      <c r="AU63" s="11" t="s">
        <v>1306</v>
      </c>
      <c r="AV63" s="11" t="s">
        <v>1307</v>
      </c>
      <c r="AW63" s="12">
        <v>2</v>
      </c>
      <c r="AX63" s="12">
        <v>2</v>
      </c>
      <c r="AY63" s="12">
        <v>2</v>
      </c>
      <c r="AZ63" s="12">
        <v>2</v>
      </c>
      <c r="BA63" s="12">
        <v>4</v>
      </c>
      <c r="BB63" s="12">
        <v>2</v>
      </c>
      <c r="BC63" s="12">
        <v>1</v>
      </c>
      <c r="BD63" s="11" t="s">
        <v>1026</v>
      </c>
      <c r="BE63" s="11" t="s">
        <v>1027</v>
      </c>
    </row>
    <row r="64" spans="1:57" s="8" customFormat="1" ht="58" x14ac:dyDescent="0.35">
      <c r="A64" s="7" t="s">
        <v>20</v>
      </c>
      <c r="B64" s="7" t="s">
        <v>21</v>
      </c>
      <c r="C64" s="3" t="s">
        <v>157</v>
      </c>
      <c r="D64" s="3" t="s">
        <v>35</v>
      </c>
      <c r="E64" s="3"/>
      <c r="F64" s="3" t="s">
        <v>36</v>
      </c>
      <c r="G64" s="3" t="s">
        <v>50</v>
      </c>
      <c r="H64" s="4">
        <v>841</v>
      </c>
      <c r="I64" s="4">
        <v>400</v>
      </c>
      <c r="J64" s="3" t="s">
        <v>26</v>
      </c>
      <c r="K64" s="4" t="b">
        <v>1</v>
      </c>
      <c r="L64" s="6">
        <v>1</v>
      </c>
      <c r="M64" s="6">
        <v>1</v>
      </c>
      <c r="N64" s="3" t="s">
        <v>37</v>
      </c>
      <c r="O64" s="3"/>
      <c r="P64" s="3" t="s">
        <v>158</v>
      </c>
      <c r="Q64" s="3" t="s">
        <v>1308</v>
      </c>
      <c r="R64" s="3" t="s">
        <v>1039</v>
      </c>
      <c r="S64" s="3" t="s">
        <v>1309</v>
      </c>
      <c r="T64" s="3" t="s">
        <v>1310</v>
      </c>
      <c r="U64" s="11" t="s">
        <v>1311</v>
      </c>
      <c r="V64" s="11" t="s">
        <v>1043</v>
      </c>
      <c r="W64" s="11" t="s">
        <v>1044</v>
      </c>
      <c r="X64" s="13">
        <v>0.98</v>
      </c>
      <c r="Y64" s="12" t="s">
        <v>1312</v>
      </c>
      <c r="Z64" s="11"/>
      <c r="AA64" s="11"/>
      <c r="AB64" s="11"/>
      <c r="AC64" s="11">
        <v>0</v>
      </c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 t="s">
        <v>1019</v>
      </c>
      <c r="AO64" s="11" t="s">
        <v>1313</v>
      </c>
      <c r="AP64" s="11" t="s">
        <v>1021</v>
      </c>
      <c r="AQ64" s="11" t="s">
        <v>1314</v>
      </c>
      <c r="AR64" s="11" t="s">
        <v>1023</v>
      </c>
      <c r="AS64" s="11" t="s">
        <v>1315</v>
      </c>
      <c r="AT64" s="11" t="s">
        <v>1025</v>
      </c>
      <c r="AU64" s="11" t="s">
        <v>1314</v>
      </c>
      <c r="AV64" s="11" t="s">
        <v>1315</v>
      </c>
      <c r="AW64" s="12">
        <v>2</v>
      </c>
      <c r="AX64" s="12">
        <v>2</v>
      </c>
      <c r="AY64" s="12">
        <v>2</v>
      </c>
      <c r="AZ64" s="12">
        <v>2</v>
      </c>
      <c r="BA64" s="12">
        <v>2</v>
      </c>
      <c r="BB64" s="12">
        <v>2</v>
      </c>
      <c r="BC64" s="12">
        <v>1</v>
      </c>
      <c r="BD64" s="11" t="s">
        <v>1026</v>
      </c>
      <c r="BE64" s="11" t="s">
        <v>1027</v>
      </c>
    </row>
    <row r="65" spans="1:57" s="8" customFormat="1" ht="58" x14ac:dyDescent="0.35">
      <c r="A65" s="7" t="s">
        <v>20</v>
      </c>
      <c r="B65" s="7" t="s">
        <v>21</v>
      </c>
      <c r="C65" s="3" t="s">
        <v>159</v>
      </c>
      <c r="D65" s="3" t="s">
        <v>57</v>
      </c>
      <c r="E65" s="3"/>
      <c r="F65" s="3" t="s">
        <v>53</v>
      </c>
      <c r="G65" s="3" t="s">
        <v>50</v>
      </c>
      <c r="H65" s="4">
        <v>255</v>
      </c>
      <c r="I65" s="4">
        <v>300</v>
      </c>
      <c r="J65" s="3" t="s">
        <v>74</v>
      </c>
      <c r="K65" s="4" t="b">
        <v>0</v>
      </c>
      <c r="L65" s="6">
        <v>0.33333333333333298</v>
      </c>
      <c r="M65" s="6">
        <v>0.33333333333333298</v>
      </c>
      <c r="N65" s="3" t="s">
        <v>58</v>
      </c>
      <c r="O65" s="3" t="s">
        <v>59</v>
      </c>
      <c r="P65" s="3" t="s">
        <v>160</v>
      </c>
      <c r="Q65" s="3" t="s">
        <v>1316</v>
      </c>
      <c r="R65" s="3" t="s">
        <v>1074</v>
      </c>
      <c r="S65" s="3" t="s">
        <v>1006</v>
      </c>
      <c r="T65" s="3" t="s">
        <v>1007</v>
      </c>
      <c r="U65" s="11" t="s">
        <v>1317</v>
      </c>
      <c r="V65" s="11" t="s">
        <v>1031</v>
      </c>
      <c r="W65" s="11" t="s">
        <v>1032</v>
      </c>
      <c r="X65" s="13">
        <v>0.7</v>
      </c>
      <c r="Y65" s="12"/>
      <c r="Z65" s="11"/>
      <c r="AA65" s="11"/>
      <c r="AB65" s="11"/>
      <c r="AC65" s="11">
        <v>0</v>
      </c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 t="s">
        <v>1019</v>
      </c>
      <c r="AO65" s="11" t="s">
        <v>1318</v>
      </c>
      <c r="AP65" s="11" t="s">
        <v>1021</v>
      </c>
      <c r="AQ65" s="11" t="s">
        <v>1319</v>
      </c>
      <c r="AR65" s="11" t="s">
        <v>1048</v>
      </c>
      <c r="AS65" s="11" t="s">
        <v>1320</v>
      </c>
      <c r="AT65" s="11" t="s">
        <v>1050</v>
      </c>
      <c r="AU65" s="11" t="s">
        <v>1319</v>
      </c>
      <c r="AV65" s="11" t="s">
        <v>1320</v>
      </c>
      <c r="AW65" s="12">
        <v>1</v>
      </c>
      <c r="AX65" s="12">
        <v>1</v>
      </c>
      <c r="AY65" s="12">
        <v>1</v>
      </c>
      <c r="AZ65" s="12">
        <v>1</v>
      </c>
      <c r="BA65" s="12">
        <v>3</v>
      </c>
      <c r="BB65" s="12">
        <v>1</v>
      </c>
      <c r="BC65" s="12">
        <v>1</v>
      </c>
      <c r="BD65" s="11" t="s">
        <v>1026</v>
      </c>
      <c r="BE65" s="11" t="s">
        <v>1051</v>
      </c>
    </row>
    <row r="66" spans="1:57" s="8" customFormat="1" ht="58" x14ac:dyDescent="0.35">
      <c r="A66" s="7" t="s">
        <v>20</v>
      </c>
      <c r="B66" s="7" t="s">
        <v>21</v>
      </c>
      <c r="C66" s="3" t="s">
        <v>161</v>
      </c>
      <c r="D66" s="3" t="s">
        <v>52</v>
      </c>
      <c r="E66" s="3"/>
      <c r="F66" s="3" t="s">
        <v>53</v>
      </c>
      <c r="G66" s="3" t="s">
        <v>50</v>
      </c>
      <c r="H66" s="4">
        <v>621</v>
      </c>
      <c r="I66" s="4">
        <v>500</v>
      </c>
      <c r="J66" s="3" t="s">
        <v>26</v>
      </c>
      <c r="K66" s="4" t="b">
        <v>0</v>
      </c>
      <c r="L66" s="6">
        <v>0.33333333333333298</v>
      </c>
      <c r="M66" s="6">
        <v>0.33333333333333298</v>
      </c>
      <c r="N66" s="3" t="s">
        <v>54</v>
      </c>
      <c r="O66" s="3" t="s">
        <v>55</v>
      </c>
      <c r="P66" s="3" t="s">
        <v>162</v>
      </c>
      <c r="Q66" s="3" t="s">
        <v>1321</v>
      </c>
      <c r="R66" s="3" t="s">
        <v>1029</v>
      </c>
      <c r="S66" s="3" t="s">
        <v>1006</v>
      </c>
      <c r="T66" s="3" t="s">
        <v>1007</v>
      </c>
      <c r="U66" s="11" t="s">
        <v>1322</v>
      </c>
      <c r="V66" s="11" t="s">
        <v>1031</v>
      </c>
      <c r="W66" s="11" t="s">
        <v>1032</v>
      </c>
      <c r="X66" s="13">
        <v>0.7</v>
      </c>
      <c r="Y66" s="12"/>
      <c r="Z66" s="11"/>
      <c r="AA66" s="11"/>
      <c r="AB66" s="11"/>
      <c r="AC66" s="11">
        <v>2</v>
      </c>
      <c r="AD66" s="11" t="s">
        <v>1076</v>
      </c>
      <c r="AE66" s="11" t="s">
        <v>1323</v>
      </c>
      <c r="AF66" s="11" t="s">
        <v>1014</v>
      </c>
      <c r="AG66" s="11" t="s">
        <v>1015</v>
      </c>
      <c r="AH66" s="11" t="s">
        <v>1324</v>
      </c>
      <c r="AI66" s="11" t="s">
        <v>1016</v>
      </c>
      <c r="AJ66" s="11"/>
      <c r="AK66" s="11" t="s">
        <v>1079</v>
      </c>
      <c r="AL66" s="11" t="s">
        <v>1017</v>
      </c>
      <c r="AM66" s="11" t="s">
        <v>1080</v>
      </c>
      <c r="AN66" s="11" t="s">
        <v>1019</v>
      </c>
      <c r="AO66" s="11" t="s">
        <v>1325</v>
      </c>
      <c r="AP66" s="11" t="s">
        <v>1021</v>
      </c>
      <c r="AQ66" s="11" t="s">
        <v>1326</v>
      </c>
      <c r="AR66" s="11" t="s">
        <v>1025</v>
      </c>
      <c r="AS66" s="11" t="s">
        <v>1327</v>
      </c>
      <c r="AT66" s="11" t="s">
        <v>1025</v>
      </c>
      <c r="AU66" s="11" t="s">
        <v>1326</v>
      </c>
      <c r="AV66" s="11" t="s">
        <v>1327</v>
      </c>
      <c r="AW66" s="12">
        <v>2</v>
      </c>
      <c r="AX66" s="12">
        <v>1</v>
      </c>
      <c r="AY66" s="12">
        <v>1</v>
      </c>
      <c r="AZ66" s="12">
        <v>2</v>
      </c>
      <c r="BA66" s="12">
        <v>1</v>
      </c>
      <c r="BB66" s="12">
        <v>2</v>
      </c>
      <c r="BC66" s="12">
        <v>1</v>
      </c>
      <c r="BD66" s="11" t="s">
        <v>1026</v>
      </c>
      <c r="BE66" s="11" t="s">
        <v>1027</v>
      </c>
    </row>
    <row r="67" spans="1:57" s="8" customFormat="1" ht="58" x14ac:dyDescent="0.35">
      <c r="A67" s="7" t="s">
        <v>20</v>
      </c>
      <c r="B67" s="7" t="s">
        <v>21</v>
      </c>
      <c r="C67" s="3" t="s">
        <v>161</v>
      </c>
      <c r="D67" s="3" t="s">
        <v>57</v>
      </c>
      <c r="E67" s="3" t="s">
        <v>57</v>
      </c>
      <c r="F67" s="3" t="s">
        <v>53</v>
      </c>
      <c r="G67" s="3" t="s">
        <v>25</v>
      </c>
      <c r="H67" s="4">
        <v>621</v>
      </c>
      <c r="I67" s="4">
        <v>300</v>
      </c>
      <c r="J67" s="3" t="s">
        <v>26</v>
      </c>
      <c r="K67" s="4" t="b">
        <v>1</v>
      </c>
      <c r="L67" s="6">
        <v>1</v>
      </c>
      <c r="M67" s="6">
        <v>1</v>
      </c>
      <c r="N67" s="3" t="s">
        <v>62</v>
      </c>
      <c r="O67" s="3"/>
      <c r="P67" s="3" t="s">
        <v>162</v>
      </c>
      <c r="Q67" s="3" t="s">
        <v>1321</v>
      </c>
      <c r="R67" s="3" t="s">
        <v>1029</v>
      </c>
      <c r="S67" s="3" t="s">
        <v>1006</v>
      </c>
      <c r="T67" s="3" t="s">
        <v>1007</v>
      </c>
      <c r="U67" s="11" t="s">
        <v>1322</v>
      </c>
      <c r="V67" s="11" t="s">
        <v>1031</v>
      </c>
      <c r="W67" s="11" t="s">
        <v>1032</v>
      </c>
      <c r="X67" s="13">
        <v>0.7</v>
      </c>
      <c r="Y67" s="12"/>
      <c r="Z67" s="11"/>
      <c r="AA67" s="11"/>
      <c r="AB67" s="11"/>
      <c r="AC67" s="11">
        <v>0</v>
      </c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 t="s">
        <v>1019</v>
      </c>
      <c r="AO67" s="11" t="s">
        <v>1325</v>
      </c>
      <c r="AP67" s="11" t="s">
        <v>1021</v>
      </c>
      <c r="AQ67" s="11" t="s">
        <v>1326</v>
      </c>
      <c r="AR67" s="11" t="s">
        <v>1025</v>
      </c>
      <c r="AS67" s="11" t="s">
        <v>1327</v>
      </c>
      <c r="AT67" s="11" t="s">
        <v>1025</v>
      </c>
      <c r="AU67" s="11" t="s">
        <v>1326</v>
      </c>
      <c r="AV67" s="11" t="s">
        <v>1327</v>
      </c>
      <c r="AW67" s="12">
        <v>2</v>
      </c>
      <c r="AX67" s="12">
        <v>1</v>
      </c>
      <c r="AY67" s="12">
        <v>1</v>
      </c>
      <c r="AZ67" s="12">
        <v>2</v>
      </c>
      <c r="BA67" s="12">
        <v>1</v>
      </c>
      <c r="BB67" s="12">
        <v>2</v>
      </c>
      <c r="BC67" s="12">
        <v>1</v>
      </c>
      <c r="BD67" s="11" t="s">
        <v>1026</v>
      </c>
      <c r="BE67" s="11" t="s">
        <v>1027</v>
      </c>
    </row>
    <row r="68" spans="1:57" s="8" customFormat="1" ht="58" x14ac:dyDescent="0.35">
      <c r="A68" s="7" t="s">
        <v>20</v>
      </c>
      <c r="B68" s="7" t="s">
        <v>21</v>
      </c>
      <c r="C68" s="3" t="s">
        <v>161</v>
      </c>
      <c r="D68" s="3" t="s">
        <v>98</v>
      </c>
      <c r="E68" s="3"/>
      <c r="F68" s="3" t="s">
        <v>53</v>
      </c>
      <c r="G68" s="3" t="s">
        <v>50</v>
      </c>
      <c r="H68" s="4">
        <v>621</v>
      </c>
      <c r="I68" s="4">
        <v>300</v>
      </c>
      <c r="J68" s="3" t="s">
        <v>26</v>
      </c>
      <c r="K68" s="4" t="b">
        <v>0</v>
      </c>
      <c r="L68" s="6">
        <v>0.5</v>
      </c>
      <c r="M68" s="6">
        <v>0.5</v>
      </c>
      <c r="N68" s="3" t="s">
        <v>58</v>
      </c>
      <c r="O68" s="3" t="s">
        <v>99</v>
      </c>
      <c r="P68" s="3" t="s">
        <v>162</v>
      </c>
      <c r="Q68" s="3" t="s">
        <v>1321</v>
      </c>
      <c r="R68" s="3" t="s">
        <v>1029</v>
      </c>
      <c r="S68" s="3" t="s">
        <v>1006</v>
      </c>
      <c r="T68" s="3" t="s">
        <v>1007</v>
      </c>
      <c r="U68" s="11" t="s">
        <v>1322</v>
      </c>
      <c r="V68" s="11" t="s">
        <v>1031</v>
      </c>
      <c r="W68" s="11" t="s">
        <v>1032</v>
      </c>
      <c r="X68" s="13">
        <v>0.7</v>
      </c>
      <c r="Y68" s="12"/>
      <c r="Z68" s="11"/>
      <c r="AA68" s="11"/>
      <c r="AB68" s="11"/>
      <c r="AC68" s="11">
        <v>0</v>
      </c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 t="s">
        <v>1019</v>
      </c>
      <c r="AO68" s="11" t="s">
        <v>1325</v>
      </c>
      <c r="AP68" s="11" t="s">
        <v>1021</v>
      </c>
      <c r="AQ68" s="11" t="s">
        <v>1326</v>
      </c>
      <c r="AR68" s="11" t="s">
        <v>1025</v>
      </c>
      <c r="AS68" s="11" t="s">
        <v>1327</v>
      </c>
      <c r="AT68" s="11" t="s">
        <v>1025</v>
      </c>
      <c r="AU68" s="11" t="s">
        <v>1326</v>
      </c>
      <c r="AV68" s="11" t="s">
        <v>1327</v>
      </c>
      <c r="AW68" s="12">
        <v>2</v>
      </c>
      <c r="AX68" s="12">
        <v>1</v>
      </c>
      <c r="AY68" s="12">
        <v>1</v>
      </c>
      <c r="AZ68" s="12">
        <v>2</v>
      </c>
      <c r="BA68" s="12">
        <v>1</v>
      </c>
      <c r="BB68" s="12">
        <v>2</v>
      </c>
      <c r="BC68" s="12">
        <v>1</v>
      </c>
      <c r="BD68" s="11" t="s">
        <v>1026</v>
      </c>
      <c r="BE68" s="11" t="s">
        <v>1027</v>
      </c>
    </row>
    <row r="69" spans="1:57" s="8" customFormat="1" ht="58" x14ac:dyDescent="0.35">
      <c r="A69" s="7" t="s">
        <v>20</v>
      </c>
      <c r="B69" s="7" t="s">
        <v>21</v>
      </c>
      <c r="C69" s="3" t="s">
        <v>163</v>
      </c>
      <c r="D69" s="3" t="s">
        <v>35</v>
      </c>
      <c r="E69" s="3"/>
      <c r="F69" s="3" t="s">
        <v>36</v>
      </c>
      <c r="G69" s="3" t="s">
        <v>50</v>
      </c>
      <c r="H69" s="4">
        <v>838</v>
      </c>
      <c r="I69" s="4">
        <v>400</v>
      </c>
      <c r="J69" s="3" t="s">
        <v>26</v>
      </c>
      <c r="K69" s="4" t="b">
        <v>1</v>
      </c>
      <c r="L69" s="6">
        <v>1</v>
      </c>
      <c r="M69" s="6">
        <v>1</v>
      </c>
      <c r="N69" s="3" t="s">
        <v>37</v>
      </c>
      <c r="O69" s="3"/>
      <c r="P69" s="3" t="s">
        <v>164</v>
      </c>
      <c r="Q69" s="3" t="s">
        <v>1328</v>
      </c>
      <c r="R69" s="3" t="s">
        <v>1039</v>
      </c>
      <c r="S69" s="3" t="s">
        <v>1329</v>
      </c>
      <c r="T69" s="3" t="s">
        <v>1330</v>
      </c>
      <c r="U69" s="11" t="s">
        <v>1331</v>
      </c>
      <c r="V69" s="11" t="s">
        <v>1043</v>
      </c>
      <c r="W69" s="11" t="s">
        <v>1044</v>
      </c>
      <c r="X69" s="13">
        <v>0.99</v>
      </c>
      <c r="Y69" s="12" t="s">
        <v>1332</v>
      </c>
      <c r="Z69" s="11"/>
      <c r="AA69" s="11"/>
      <c r="AB69" s="11"/>
      <c r="AC69" s="11">
        <v>0</v>
      </c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 t="s">
        <v>1019</v>
      </c>
      <c r="AO69" s="11" t="s">
        <v>1313</v>
      </c>
      <c r="AP69" s="11" t="s">
        <v>1021</v>
      </c>
      <c r="AQ69" s="11" t="s">
        <v>1314</v>
      </c>
      <c r="AR69" s="11" t="s">
        <v>1023</v>
      </c>
      <c r="AS69" s="11" t="s">
        <v>1315</v>
      </c>
      <c r="AT69" s="11" t="s">
        <v>1025</v>
      </c>
      <c r="AU69" s="11" t="s">
        <v>1314</v>
      </c>
      <c r="AV69" s="11" t="s">
        <v>1315</v>
      </c>
      <c r="AW69" s="12">
        <v>2</v>
      </c>
      <c r="AX69" s="12">
        <v>2</v>
      </c>
      <c r="AY69" s="12">
        <v>2</v>
      </c>
      <c r="AZ69" s="12">
        <v>2</v>
      </c>
      <c r="BA69" s="12">
        <v>2</v>
      </c>
      <c r="BB69" s="12">
        <v>2</v>
      </c>
      <c r="BC69" s="12">
        <v>1</v>
      </c>
      <c r="BD69" s="11" t="s">
        <v>1026</v>
      </c>
      <c r="BE69" s="11" t="s">
        <v>1027</v>
      </c>
    </row>
    <row r="70" spans="1:57" s="8" customFormat="1" ht="43.5" x14ac:dyDescent="0.35">
      <c r="A70" s="7" t="s">
        <v>20</v>
      </c>
      <c r="B70" s="7" t="s">
        <v>21</v>
      </c>
      <c r="C70" s="3" t="s">
        <v>165</v>
      </c>
      <c r="D70" s="3" t="s">
        <v>57</v>
      </c>
      <c r="E70" s="3"/>
      <c r="F70" s="3" t="s">
        <v>53</v>
      </c>
      <c r="G70" s="3" t="s">
        <v>50</v>
      </c>
      <c r="H70" s="4">
        <v>560</v>
      </c>
      <c r="I70" s="4">
        <v>300</v>
      </c>
      <c r="J70" s="3" t="s">
        <v>26</v>
      </c>
      <c r="K70" s="4" t="b">
        <v>0</v>
      </c>
      <c r="L70" s="6">
        <v>0.33333333333333298</v>
      </c>
      <c r="M70" s="6">
        <v>0.33333333333333298</v>
      </c>
      <c r="N70" s="3" t="s">
        <v>58</v>
      </c>
      <c r="O70" s="3" t="s">
        <v>59</v>
      </c>
      <c r="P70" s="3" t="s">
        <v>166</v>
      </c>
      <c r="Q70" s="3" t="s">
        <v>1333</v>
      </c>
      <c r="R70" s="3" t="s">
        <v>1005</v>
      </c>
      <c r="S70" s="3" t="s">
        <v>1006</v>
      </c>
      <c r="T70" s="3" t="s">
        <v>1007</v>
      </c>
      <c r="U70" s="11" t="s">
        <v>1334</v>
      </c>
      <c r="V70" s="11" t="s">
        <v>1064</v>
      </c>
      <c r="W70" s="11" t="s">
        <v>1065</v>
      </c>
      <c r="X70" s="13">
        <v>1</v>
      </c>
      <c r="Y70" s="12"/>
      <c r="Z70" s="11"/>
      <c r="AA70" s="11"/>
      <c r="AB70" s="11"/>
      <c r="AC70" s="11">
        <v>0</v>
      </c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 t="s">
        <v>1019</v>
      </c>
      <c r="AO70" s="11" t="s">
        <v>1335</v>
      </c>
      <c r="AP70" s="11" t="s">
        <v>1021</v>
      </c>
      <c r="AQ70" s="11" t="s">
        <v>1336</v>
      </c>
      <c r="AR70" s="11" t="s">
        <v>1050</v>
      </c>
      <c r="AS70" s="11" t="s">
        <v>1337</v>
      </c>
      <c r="AT70" s="11" t="s">
        <v>1050</v>
      </c>
      <c r="AU70" s="11" t="s">
        <v>1336</v>
      </c>
      <c r="AV70" s="11" t="s">
        <v>1337</v>
      </c>
      <c r="AW70" s="12">
        <v>1</v>
      </c>
      <c r="AX70" s="12">
        <v>1</v>
      </c>
      <c r="AY70" s="12">
        <v>1</v>
      </c>
      <c r="AZ70" s="12">
        <v>1</v>
      </c>
      <c r="BA70" s="12">
        <v>1</v>
      </c>
      <c r="BB70" s="12">
        <v>1</v>
      </c>
      <c r="BC70" s="12">
        <v>1</v>
      </c>
      <c r="BD70" s="11" t="s">
        <v>1026</v>
      </c>
      <c r="BE70" s="11" t="s">
        <v>1103</v>
      </c>
    </row>
    <row r="71" spans="1:57" s="8" customFormat="1" ht="58" x14ac:dyDescent="0.35">
      <c r="A71" s="7" t="s">
        <v>20</v>
      </c>
      <c r="B71" s="7" t="s">
        <v>21</v>
      </c>
      <c r="C71" s="3" t="s">
        <v>167</v>
      </c>
      <c r="D71" s="3" t="s">
        <v>57</v>
      </c>
      <c r="E71" s="3"/>
      <c r="F71" s="3" t="s">
        <v>53</v>
      </c>
      <c r="G71" s="3" t="s">
        <v>50</v>
      </c>
      <c r="H71" s="4">
        <v>635</v>
      </c>
      <c r="I71" s="4">
        <v>300</v>
      </c>
      <c r="J71" s="3" t="s">
        <v>26</v>
      </c>
      <c r="K71" s="4" t="b">
        <v>0</v>
      </c>
      <c r="L71" s="6">
        <v>0.33333333333333298</v>
      </c>
      <c r="M71" s="6">
        <v>0.33333333333333298</v>
      </c>
      <c r="N71" s="3" t="s">
        <v>58</v>
      </c>
      <c r="O71" s="3" t="s">
        <v>59</v>
      </c>
      <c r="P71" s="3" t="s">
        <v>168</v>
      </c>
      <c r="Q71" s="3" t="s">
        <v>1338</v>
      </c>
      <c r="R71" s="3" t="s">
        <v>1029</v>
      </c>
      <c r="S71" s="3" t="s">
        <v>1006</v>
      </c>
      <c r="T71" s="3" t="s">
        <v>1007</v>
      </c>
      <c r="U71" s="11" t="s">
        <v>1339</v>
      </c>
      <c r="V71" s="11" t="s">
        <v>1031</v>
      </c>
      <c r="W71" s="11" t="s">
        <v>1032</v>
      </c>
      <c r="X71" s="13">
        <v>0.7</v>
      </c>
      <c r="Y71" s="12"/>
      <c r="Z71" s="11"/>
      <c r="AA71" s="11"/>
      <c r="AB71" s="11"/>
      <c r="AC71" s="11">
        <v>1</v>
      </c>
      <c r="AD71" s="11" t="s">
        <v>1227</v>
      </c>
      <c r="AE71" s="11" t="s">
        <v>1340</v>
      </c>
      <c r="AF71" s="11" t="s">
        <v>1014</v>
      </c>
      <c r="AG71" s="11" t="s">
        <v>1015</v>
      </c>
      <c r="AH71" s="11"/>
      <c r="AI71" s="11" t="s">
        <v>1016</v>
      </c>
      <c r="AJ71" s="11"/>
      <c r="AK71" s="11" t="s">
        <v>1229</v>
      </c>
      <c r="AL71" s="11" t="s">
        <v>1017</v>
      </c>
      <c r="AM71" s="11" t="s">
        <v>1230</v>
      </c>
      <c r="AN71" s="11" t="s">
        <v>1019</v>
      </c>
      <c r="AO71" s="11" t="s">
        <v>1341</v>
      </c>
      <c r="AP71" s="11" t="s">
        <v>1021</v>
      </c>
      <c r="AQ71" s="11" t="s">
        <v>1342</v>
      </c>
      <c r="AR71" s="11" t="s">
        <v>1048</v>
      </c>
      <c r="AS71" s="11" t="s">
        <v>1343</v>
      </c>
      <c r="AT71" s="11" t="s">
        <v>1050</v>
      </c>
      <c r="AU71" s="11" t="s">
        <v>1342</v>
      </c>
      <c r="AV71" s="11" t="s">
        <v>1343</v>
      </c>
      <c r="AW71" s="12">
        <v>1</v>
      </c>
      <c r="AX71" s="12">
        <v>1</v>
      </c>
      <c r="AY71" s="12">
        <v>1</v>
      </c>
      <c r="AZ71" s="12">
        <v>1</v>
      </c>
      <c r="BA71" s="12">
        <v>3</v>
      </c>
      <c r="BB71" s="12">
        <v>1</v>
      </c>
      <c r="BC71" s="12">
        <v>1</v>
      </c>
      <c r="BD71" s="11" t="s">
        <v>1026</v>
      </c>
      <c r="BE71" s="11" t="s">
        <v>1051</v>
      </c>
    </row>
    <row r="72" spans="1:57" s="8" customFormat="1" ht="58" x14ac:dyDescent="0.35">
      <c r="A72" s="7" t="s">
        <v>20</v>
      </c>
      <c r="B72" s="7" t="s">
        <v>21</v>
      </c>
      <c r="C72" s="3" t="s">
        <v>169</v>
      </c>
      <c r="D72" s="3" t="s">
        <v>57</v>
      </c>
      <c r="E72" s="3"/>
      <c r="F72" s="3" t="s">
        <v>53</v>
      </c>
      <c r="G72" s="3" t="s">
        <v>50</v>
      </c>
      <c r="H72" s="4">
        <v>675</v>
      </c>
      <c r="I72" s="4">
        <v>300</v>
      </c>
      <c r="J72" s="3" t="s">
        <v>26</v>
      </c>
      <c r="K72" s="4" t="b">
        <v>0</v>
      </c>
      <c r="L72" s="6">
        <v>0.33333333333333298</v>
      </c>
      <c r="M72" s="6">
        <v>0.33333333333333298</v>
      </c>
      <c r="N72" s="3" t="s">
        <v>58</v>
      </c>
      <c r="O72" s="3" t="s">
        <v>59</v>
      </c>
      <c r="P72" s="3" t="s">
        <v>170</v>
      </c>
      <c r="Q72" s="3" t="s">
        <v>1344</v>
      </c>
      <c r="R72" s="3" t="s">
        <v>1029</v>
      </c>
      <c r="S72" s="3" t="s">
        <v>1006</v>
      </c>
      <c r="T72" s="3" t="s">
        <v>1007</v>
      </c>
      <c r="U72" s="11" t="s">
        <v>1345</v>
      </c>
      <c r="V72" s="11" t="s">
        <v>1064</v>
      </c>
      <c r="W72" s="11" t="s">
        <v>1065</v>
      </c>
      <c r="X72" s="13">
        <v>1</v>
      </c>
      <c r="Y72" s="12"/>
      <c r="Z72" s="11"/>
      <c r="AA72" s="11"/>
      <c r="AB72" s="11"/>
      <c r="AC72" s="11">
        <v>0</v>
      </c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 t="s">
        <v>1019</v>
      </c>
      <c r="AO72" s="11" t="s">
        <v>1346</v>
      </c>
      <c r="AP72" s="11" t="s">
        <v>1021</v>
      </c>
      <c r="AQ72" s="11" t="s">
        <v>1347</v>
      </c>
      <c r="AR72" s="11" t="s">
        <v>1048</v>
      </c>
      <c r="AS72" s="11" t="s">
        <v>1348</v>
      </c>
      <c r="AT72" s="11" t="s">
        <v>1050</v>
      </c>
      <c r="AU72" s="11" t="s">
        <v>1347</v>
      </c>
      <c r="AV72" s="11" t="s">
        <v>1348</v>
      </c>
      <c r="AW72" s="12">
        <v>1</v>
      </c>
      <c r="AX72" s="12">
        <v>1</v>
      </c>
      <c r="AY72" s="12">
        <v>1</v>
      </c>
      <c r="AZ72" s="12">
        <v>1</v>
      </c>
      <c r="BA72" s="12">
        <v>2</v>
      </c>
      <c r="BB72" s="12">
        <v>1</v>
      </c>
      <c r="BC72" s="12">
        <v>1</v>
      </c>
      <c r="BD72" s="11" t="s">
        <v>1026</v>
      </c>
      <c r="BE72" s="11" t="s">
        <v>1051</v>
      </c>
    </row>
    <row r="73" spans="1:57" s="8" customFormat="1" ht="58" x14ac:dyDescent="0.35">
      <c r="A73" s="7" t="s">
        <v>20</v>
      </c>
      <c r="B73" s="7" t="s">
        <v>21</v>
      </c>
      <c r="C73" s="3" t="s">
        <v>171</v>
      </c>
      <c r="D73" s="3" t="s">
        <v>172</v>
      </c>
      <c r="E73" s="3"/>
      <c r="F73" s="3" t="s">
        <v>31</v>
      </c>
      <c r="G73" s="3" t="s">
        <v>50</v>
      </c>
      <c r="H73" s="4">
        <v>139</v>
      </c>
      <c r="I73" s="4">
        <v>90</v>
      </c>
      <c r="J73" s="3" t="s">
        <v>26</v>
      </c>
      <c r="K73" s="4" t="b">
        <v>1</v>
      </c>
      <c r="L73" s="6">
        <v>1</v>
      </c>
      <c r="M73" s="6">
        <v>1</v>
      </c>
      <c r="N73" s="3" t="s">
        <v>173</v>
      </c>
      <c r="O73" s="3"/>
      <c r="P73" s="3" t="s">
        <v>174</v>
      </c>
      <c r="Q73" s="3" t="s">
        <v>1349</v>
      </c>
      <c r="R73" s="3" t="s">
        <v>1029</v>
      </c>
      <c r="S73" s="3" t="s">
        <v>1006</v>
      </c>
      <c r="T73" s="3" t="s">
        <v>1007</v>
      </c>
      <c r="U73" s="11" t="s">
        <v>1350</v>
      </c>
      <c r="V73" s="11" t="s">
        <v>1064</v>
      </c>
      <c r="W73" s="11" t="s">
        <v>1065</v>
      </c>
      <c r="X73" s="13">
        <v>1</v>
      </c>
      <c r="Y73" s="12"/>
      <c r="Z73" s="11"/>
      <c r="AA73" s="11"/>
      <c r="AB73" s="11"/>
      <c r="AC73" s="11">
        <v>0</v>
      </c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 t="s">
        <v>1019</v>
      </c>
      <c r="AO73" s="11" t="s">
        <v>1351</v>
      </c>
      <c r="AP73" s="11" t="s">
        <v>1021</v>
      </c>
      <c r="AQ73" s="11" t="s">
        <v>1352</v>
      </c>
      <c r="AR73" s="11" t="s">
        <v>1048</v>
      </c>
      <c r="AS73" s="11" t="s">
        <v>1353</v>
      </c>
      <c r="AT73" s="11" t="s">
        <v>1050</v>
      </c>
      <c r="AU73" s="11" t="s">
        <v>1352</v>
      </c>
      <c r="AV73" s="11" t="s">
        <v>1353</v>
      </c>
      <c r="AW73" s="12">
        <v>1</v>
      </c>
      <c r="AX73" s="12">
        <v>3</v>
      </c>
      <c r="AY73" s="12">
        <v>3</v>
      </c>
      <c r="AZ73" s="12">
        <v>1</v>
      </c>
      <c r="BA73" s="12">
        <v>4</v>
      </c>
      <c r="BB73" s="12">
        <v>1</v>
      </c>
      <c r="BC73" s="12">
        <v>1</v>
      </c>
      <c r="BD73" s="11" t="s">
        <v>1026</v>
      </c>
      <c r="BE73" s="11" t="s">
        <v>1051</v>
      </c>
    </row>
    <row r="74" spans="1:57" s="8" customFormat="1" ht="58" x14ac:dyDescent="0.35">
      <c r="A74" s="7" t="s">
        <v>20</v>
      </c>
      <c r="B74" s="7" t="s">
        <v>21</v>
      </c>
      <c r="C74" s="3" t="s">
        <v>175</v>
      </c>
      <c r="D74" s="3" t="s">
        <v>57</v>
      </c>
      <c r="E74" s="3"/>
      <c r="F74" s="3" t="s">
        <v>53</v>
      </c>
      <c r="G74" s="3" t="s">
        <v>50</v>
      </c>
      <c r="H74" s="4">
        <v>829</v>
      </c>
      <c r="I74" s="4">
        <v>300</v>
      </c>
      <c r="J74" s="3" t="s">
        <v>26</v>
      </c>
      <c r="K74" s="4" t="b">
        <v>0</v>
      </c>
      <c r="L74" s="6">
        <v>0.33333333333333298</v>
      </c>
      <c r="M74" s="6">
        <v>0.33333333333333298</v>
      </c>
      <c r="N74" s="3" t="s">
        <v>58</v>
      </c>
      <c r="O74" s="3" t="s">
        <v>59</v>
      </c>
      <c r="P74" s="3" t="s">
        <v>176</v>
      </c>
      <c r="Q74" s="3" t="s">
        <v>1354</v>
      </c>
      <c r="R74" s="3" t="s">
        <v>1029</v>
      </c>
      <c r="S74" s="3" t="s">
        <v>1006</v>
      </c>
      <c r="T74" s="3" t="s">
        <v>1007</v>
      </c>
      <c r="U74" s="11" t="s">
        <v>1355</v>
      </c>
      <c r="V74" s="11" t="s">
        <v>1031</v>
      </c>
      <c r="W74" s="11" t="s">
        <v>1032</v>
      </c>
      <c r="X74" s="13">
        <v>0.7</v>
      </c>
      <c r="Y74" s="12"/>
      <c r="Z74" s="11"/>
      <c r="AA74" s="11"/>
      <c r="AB74" s="11"/>
      <c r="AC74" s="11">
        <v>0</v>
      </c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 t="s">
        <v>1019</v>
      </c>
      <c r="AO74" s="11" t="s">
        <v>1356</v>
      </c>
      <c r="AP74" s="11" t="s">
        <v>1021</v>
      </c>
      <c r="AQ74" s="11" t="s">
        <v>1357</v>
      </c>
      <c r="AR74" s="11" t="s">
        <v>1025</v>
      </c>
      <c r="AS74" s="11" t="s">
        <v>1358</v>
      </c>
      <c r="AT74" s="11" t="s">
        <v>1025</v>
      </c>
      <c r="AU74" s="11" t="s">
        <v>1359</v>
      </c>
      <c r="AV74" s="11" t="s">
        <v>1358</v>
      </c>
      <c r="AW74" s="12">
        <v>4</v>
      </c>
      <c r="AX74" s="12">
        <v>4</v>
      </c>
      <c r="AY74" s="12">
        <v>4</v>
      </c>
      <c r="AZ74" s="12">
        <v>2</v>
      </c>
      <c r="BA74" s="12">
        <v>1</v>
      </c>
      <c r="BB74" s="12">
        <v>4</v>
      </c>
      <c r="BC74" s="12">
        <v>1</v>
      </c>
      <c r="BD74" s="11" t="s">
        <v>1026</v>
      </c>
      <c r="BE74" s="11" t="s">
        <v>1027</v>
      </c>
    </row>
    <row r="75" spans="1:57" s="8" customFormat="1" ht="145" x14ac:dyDescent="0.35">
      <c r="A75" s="7" t="s">
        <v>20</v>
      </c>
      <c r="B75" s="7" t="s">
        <v>21</v>
      </c>
      <c r="C75" s="3" t="s">
        <v>177</v>
      </c>
      <c r="D75" s="3" t="s">
        <v>35</v>
      </c>
      <c r="E75" s="3"/>
      <c r="F75" s="3" t="s">
        <v>36</v>
      </c>
      <c r="G75" s="3" t="s">
        <v>50</v>
      </c>
      <c r="H75" s="4">
        <v>1484</v>
      </c>
      <c r="I75" s="4">
        <v>400</v>
      </c>
      <c r="J75" s="3" t="s">
        <v>26</v>
      </c>
      <c r="K75" s="4" t="b">
        <v>1</v>
      </c>
      <c r="L75" s="6">
        <v>1</v>
      </c>
      <c r="M75" s="6">
        <v>1</v>
      </c>
      <c r="N75" s="3" t="s">
        <v>37</v>
      </c>
      <c r="O75" s="3"/>
      <c r="P75" s="3" t="s">
        <v>178</v>
      </c>
      <c r="Q75" s="3" t="s">
        <v>1360</v>
      </c>
      <c r="R75" s="3" t="s">
        <v>1005</v>
      </c>
      <c r="S75" s="3" t="s">
        <v>1006</v>
      </c>
      <c r="T75" s="3" t="s">
        <v>1361</v>
      </c>
      <c r="U75" s="11" t="s">
        <v>1362</v>
      </c>
      <c r="V75" s="11" t="s">
        <v>1031</v>
      </c>
      <c r="W75" s="11" t="s">
        <v>1032</v>
      </c>
      <c r="X75" s="13">
        <v>0.7</v>
      </c>
      <c r="Y75" s="12"/>
      <c r="Z75" s="11"/>
      <c r="AA75" s="11"/>
      <c r="AB75" s="11"/>
      <c r="AC75" s="11">
        <v>0</v>
      </c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 t="s">
        <v>1019</v>
      </c>
      <c r="AO75" s="11" t="s">
        <v>1363</v>
      </c>
      <c r="AP75" s="11" t="s">
        <v>1021</v>
      </c>
      <c r="AQ75" s="11" t="s">
        <v>1364</v>
      </c>
      <c r="AR75" s="11" t="s">
        <v>1048</v>
      </c>
      <c r="AS75" s="11" t="s">
        <v>1365</v>
      </c>
      <c r="AT75" s="11" t="s">
        <v>1050</v>
      </c>
      <c r="AU75" s="11" t="s">
        <v>1364</v>
      </c>
      <c r="AV75" s="11" t="s">
        <v>1365</v>
      </c>
      <c r="AW75" s="12">
        <v>1</v>
      </c>
      <c r="AX75" s="12">
        <v>1</v>
      </c>
      <c r="AY75" s="12">
        <v>1</v>
      </c>
      <c r="AZ75" s="12">
        <v>1</v>
      </c>
      <c r="BA75" s="12">
        <v>2</v>
      </c>
      <c r="BB75" s="12">
        <v>1</v>
      </c>
      <c r="BC75" s="12">
        <v>1</v>
      </c>
      <c r="BD75" s="11" t="s">
        <v>1026</v>
      </c>
      <c r="BE75" s="11" t="s">
        <v>1051</v>
      </c>
    </row>
    <row r="76" spans="1:57" s="8" customFormat="1" ht="72.5" x14ac:dyDescent="0.35">
      <c r="A76" s="7" t="s">
        <v>20</v>
      </c>
      <c r="B76" s="7" t="s">
        <v>21</v>
      </c>
      <c r="C76" s="3" t="s">
        <v>179</v>
      </c>
      <c r="D76" s="3" t="s">
        <v>57</v>
      </c>
      <c r="E76" s="3"/>
      <c r="F76" s="3" t="s">
        <v>53</v>
      </c>
      <c r="G76" s="3" t="s">
        <v>50</v>
      </c>
      <c r="H76" s="4">
        <v>571</v>
      </c>
      <c r="I76" s="4">
        <v>300</v>
      </c>
      <c r="J76" s="3" t="s">
        <v>26</v>
      </c>
      <c r="K76" s="4" t="b">
        <v>0</v>
      </c>
      <c r="L76" s="6">
        <v>0.33333333333333298</v>
      </c>
      <c r="M76" s="6">
        <v>0.33333333333333298</v>
      </c>
      <c r="N76" s="3" t="s">
        <v>58</v>
      </c>
      <c r="O76" s="3" t="s">
        <v>59</v>
      </c>
      <c r="P76" s="3" t="s">
        <v>180</v>
      </c>
      <c r="Q76" s="3" t="s">
        <v>1366</v>
      </c>
      <c r="R76" s="3" t="s">
        <v>1074</v>
      </c>
      <c r="S76" s="3" t="s">
        <v>1006</v>
      </c>
      <c r="T76" s="3" t="s">
        <v>1367</v>
      </c>
      <c r="U76" s="11" t="s">
        <v>1368</v>
      </c>
      <c r="V76" s="11" t="s">
        <v>1031</v>
      </c>
      <c r="W76" s="11" t="s">
        <v>1032</v>
      </c>
      <c r="X76" s="13">
        <v>0.7</v>
      </c>
      <c r="Y76" s="12"/>
      <c r="Z76" s="11"/>
      <c r="AA76" s="11"/>
      <c r="AB76" s="11"/>
      <c r="AC76" s="11">
        <v>0</v>
      </c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 t="s">
        <v>1019</v>
      </c>
      <c r="AO76" s="11" t="s">
        <v>1369</v>
      </c>
      <c r="AP76" s="11" t="s">
        <v>1114</v>
      </c>
      <c r="AQ76" s="11"/>
      <c r="AR76" s="11" t="s">
        <v>1034</v>
      </c>
      <c r="AS76" s="11"/>
      <c r="AT76" s="11" t="s">
        <v>1034</v>
      </c>
      <c r="AU76" s="11"/>
      <c r="AV76" s="11"/>
      <c r="AW76" s="12">
        <v>1</v>
      </c>
      <c r="AX76" s="12">
        <v>1</v>
      </c>
      <c r="AY76" s="12">
        <v>1</v>
      </c>
      <c r="AZ76" s="12"/>
      <c r="BA76" s="12"/>
      <c r="BB76" s="12"/>
      <c r="BC76" s="12"/>
      <c r="BD76" s="11" t="s">
        <v>1115</v>
      </c>
      <c r="BE76" s="11" t="s">
        <v>1116</v>
      </c>
    </row>
    <row r="77" spans="1:57" s="8" customFormat="1" ht="58" x14ac:dyDescent="0.35">
      <c r="A77" s="7" t="s">
        <v>20</v>
      </c>
      <c r="B77" s="7" t="s">
        <v>21</v>
      </c>
      <c r="C77" s="3" t="s">
        <v>181</v>
      </c>
      <c r="D77" s="3" t="s">
        <v>30</v>
      </c>
      <c r="E77" s="3" t="s">
        <v>30</v>
      </c>
      <c r="F77" s="3" t="s">
        <v>31</v>
      </c>
      <c r="G77" s="3" t="s">
        <v>25</v>
      </c>
      <c r="H77" s="4">
        <v>376</v>
      </c>
      <c r="I77" s="4">
        <v>250</v>
      </c>
      <c r="J77" s="3" t="s">
        <v>26</v>
      </c>
      <c r="K77" s="4" t="b">
        <v>1</v>
      </c>
      <c r="L77" s="6">
        <v>1</v>
      </c>
      <c r="M77" s="6">
        <v>1</v>
      </c>
      <c r="N77" s="3" t="s">
        <v>32</v>
      </c>
      <c r="O77" s="3"/>
      <c r="P77" s="3" t="s">
        <v>182</v>
      </c>
      <c r="Q77" s="3" t="s">
        <v>1370</v>
      </c>
      <c r="R77" s="3" t="s">
        <v>1074</v>
      </c>
      <c r="S77" s="3" t="s">
        <v>1006</v>
      </c>
      <c r="T77" s="3" t="s">
        <v>1007</v>
      </c>
      <c r="U77" s="11" t="s">
        <v>1371</v>
      </c>
      <c r="V77" s="11" t="s">
        <v>1031</v>
      </c>
      <c r="W77" s="11" t="s">
        <v>1032</v>
      </c>
      <c r="X77" s="13">
        <v>1</v>
      </c>
      <c r="Y77" s="12"/>
      <c r="Z77" s="11"/>
      <c r="AA77" s="11"/>
      <c r="AB77" s="11"/>
      <c r="AC77" s="11">
        <v>0</v>
      </c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 t="s">
        <v>1019</v>
      </c>
      <c r="AO77" s="11" t="s">
        <v>1372</v>
      </c>
      <c r="AP77" s="11" t="s">
        <v>1021</v>
      </c>
      <c r="AQ77" s="11" t="s">
        <v>1373</v>
      </c>
      <c r="AR77" s="11" t="s">
        <v>1023</v>
      </c>
      <c r="AS77" s="11" t="s">
        <v>1374</v>
      </c>
      <c r="AT77" s="11" t="s">
        <v>1023</v>
      </c>
      <c r="AU77" s="11" t="s">
        <v>1373</v>
      </c>
      <c r="AV77" s="11" t="s">
        <v>1374</v>
      </c>
      <c r="AW77" s="12">
        <v>5</v>
      </c>
      <c r="AX77" s="12">
        <v>4</v>
      </c>
      <c r="AY77" s="12">
        <v>6</v>
      </c>
      <c r="AZ77" s="12">
        <v>5</v>
      </c>
      <c r="BA77" s="12">
        <v>5</v>
      </c>
      <c r="BB77" s="12">
        <v>5</v>
      </c>
      <c r="BC77" s="12">
        <v>4</v>
      </c>
      <c r="BD77" s="11" t="s">
        <v>1026</v>
      </c>
      <c r="BE77" s="11" t="s">
        <v>1027</v>
      </c>
    </row>
    <row r="78" spans="1:57" s="8" customFormat="1" ht="58" x14ac:dyDescent="0.35">
      <c r="A78" s="7" t="s">
        <v>20</v>
      </c>
      <c r="B78" s="7" t="s">
        <v>21</v>
      </c>
      <c r="C78" s="3" t="s">
        <v>183</v>
      </c>
      <c r="D78" s="3" t="s">
        <v>52</v>
      </c>
      <c r="E78" s="3"/>
      <c r="F78" s="3" t="s">
        <v>53</v>
      </c>
      <c r="G78" s="3" t="s">
        <v>50</v>
      </c>
      <c r="H78" s="4">
        <v>628</v>
      </c>
      <c r="I78" s="4">
        <v>500</v>
      </c>
      <c r="J78" s="3" t="s">
        <v>26</v>
      </c>
      <c r="K78" s="4" t="b">
        <v>0</v>
      </c>
      <c r="L78" s="6">
        <v>0.33333333333333298</v>
      </c>
      <c r="M78" s="6">
        <v>0.33333333333333298</v>
      </c>
      <c r="N78" s="3" t="s">
        <v>54</v>
      </c>
      <c r="O78" s="3" t="s">
        <v>55</v>
      </c>
      <c r="P78" s="3" t="s">
        <v>184</v>
      </c>
      <c r="Q78" s="3" t="s">
        <v>1375</v>
      </c>
      <c r="R78" s="3" t="s">
        <v>1029</v>
      </c>
      <c r="S78" s="3" t="s">
        <v>1006</v>
      </c>
      <c r="T78" s="3" t="s">
        <v>1007</v>
      </c>
      <c r="U78" s="11" t="s">
        <v>1376</v>
      </c>
      <c r="V78" s="11" t="s">
        <v>1064</v>
      </c>
      <c r="W78" s="11" t="s">
        <v>1065</v>
      </c>
      <c r="X78" s="13">
        <v>1</v>
      </c>
      <c r="Y78" s="12"/>
      <c r="Z78" s="11"/>
      <c r="AA78" s="11"/>
      <c r="AB78" s="11"/>
      <c r="AC78" s="11">
        <v>1</v>
      </c>
      <c r="AD78" s="11" t="s">
        <v>1076</v>
      </c>
      <c r="AE78" s="11" t="s">
        <v>1377</v>
      </c>
      <c r="AF78" s="11" t="s">
        <v>1014</v>
      </c>
      <c r="AG78" s="11" t="s">
        <v>1015</v>
      </c>
      <c r="AH78" s="11"/>
      <c r="AI78" s="11" t="s">
        <v>1016</v>
      </c>
      <c r="AJ78" s="11"/>
      <c r="AK78" s="11" t="s">
        <v>1079</v>
      </c>
      <c r="AL78" s="11" t="s">
        <v>1017</v>
      </c>
      <c r="AM78" s="11" t="s">
        <v>1080</v>
      </c>
      <c r="AN78" s="11" t="s">
        <v>1019</v>
      </c>
      <c r="AO78" s="11" t="s">
        <v>1378</v>
      </c>
      <c r="AP78" s="11" t="s">
        <v>1021</v>
      </c>
      <c r="AQ78" s="11" t="s">
        <v>1379</v>
      </c>
      <c r="AR78" s="11" t="s">
        <v>1048</v>
      </c>
      <c r="AS78" s="11" t="s">
        <v>1380</v>
      </c>
      <c r="AT78" s="11" t="s">
        <v>1048</v>
      </c>
      <c r="AU78" s="11" t="s">
        <v>1379</v>
      </c>
      <c r="AV78" s="11" t="s">
        <v>1380</v>
      </c>
      <c r="AW78" s="12">
        <v>1</v>
      </c>
      <c r="AX78" s="12">
        <v>1</v>
      </c>
      <c r="AY78" s="12">
        <v>1</v>
      </c>
      <c r="AZ78" s="12">
        <v>1</v>
      </c>
      <c r="BA78" s="12">
        <v>2</v>
      </c>
      <c r="BB78" s="12">
        <v>1</v>
      </c>
      <c r="BC78" s="12">
        <v>2</v>
      </c>
      <c r="BD78" s="11" t="s">
        <v>1026</v>
      </c>
      <c r="BE78" s="11" t="s">
        <v>1027</v>
      </c>
    </row>
    <row r="79" spans="1:57" s="8" customFormat="1" ht="58" x14ac:dyDescent="0.35">
      <c r="A79" s="7" t="s">
        <v>20</v>
      </c>
      <c r="B79" s="7" t="s">
        <v>21</v>
      </c>
      <c r="C79" s="3" t="s">
        <v>183</v>
      </c>
      <c r="D79" s="3" t="s">
        <v>57</v>
      </c>
      <c r="E79" s="3"/>
      <c r="F79" s="3" t="s">
        <v>53</v>
      </c>
      <c r="G79" s="3" t="s">
        <v>50</v>
      </c>
      <c r="H79" s="4">
        <v>628</v>
      </c>
      <c r="I79" s="4">
        <v>300</v>
      </c>
      <c r="J79" s="3" t="s">
        <v>26</v>
      </c>
      <c r="K79" s="4" t="b">
        <v>0</v>
      </c>
      <c r="L79" s="6">
        <v>0.33333333333333298</v>
      </c>
      <c r="M79" s="6">
        <v>0.33333333333333298</v>
      </c>
      <c r="N79" s="3" t="s">
        <v>58</v>
      </c>
      <c r="O79" s="3" t="s">
        <v>59</v>
      </c>
      <c r="P79" s="3" t="s">
        <v>184</v>
      </c>
      <c r="Q79" s="3" t="s">
        <v>1375</v>
      </c>
      <c r="R79" s="3" t="s">
        <v>1029</v>
      </c>
      <c r="S79" s="3" t="s">
        <v>1006</v>
      </c>
      <c r="T79" s="3" t="s">
        <v>1007</v>
      </c>
      <c r="U79" s="11" t="s">
        <v>1376</v>
      </c>
      <c r="V79" s="11" t="s">
        <v>1064</v>
      </c>
      <c r="W79" s="11" t="s">
        <v>1065</v>
      </c>
      <c r="X79" s="13">
        <v>1</v>
      </c>
      <c r="Y79" s="12"/>
      <c r="Z79" s="11"/>
      <c r="AA79" s="11"/>
      <c r="AB79" s="11"/>
      <c r="AC79" s="11">
        <v>0</v>
      </c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 t="s">
        <v>1019</v>
      </c>
      <c r="AO79" s="11" t="s">
        <v>1378</v>
      </c>
      <c r="AP79" s="11" t="s">
        <v>1021</v>
      </c>
      <c r="AQ79" s="11" t="s">
        <v>1379</v>
      </c>
      <c r="AR79" s="11" t="s">
        <v>1048</v>
      </c>
      <c r="AS79" s="11" t="s">
        <v>1380</v>
      </c>
      <c r="AT79" s="11" t="s">
        <v>1048</v>
      </c>
      <c r="AU79" s="11" t="s">
        <v>1379</v>
      </c>
      <c r="AV79" s="11" t="s">
        <v>1380</v>
      </c>
      <c r="AW79" s="12">
        <v>1</v>
      </c>
      <c r="AX79" s="12">
        <v>1</v>
      </c>
      <c r="AY79" s="12">
        <v>1</v>
      </c>
      <c r="AZ79" s="12">
        <v>1</v>
      </c>
      <c r="BA79" s="12">
        <v>2</v>
      </c>
      <c r="BB79" s="12">
        <v>1</v>
      </c>
      <c r="BC79" s="12">
        <v>2</v>
      </c>
      <c r="BD79" s="11" t="s">
        <v>1026</v>
      </c>
      <c r="BE79" s="11" t="s">
        <v>1027</v>
      </c>
    </row>
    <row r="80" spans="1:57" s="8" customFormat="1" ht="58" x14ac:dyDescent="0.35">
      <c r="A80" s="7" t="s">
        <v>20</v>
      </c>
      <c r="B80" s="7" t="s">
        <v>21</v>
      </c>
      <c r="C80" s="3" t="s">
        <v>185</v>
      </c>
      <c r="D80" s="3" t="s">
        <v>57</v>
      </c>
      <c r="E80" s="3"/>
      <c r="F80" s="3" t="s">
        <v>53</v>
      </c>
      <c r="G80" s="3" t="s">
        <v>50</v>
      </c>
      <c r="H80" s="4">
        <v>546</v>
      </c>
      <c r="I80" s="4">
        <v>300</v>
      </c>
      <c r="J80" s="3" t="s">
        <v>26</v>
      </c>
      <c r="K80" s="4" t="b">
        <v>0</v>
      </c>
      <c r="L80" s="6">
        <v>0.33333333333333298</v>
      </c>
      <c r="M80" s="6">
        <v>0.33333333333333298</v>
      </c>
      <c r="N80" s="3" t="s">
        <v>58</v>
      </c>
      <c r="O80" s="3" t="s">
        <v>59</v>
      </c>
      <c r="P80" s="3" t="s">
        <v>186</v>
      </c>
      <c r="Q80" s="3" t="s">
        <v>1381</v>
      </c>
      <c r="R80" s="3" t="s">
        <v>1074</v>
      </c>
      <c r="S80" s="3" t="s">
        <v>1006</v>
      </c>
      <c r="T80" s="3" t="s">
        <v>1007</v>
      </c>
      <c r="U80" s="11" t="s">
        <v>1382</v>
      </c>
      <c r="V80" s="11" t="s">
        <v>1031</v>
      </c>
      <c r="W80" s="11" t="s">
        <v>1032</v>
      </c>
      <c r="X80" s="13">
        <v>0.7</v>
      </c>
      <c r="Y80" s="12"/>
      <c r="Z80" s="11"/>
      <c r="AA80" s="11"/>
      <c r="AB80" s="11"/>
      <c r="AC80" s="11">
        <v>1</v>
      </c>
      <c r="AD80" s="11" t="s">
        <v>1227</v>
      </c>
      <c r="AE80" s="11" t="s">
        <v>1383</v>
      </c>
      <c r="AF80" s="11" t="s">
        <v>1014</v>
      </c>
      <c r="AG80" s="11" t="s">
        <v>1015</v>
      </c>
      <c r="AH80" s="11" t="s">
        <v>1078</v>
      </c>
      <c r="AI80" s="11" t="s">
        <v>1016</v>
      </c>
      <c r="AJ80" s="11"/>
      <c r="AK80" s="11" t="s">
        <v>1229</v>
      </c>
      <c r="AL80" s="11" t="s">
        <v>1017</v>
      </c>
      <c r="AM80" s="11" t="s">
        <v>1230</v>
      </c>
      <c r="AN80" s="11" t="s">
        <v>1019</v>
      </c>
      <c r="AO80" s="11" t="s">
        <v>1384</v>
      </c>
      <c r="AP80" s="11" t="s">
        <v>1021</v>
      </c>
      <c r="AQ80" s="11" t="s">
        <v>1385</v>
      </c>
      <c r="AR80" s="11" t="s">
        <v>1048</v>
      </c>
      <c r="AS80" s="11" t="s">
        <v>1386</v>
      </c>
      <c r="AT80" s="11" t="s">
        <v>1050</v>
      </c>
      <c r="AU80" s="11" t="s">
        <v>1385</v>
      </c>
      <c r="AV80" s="11" t="s">
        <v>1386</v>
      </c>
      <c r="AW80" s="12">
        <v>1</v>
      </c>
      <c r="AX80" s="12">
        <v>1</v>
      </c>
      <c r="AY80" s="12">
        <v>1</v>
      </c>
      <c r="AZ80" s="12">
        <v>1</v>
      </c>
      <c r="BA80" s="12">
        <v>2</v>
      </c>
      <c r="BB80" s="12">
        <v>1</v>
      </c>
      <c r="BC80" s="12">
        <v>1</v>
      </c>
      <c r="BD80" s="11" t="s">
        <v>1026</v>
      </c>
      <c r="BE80" s="11" t="s">
        <v>1051</v>
      </c>
    </row>
    <row r="81" spans="1:57" s="8" customFormat="1" ht="58" x14ac:dyDescent="0.35">
      <c r="A81" s="7" t="s">
        <v>20</v>
      </c>
      <c r="B81" s="7" t="s">
        <v>21</v>
      </c>
      <c r="C81" s="3" t="s">
        <v>187</v>
      </c>
      <c r="D81" s="3" t="s">
        <v>30</v>
      </c>
      <c r="E81" s="3" t="s">
        <v>30</v>
      </c>
      <c r="F81" s="3" t="s">
        <v>31</v>
      </c>
      <c r="G81" s="3" t="s">
        <v>25</v>
      </c>
      <c r="H81" s="4">
        <v>375</v>
      </c>
      <c r="I81" s="4">
        <v>250</v>
      </c>
      <c r="J81" s="3" t="s">
        <v>26</v>
      </c>
      <c r="K81" s="4" t="b">
        <v>1</v>
      </c>
      <c r="L81" s="6">
        <v>1</v>
      </c>
      <c r="M81" s="6">
        <v>1</v>
      </c>
      <c r="N81" s="3" t="s">
        <v>32</v>
      </c>
      <c r="O81" s="3"/>
      <c r="P81" s="3" t="s">
        <v>188</v>
      </c>
      <c r="Q81" s="3" t="s">
        <v>1387</v>
      </c>
      <c r="R81" s="3" t="s">
        <v>1074</v>
      </c>
      <c r="S81" s="3" t="s">
        <v>1006</v>
      </c>
      <c r="T81" s="3" t="s">
        <v>1007</v>
      </c>
      <c r="U81" s="11" t="s">
        <v>1388</v>
      </c>
      <c r="V81" s="11" t="s">
        <v>1031</v>
      </c>
      <c r="W81" s="11" t="s">
        <v>1032</v>
      </c>
      <c r="X81" s="13">
        <v>1</v>
      </c>
      <c r="Y81" s="12"/>
      <c r="Z81" s="11"/>
      <c r="AA81" s="11"/>
      <c r="AB81" s="11"/>
      <c r="AC81" s="11">
        <v>0</v>
      </c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 t="s">
        <v>1019</v>
      </c>
      <c r="AO81" s="11" t="s">
        <v>1389</v>
      </c>
      <c r="AP81" s="11" t="s">
        <v>1021</v>
      </c>
      <c r="AQ81" s="11" t="s">
        <v>1390</v>
      </c>
      <c r="AR81" s="11" t="s">
        <v>1048</v>
      </c>
      <c r="AS81" s="11" t="s">
        <v>1391</v>
      </c>
      <c r="AT81" s="11" t="s">
        <v>1050</v>
      </c>
      <c r="AU81" s="11" t="s">
        <v>1390</v>
      </c>
      <c r="AV81" s="11" t="s">
        <v>1391</v>
      </c>
      <c r="AW81" s="12">
        <v>1</v>
      </c>
      <c r="AX81" s="12">
        <v>1</v>
      </c>
      <c r="AY81" s="12">
        <v>1</v>
      </c>
      <c r="AZ81" s="12">
        <v>1</v>
      </c>
      <c r="BA81" s="12">
        <v>2</v>
      </c>
      <c r="BB81" s="12">
        <v>1</v>
      </c>
      <c r="BC81" s="12">
        <v>1</v>
      </c>
      <c r="BD81" s="11" t="s">
        <v>1026</v>
      </c>
      <c r="BE81" s="11" t="s">
        <v>1051</v>
      </c>
    </row>
    <row r="82" spans="1:57" s="8" customFormat="1" ht="87" x14ac:dyDescent="0.35">
      <c r="A82" s="7" t="s">
        <v>20</v>
      </c>
      <c r="B82" s="7" t="s">
        <v>21</v>
      </c>
      <c r="C82" s="3" t="s">
        <v>189</v>
      </c>
      <c r="D82" s="3" t="s">
        <v>52</v>
      </c>
      <c r="E82" s="3"/>
      <c r="F82" s="3" t="s">
        <v>53</v>
      </c>
      <c r="G82" s="3" t="s">
        <v>50</v>
      </c>
      <c r="H82" s="4">
        <v>546</v>
      </c>
      <c r="I82" s="4">
        <v>500</v>
      </c>
      <c r="J82" s="3" t="s">
        <v>26</v>
      </c>
      <c r="K82" s="4" t="b">
        <v>0</v>
      </c>
      <c r="L82" s="6">
        <v>0.33333333333333298</v>
      </c>
      <c r="M82" s="6">
        <v>0.33333333333333298</v>
      </c>
      <c r="N82" s="3" t="s">
        <v>54</v>
      </c>
      <c r="O82" s="3" t="s">
        <v>55</v>
      </c>
      <c r="P82" s="3" t="s">
        <v>190</v>
      </c>
      <c r="Q82" s="3" t="s">
        <v>1392</v>
      </c>
      <c r="R82" s="3" t="s">
        <v>1074</v>
      </c>
      <c r="S82" s="3" t="s">
        <v>1006</v>
      </c>
      <c r="T82" s="3" t="s">
        <v>1393</v>
      </c>
      <c r="U82" s="11" t="s">
        <v>1394</v>
      </c>
      <c r="V82" s="11" t="s">
        <v>1031</v>
      </c>
      <c r="W82" s="11" t="s">
        <v>1032</v>
      </c>
      <c r="X82" s="13">
        <v>0.7</v>
      </c>
      <c r="Y82" s="12"/>
      <c r="Z82" s="11"/>
      <c r="AA82" s="11"/>
      <c r="AB82" s="11"/>
      <c r="AC82" s="11">
        <v>6</v>
      </c>
      <c r="AD82" s="11" t="s">
        <v>1395</v>
      </c>
      <c r="AE82" s="11" t="s">
        <v>1396</v>
      </c>
      <c r="AF82" s="11" t="s">
        <v>1014</v>
      </c>
      <c r="AG82" s="11" t="s">
        <v>1015</v>
      </c>
      <c r="AH82" s="11" t="s">
        <v>1078</v>
      </c>
      <c r="AI82" s="11" t="s">
        <v>1016</v>
      </c>
      <c r="AJ82" s="11"/>
      <c r="AK82" s="11" t="s">
        <v>1397</v>
      </c>
      <c r="AL82" s="11" t="s">
        <v>1017</v>
      </c>
      <c r="AM82" s="11" t="s">
        <v>1398</v>
      </c>
      <c r="AN82" s="11" t="s">
        <v>1019</v>
      </c>
      <c r="AO82" s="11" t="s">
        <v>1399</v>
      </c>
      <c r="AP82" s="11" t="s">
        <v>1021</v>
      </c>
      <c r="AQ82" s="11" t="s">
        <v>1400</v>
      </c>
      <c r="AR82" s="11" t="s">
        <v>1050</v>
      </c>
      <c r="AS82" s="11" t="s">
        <v>1401</v>
      </c>
      <c r="AT82" s="11" t="s">
        <v>1050</v>
      </c>
      <c r="AU82" s="11" t="s">
        <v>1400</v>
      </c>
      <c r="AV82" s="11" t="s">
        <v>1401</v>
      </c>
      <c r="AW82" s="12">
        <v>1</v>
      </c>
      <c r="AX82" s="12">
        <v>1</v>
      </c>
      <c r="AY82" s="12">
        <v>1</v>
      </c>
      <c r="AZ82" s="12">
        <v>1</v>
      </c>
      <c r="BA82" s="12">
        <v>1</v>
      </c>
      <c r="BB82" s="12">
        <v>1</v>
      </c>
      <c r="BC82" s="12">
        <v>1</v>
      </c>
      <c r="BD82" s="11" t="s">
        <v>1026</v>
      </c>
      <c r="BE82" s="11" t="s">
        <v>1103</v>
      </c>
    </row>
    <row r="83" spans="1:57" s="8" customFormat="1" ht="43.5" x14ac:dyDescent="0.35">
      <c r="A83" s="7" t="s">
        <v>20</v>
      </c>
      <c r="B83" s="7" t="s">
        <v>21</v>
      </c>
      <c r="C83" s="3" t="s">
        <v>189</v>
      </c>
      <c r="D83" s="3" t="s">
        <v>57</v>
      </c>
      <c r="E83" s="3"/>
      <c r="F83" s="3" t="s">
        <v>53</v>
      </c>
      <c r="G83" s="3" t="s">
        <v>50</v>
      </c>
      <c r="H83" s="4">
        <v>546</v>
      </c>
      <c r="I83" s="4">
        <v>300</v>
      </c>
      <c r="J83" s="3" t="s">
        <v>26</v>
      </c>
      <c r="K83" s="4" t="b">
        <v>0</v>
      </c>
      <c r="L83" s="6">
        <v>0.33333333333333298</v>
      </c>
      <c r="M83" s="6">
        <v>0.33333333333333298</v>
      </c>
      <c r="N83" s="3" t="s">
        <v>58</v>
      </c>
      <c r="O83" s="3" t="s">
        <v>59</v>
      </c>
      <c r="P83" s="3" t="s">
        <v>190</v>
      </c>
      <c r="Q83" s="3" t="s">
        <v>1392</v>
      </c>
      <c r="R83" s="3" t="s">
        <v>1074</v>
      </c>
      <c r="S83" s="3" t="s">
        <v>1006</v>
      </c>
      <c r="T83" s="3" t="s">
        <v>1393</v>
      </c>
      <c r="U83" s="11" t="s">
        <v>1394</v>
      </c>
      <c r="V83" s="11" t="s">
        <v>1031</v>
      </c>
      <c r="W83" s="11" t="s">
        <v>1032</v>
      </c>
      <c r="X83" s="13">
        <v>0.7</v>
      </c>
      <c r="Y83" s="12"/>
      <c r="Z83" s="11"/>
      <c r="AA83" s="11"/>
      <c r="AB83" s="11"/>
      <c r="AC83" s="11">
        <v>0</v>
      </c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 t="s">
        <v>1019</v>
      </c>
      <c r="AO83" s="11" t="s">
        <v>1399</v>
      </c>
      <c r="AP83" s="11" t="s">
        <v>1021</v>
      </c>
      <c r="AQ83" s="11" t="s">
        <v>1400</v>
      </c>
      <c r="AR83" s="11" t="s">
        <v>1050</v>
      </c>
      <c r="AS83" s="11" t="s">
        <v>1401</v>
      </c>
      <c r="AT83" s="11" t="s">
        <v>1050</v>
      </c>
      <c r="AU83" s="11" t="s">
        <v>1400</v>
      </c>
      <c r="AV83" s="11" t="s">
        <v>1401</v>
      </c>
      <c r="AW83" s="12">
        <v>1</v>
      </c>
      <c r="AX83" s="12">
        <v>1</v>
      </c>
      <c r="AY83" s="12">
        <v>1</v>
      </c>
      <c r="AZ83" s="12">
        <v>1</v>
      </c>
      <c r="BA83" s="12">
        <v>1</v>
      </c>
      <c r="BB83" s="12">
        <v>1</v>
      </c>
      <c r="BC83" s="12">
        <v>1</v>
      </c>
      <c r="BD83" s="11" t="s">
        <v>1026</v>
      </c>
      <c r="BE83" s="11" t="s">
        <v>1103</v>
      </c>
    </row>
    <row r="84" spans="1:57" s="8" customFormat="1" ht="72.5" x14ac:dyDescent="0.35">
      <c r="A84" s="7" t="s">
        <v>20</v>
      </c>
      <c r="B84" s="7" t="s">
        <v>21</v>
      </c>
      <c r="C84" s="3" t="s">
        <v>191</v>
      </c>
      <c r="D84" s="3" t="s">
        <v>52</v>
      </c>
      <c r="E84" s="3"/>
      <c r="F84" s="3" t="s">
        <v>53</v>
      </c>
      <c r="G84" s="3" t="s">
        <v>50</v>
      </c>
      <c r="H84" s="4">
        <v>875</v>
      </c>
      <c r="I84" s="4">
        <v>500</v>
      </c>
      <c r="J84" s="3" t="s">
        <v>26</v>
      </c>
      <c r="K84" s="4" t="b">
        <v>0</v>
      </c>
      <c r="L84" s="6">
        <v>0.33333333333333298</v>
      </c>
      <c r="M84" s="6">
        <v>0.33333333333333298</v>
      </c>
      <c r="N84" s="3" t="s">
        <v>54</v>
      </c>
      <c r="O84" s="3" t="s">
        <v>55</v>
      </c>
      <c r="P84" s="3" t="s">
        <v>192</v>
      </c>
      <c r="Q84" s="3" t="s">
        <v>1402</v>
      </c>
      <c r="R84" s="3" t="s">
        <v>1139</v>
      </c>
      <c r="S84" s="3" t="s">
        <v>1403</v>
      </c>
      <c r="T84" s="3" t="s">
        <v>1404</v>
      </c>
      <c r="U84" s="11" t="s">
        <v>1405</v>
      </c>
      <c r="V84" s="11" t="s">
        <v>1009</v>
      </c>
      <c r="W84" s="11" t="s">
        <v>1010</v>
      </c>
      <c r="X84" s="13">
        <v>0.9</v>
      </c>
      <c r="Y84" s="12"/>
      <c r="Z84" s="11" t="s">
        <v>1406</v>
      </c>
      <c r="AA84" s="11"/>
      <c r="AB84" s="11"/>
      <c r="AC84" s="11">
        <v>5</v>
      </c>
      <c r="AD84" s="11" t="s">
        <v>1076</v>
      </c>
      <c r="AE84" s="11" t="s">
        <v>1407</v>
      </c>
      <c r="AF84" s="11" t="s">
        <v>1014</v>
      </c>
      <c r="AG84" s="11" t="s">
        <v>1015</v>
      </c>
      <c r="AH84" s="11" t="s">
        <v>1078</v>
      </c>
      <c r="AI84" s="11" t="s">
        <v>1016</v>
      </c>
      <c r="AJ84" s="11"/>
      <c r="AK84" s="11" t="s">
        <v>1079</v>
      </c>
      <c r="AL84" s="11" t="s">
        <v>1017</v>
      </c>
      <c r="AM84" s="11" t="s">
        <v>1080</v>
      </c>
      <c r="AN84" s="11" t="s">
        <v>1019</v>
      </c>
      <c r="AO84" s="11" t="s">
        <v>1408</v>
      </c>
      <c r="AP84" s="11" t="s">
        <v>1021</v>
      </c>
      <c r="AQ84" s="11" t="s">
        <v>1409</v>
      </c>
      <c r="AR84" s="11" t="s">
        <v>1023</v>
      </c>
      <c r="AS84" s="11" t="s">
        <v>1410</v>
      </c>
      <c r="AT84" s="11" t="s">
        <v>1025</v>
      </c>
      <c r="AU84" s="11" t="s">
        <v>1409</v>
      </c>
      <c r="AV84" s="11" t="s">
        <v>1410</v>
      </c>
      <c r="AW84" s="12">
        <v>2</v>
      </c>
      <c r="AX84" s="12">
        <v>2</v>
      </c>
      <c r="AY84" s="12">
        <v>2</v>
      </c>
      <c r="AZ84" s="12">
        <v>2</v>
      </c>
      <c r="BA84" s="12">
        <v>3</v>
      </c>
      <c r="BB84" s="12">
        <v>2</v>
      </c>
      <c r="BC84" s="12">
        <v>1</v>
      </c>
      <c r="BD84" s="11" t="s">
        <v>1026</v>
      </c>
      <c r="BE84" s="11" t="s">
        <v>1027</v>
      </c>
    </row>
    <row r="85" spans="1:57" s="8" customFormat="1" ht="58" x14ac:dyDescent="0.35">
      <c r="A85" s="7" t="s">
        <v>20</v>
      </c>
      <c r="B85" s="7" t="s">
        <v>21</v>
      </c>
      <c r="C85" s="3" t="s">
        <v>191</v>
      </c>
      <c r="D85" s="3" t="s">
        <v>57</v>
      </c>
      <c r="E85" s="3"/>
      <c r="F85" s="3" t="s">
        <v>53</v>
      </c>
      <c r="G85" s="3" t="s">
        <v>50</v>
      </c>
      <c r="H85" s="4">
        <v>875</v>
      </c>
      <c r="I85" s="4">
        <v>300</v>
      </c>
      <c r="J85" s="3" t="s">
        <v>26</v>
      </c>
      <c r="K85" s="4" t="b">
        <v>0</v>
      </c>
      <c r="L85" s="6">
        <v>0.33333333333333298</v>
      </c>
      <c r="M85" s="6">
        <v>0.33333333333333298</v>
      </c>
      <c r="N85" s="3" t="s">
        <v>58</v>
      </c>
      <c r="O85" s="3" t="s">
        <v>59</v>
      </c>
      <c r="P85" s="3" t="s">
        <v>192</v>
      </c>
      <c r="Q85" s="3" t="s">
        <v>1402</v>
      </c>
      <c r="R85" s="3" t="s">
        <v>1139</v>
      </c>
      <c r="S85" s="3" t="s">
        <v>1403</v>
      </c>
      <c r="T85" s="3" t="s">
        <v>1404</v>
      </c>
      <c r="U85" s="11" t="s">
        <v>1405</v>
      </c>
      <c r="V85" s="11" t="s">
        <v>1009</v>
      </c>
      <c r="W85" s="11" t="s">
        <v>1010</v>
      </c>
      <c r="X85" s="13">
        <v>0.9</v>
      </c>
      <c r="Y85" s="12"/>
      <c r="Z85" s="11" t="s">
        <v>1406</v>
      </c>
      <c r="AA85" s="11"/>
      <c r="AB85" s="11"/>
      <c r="AC85" s="11">
        <v>0</v>
      </c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 t="s">
        <v>1019</v>
      </c>
      <c r="AO85" s="11" t="s">
        <v>1408</v>
      </c>
      <c r="AP85" s="11" t="s">
        <v>1021</v>
      </c>
      <c r="AQ85" s="11" t="s">
        <v>1409</v>
      </c>
      <c r="AR85" s="11" t="s">
        <v>1023</v>
      </c>
      <c r="AS85" s="11" t="s">
        <v>1410</v>
      </c>
      <c r="AT85" s="11" t="s">
        <v>1025</v>
      </c>
      <c r="AU85" s="11" t="s">
        <v>1409</v>
      </c>
      <c r="AV85" s="11" t="s">
        <v>1410</v>
      </c>
      <c r="AW85" s="12">
        <v>2</v>
      </c>
      <c r="AX85" s="12">
        <v>2</v>
      </c>
      <c r="AY85" s="12">
        <v>2</v>
      </c>
      <c r="AZ85" s="12">
        <v>2</v>
      </c>
      <c r="BA85" s="12">
        <v>3</v>
      </c>
      <c r="BB85" s="12">
        <v>2</v>
      </c>
      <c r="BC85" s="12">
        <v>1</v>
      </c>
      <c r="BD85" s="11" t="s">
        <v>1026</v>
      </c>
      <c r="BE85" s="11" t="s">
        <v>1027</v>
      </c>
    </row>
    <row r="86" spans="1:57" s="8" customFormat="1" ht="58" x14ac:dyDescent="0.35">
      <c r="A86" s="7" t="s">
        <v>20</v>
      </c>
      <c r="B86" s="7" t="s">
        <v>21</v>
      </c>
      <c r="C86" s="3" t="s">
        <v>193</v>
      </c>
      <c r="D86" s="3" t="s">
        <v>57</v>
      </c>
      <c r="E86" s="3"/>
      <c r="F86" s="3" t="s">
        <v>53</v>
      </c>
      <c r="G86" s="3" t="s">
        <v>50</v>
      </c>
      <c r="H86" s="4">
        <v>586</v>
      </c>
      <c r="I86" s="4">
        <v>300</v>
      </c>
      <c r="J86" s="3" t="s">
        <v>26</v>
      </c>
      <c r="K86" s="4" t="b">
        <v>0</v>
      </c>
      <c r="L86" s="6">
        <v>0.33333333333333298</v>
      </c>
      <c r="M86" s="6">
        <v>0.33333333333333298</v>
      </c>
      <c r="N86" s="3" t="s">
        <v>58</v>
      </c>
      <c r="O86" s="3" t="s">
        <v>59</v>
      </c>
      <c r="P86" s="3" t="s">
        <v>194</v>
      </c>
      <c r="Q86" s="3" t="s">
        <v>1411</v>
      </c>
      <c r="R86" s="3" t="s">
        <v>1029</v>
      </c>
      <c r="S86" s="3" t="s">
        <v>1006</v>
      </c>
      <c r="T86" s="3" t="s">
        <v>1007</v>
      </c>
      <c r="U86" s="11" t="s">
        <v>1412</v>
      </c>
      <c r="V86" s="11" t="s">
        <v>1064</v>
      </c>
      <c r="W86" s="11" t="s">
        <v>1065</v>
      </c>
      <c r="X86" s="13">
        <v>1</v>
      </c>
      <c r="Y86" s="12"/>
      <c r="Z86" s="11"/>
      <c r="AA86" s="11"/>
      <c r="AB86" s="11"/>
      <c r="AC86" s="11">
        <v>0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 t="s">
        <v>1019</v>
      </c>
      <c r="AO86" s="11" t="s">
        <v>1413</v>
      </c>
      <c r="AP86" s="11" t="s">
        <v>1021</v>
      </c>
      <c r="AQ86" s="11" t="s">
        <v>1414</v>
      </c>
      <c r="AR86" s="11" t="s">
        <v>1048</v>
      </c>
      <c r="AS86" s="11" t="s">
        <v>1415</v>
      </c>
      <c r="AT86" s="11" t="s">
        <v>1048</v>
      </c>
      <c r="AU86" s="11" t="s">
        <v>1414</v>
      </c>
      <c r="AV86" s="11" t="s">
        <v>1415</v>
      </c>
      <c r="AW86" s="12">
        <v>1</v>
      </c>
      <c r="AX86" s="12">
        <v>1</v>
      </c>
      <c r="AY86" s="12">
        <v>1</v>
      </c>
      <c r="AZ86" s="12">
        <v>1</v>
      </c>
      <c r="BA86" s="12">
        <v>3</v>
      </c>
      <c r="BB86" s="12">
        <v>1</v>
      </c>
      <c r="BC86" s="12">
        <v>3</v>
      </c>
      <c r="BD86" s="11" t="s">
        <v>1026</v>
      </c>
      <c r="BE86" s="11" t="s">
        <v>1027</v>
      </c>
    </row>
    <row r="87" spans="1:57" s="8" customFormat="1" ht="72.5" x14ac:dyDescent="0.35">
      <c r="A87" s="7" t="s">
        <v>20</v>
      </c>
      <c r="B87" s="7" t="s">
        <v>21</v>
      </c>
      <c r="C87" s="3" t="s">
        <v>195</v>
      </c>
      <c r="D87" s="3" t="s">
        <v>172</v>
      </c>
      <c r="E87" s="3" t="s">
        <v>172</v>
      </c>
      <c r="F87" s="3" t="s">
        <v>31</v>
      </c>
      <c r="G87" s="3" t="s">
        <v>25</v>
      </c>
      <c r="H87" s="4">
        <v>378</v>
      </c>
      <c r="I87" s="4">
        <v>90</v>
      </c>
      <c r="J87" s="3" t="s">
        <v>26</v>
      </c>
      <c r="K87" s="4" t="b">
        <v>1</v>
      </c>
      <c r="L87" s="6">
        <v>1</v>
      </c>
      <c r="M87" s="6">
        <v>1</v>
      </c>
      <c r="N87" s="3" t="s">
        <v>173</v>
      </c>
      <c r="O87" s="3"/>
      <c r="P87" s="3" t="s">
        <v>196</v>
      </c>
      <c r="Q87" s="3" t="s">
        <v>1416</v>
      </c>
      <c r="R87" s="3" t="s">
        <v>1029</v>
      </c>
      <c r="S87" s="3" t="s">
        <v>1006</v>
      </c>
      <c r="T87" s="3" t="s">
        <v>1007</v>
      </c>
      <c r="U87" s="11" t="s">
        <v>1417</v>
      </c>
      <c r="V87" s="11" t="s">
        <v>1031</v>
      </c>
      <c r="W87" s="11" t="s">
        <v>1032</v>
      </c>
      <c r="X87" s="13">
        <v>0.7</v>
      </c>
      <c r="Y87" s="12"/>
      <c r="Z87" s="11"/>
      <c r="AA87" s="11"/>
      <c r="AB87" s="11"/>
      <c r="AC87" s="11">
        <v>0</v>
      </c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 t="s">
        <v>1019</v>
      </c>
      <c r="AO87" s="11" t="s">
        <v>1418</v>
      </c>
      <c r="AP87" s="11" t="s">
        <v>1114</v>
      </c>
      <c r="AQ87" s="11"/>
      <c r="AR87" s="11" t="s">
        <v>1034</v>
      </c>
      <c r="AS87" s="11"/>
      <c r="AT87" s="11" t="s">
        <v>1034</v>
      </c>
      <c r="AU87" s="11"/>
      <c r="AV87" s="11"/>
      <c r="AW87" s="12">
        <v>29</v>
      </c>
      <c r="AX87" s="12">
        <v>0</v>
      </c>
      <c r="AY87" s="12">
        <v>0</v>
      </c>
      <c r="AZ87" s="12"/>
      <c r="BA87" s="12"/>
      <c r="BB87" s="12"/>
      <c r="BC87" s="12"/>
      <c r="BD87" s="11" t="s">
        <v>1115</v>
      </c>
      <c r="BE87" s="11" t="s">
        <v>1116</v>
      </c>
    </row>
    <row r="88" spans="1:57" s="8" customFormat="1" ht="58" x14ac:dyDescent="0.35">
      <c r="A88" s="7" t="s">
        <v>20</v>
      </c>
      <c r="B88" s="7" t="s">
        <v>21</v>
      </c>
      <c r="C88" s="3" t="s">
        <v>197</v>
      </c>
      <c r="D88" s="3" t="s">
        <v>57</v>
      </c>
      <c r="E88" s="3"/>
      <c r="F88" s="3" t="s">
        <v>53</v>
      </c>
      <c r="G88" s="3" t="s">
        <v>50</v>
      </c>
      <c r="H88" s="4">
        <v>356</v>
      </c>
      <c r="I88" s="4">
        <v>300</v>
      </c>
      <c r="J88" s="3" t="s">
        <v>26</v>
      </c>
      <c r="K88" s="4" t="b">
        <v>0</v>
      </c>
      <c r="L88" s="6">
        <v>0.33333333333333298</v>
      </c>
      <c r="M88" s="6">
        <v>0.33333333333333298</v>
      </c>
      <c r="N88" s="3" t="s">
        <v>58</v>
      </c>
      <c r="O88" s="3" t="s">
        <v>59</v>
      </c>
      <c r="P88" s="3" t="s">
        <v>198</v>
      </c>
      <c r="Q88" s="3" t="s">
        <v>1419</v>
      </c>
      <c r="R88" s="3" t="s">
        <v>1074</v>
      </c>
      <c r="S88" s="3" t="s">
        <v>1006</v>
      </c>
      <c r="T88" s="3" t="s">
        <v>1007</v>
      </c>
      <c r="U88" s="11" t="s">
        <v>1420</v>
      </c>
      <c r="V88" s="11" t="s">
        <v>1031</v>
      </c>
      <c r="W88" s="11" t="s">
        <v>1032</v>
      </c>
      <c r="X88" s="13">
        <v>0.7</v>
      </c>
      <c r="Y88" s="12"/>
      <c r="Z88" s="11"/>
      <c r="AA88" s="11"/>
      <c r="AB88" s="11"/>
      <c r="AC88" s="11">
        <v>0</v>
      </c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 t="s">
        <v>1019</v>
      </c>
      <c r="AO88" s="11" t="s">
        <v>1421</v>
      </c>
      <c r="AP88" s="11" t="s">
        <v>1021</v>
      </c>
      <c r="AQ88" s="11"/>
      <c r="AR88" s="11" t="s">
        <v>1034</v>
      </c>
      <c r="AS88" s="11" t="s">
        <v>1422</v>
      </c>
      <c r="AT88" s="11" t="s">
        <v>1050</v>
      </c>
      <c r="AU88" s="11"/>
      <c r="AV88" s="11" t="s">
        <v>1422</v>
      </c>
      <c r="AW88" s="12">
        <v>1</v>
      </c>
      <c r="AX88" s="12">
        <v>1</v>
      </c>
      <c r="AY88" s="12">
        <v>1</v>
      </c>
      <c r="AZ88" s="12"/>
      <c r="BA88" s="12"/>
      <c r="BB88" s="12">
        <v>1</v>
      </c>
      <c r="BC88" s="12">
        <v>1</v>
      </c>
      <c r="BD88" s="11" t="s">
        <v>1036</v>
      </c>
      <c r="BE88" s="11" t="s">
        <v>1037</v>
      </c>
    </row>
    <row r="89" spans="1:57" s="8" customFormat="1" ht="58" x14ac:dyDescent="0.35">
      <c r="A89" s="7" t="s">
        <v>20</v>
      </c>
      <c r="B89" s="7" t="s">
        <v>21</v>
      </c>
      <c r="C89" s="3" t="s">
        <v>199</v>
      </c>
      <c r="D89" s="3" t="s">
        <v>172</v>
      </c>
      <c r="E89" s="3"/>
      <c r="F89" s="3" t="s">
        <v>31</v>
      </c>
      <c r="G89" s="3" t="s">
        <v>50</v>
      </c>
      <c r="H89" s="4">
        <v>338</v>
      </c>
      <c r="I89" s="4">
        <v>90</v>
      </c>
      <c r="J89" s="3" t="s">
        <v>26</v>
      </c>
      <c r="K89" s="4" t="b">
        <v>1</v>
      </c>
      <c r="L89" s="6">
        <v>1</v>
      </c>
      <c r="M89" s="6">
        <v>1</v>
      </c>
      <c r="N89" s="3" t="s">
        <v>173</v>
      </c>
      <c r="O89" s="3"/>
      <c r="P89" s="3" t="s">
        <v>200</v>
      </c>
      <c r="Q89" s="3" t="s">
        <v>1423</v>
      </c>
      <c r="R89" s="3" t="s">
        <v>1029</v>
      </c>
      <c r="S89" s="3" t="s">
        <v>1006</v>
      </c>
      <c r="T89" s="3" t="s">
        <v>1007</v>
      </c>
      <c r="U89" s="11" t="s">
        <v>1424</v>
      </c>
      <c r="V89" s="11" t="s">
        <v>1064</v>
      </c>
      <c r="W89" s="11" t="s">
        <v>1065</v>
      </c>
      <c r="X89" s="13">
        <v>1</v>
      </c>
      <c r="Y89" s="12"/>
      <c r="Z89" s="11"/>
      <c r="AA89" s="11"/>
      <c r="AB89" s="11"/>
      <c r="AC89" s="11">
        <v>0</v>
      </c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 t="s">
        <v>1019</v>
      </c>
      <c r="AO89" s="11" t="s">
        <v>1425</v>
      </c>
      <c r="AP89" s="11" t="s">
        <v>1021</v>
      </c>
      <c r="AQ89" s="11" t="s">
        <v>1426</v>
      </c>
      <c r="AR89" s="11" t="s">
        <v>1048</v>
      </c>
      <c r="AS89" s="11" t="s">
        <v>1427</v>
      </c>
      <c r="AT89" s="11" t="s">
        <v>1050</v>
      </c>
      <c r="AU89" s="11" t="s">
        <v>1426</v>
      </c>
      <c r="AV89" s="11" t="s">
        <v>1427</v>
      </c>
      <c r="AW89" s="12">
        <v>1</v>
      </c>
      <c r="AX89" s="12">
        <v>1</v>
      </c>
      <c r="AY89" s="12">
        <v>1</v>
      </c>
      <c r="AZ89" s="12">
        <v>1</v>
      </c>
      <c r="BA89" s="12">
        <v>2</v>
      </c>
      <c r="BB89" s="12">
        <v>1</v>
      </c>
      <c r="BC89" s="12">
        <v>1</v>
      </c>
      <c r="BD89" s="11" t="s">
        <v>1026</v>
      </c>
      <c r="BE89" s="11" t="s">
        <v>1051</v>
      </c>
    </row>
    <row r="90" spans="1:57" s="8" customFormat="1" ht="58" x14ac:dyDescent="0.35">
      <c r="A90" s="7" t="s">
        <v>20</v>
      </c>
      <c r="B90" s="7" t="s">
        <v>21</v>
      </c>
      <c r="C90" s="3" t="s">
        <v>201</v>
      </c>
      <c r="D90" s="3" t="s">
        <v>57</v>
      </c>
      <c r="E90" s="3"/>
      <c r="F90" s="3" t="s">
        <v>53</v>
      </c>
      <c r="G90" s="3" t="s">
        <v>50</v>
      </c>
      <c r="H90" s="4">
        <v>828</v>
      </c>
      <c r="I90" s="4">
        <v>300</v>
      </c>
      <c r="J90" s="3" t="s">
        <v>26</v>
      </c>
      <c r="K90" s="4" t="b">
        <v>0</v>
      </c>
      <c r="L90" s="6">
        <v>0.33333333333333298</v>
      </c>
      <c r="M90" s="6">
        <v>0.33333333333333298</v>
      </c>
      <c r="N90" s="3" t="s">
        <v>58</v>
      </c>
      <c r="O90" s="3" t="s">
        <v>59</v>
      </c>
      <c r="P90" s="3" t="s">
        <v>202</v>
      </c>
      <c r="Q90" s="3" t="s">
        <v>1428</v>
      </c>
      <c r="R90" s="3" t="s">
        <v>1029</v>
      </c>
      <c r="S90" s="3" t="s">
        <v>1006</v>
      </c>
      <c r="T90" s="3" t="s">
        <v>1007</v>
      </c>
      <c r="U90" s="11" t="s">
        <v>1429</v>
      </c>
      <c r="V90" s="11" t="s">
        <v>1064</v>
      </c>
      <c r="W90" s="11" t="s">
        <v>1065</v>
      </c>
      <c r="X90" s="13">
        <v>1</v>
      </c>
      <c r="Y90" s="12"/>
      <c r="Z90" s="11"/>
      <c r="AA90" s="11"/>
      <c r="AB90" s="11"/>
      <c r="AC90" s="11">
        <v>0</v>
      </c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 t="s">
        <v>1019</v>
      </c>
      <c r="AO90" s="11" t="s">
        <v>1430</v>
      </c>
      <c r="AP90" s="11" t="s">
        <v>1021</v>
      </c>
      <c r="AQ90" s="11" t="s">
        <v>1431</v>
      </c>
      <c r="AR90" s="11" t="s">
        <v>1048</v>
      </c>
      <c r="AS90" s="11" t="s">
        <v>1432</v>
      </c>
      <c r="AT90" s="11" t="s">
        <v>1050</v>
      </c>
      <c r="AU90" s="11" t="s">
        <v>1433</v>
      </c>
      <c r="AV90" s="11" t="s">
        <v>1432</v>
      </c>
      <c r="AW90" s="12">
        <v>1</v>
      </c>
      <c r="AX90" s="12">
        <v>2</v>
      </c>
      <c r="AY90" s="12">
        <v>2</v>
      </c>
      <c r="AZ90" s="12">
        <v>1</v>
      </c>
      <c r="BA90" s="12">
        <v>3</v>
      </c>
      <c r="BB90" s="12">
        <v>1</v>
      </c>
      <c r="BC90" s="12">
        <v>1</v>
      </c>
      <c r="BD90" s="11" t="s">
        <v>1026</v>
      </c>
      <c r="BE90" s="11" t="s">
        <v>1051</v>
      </c>
    </row>
    <row r="91" spans="1:57" s="8" customFormat="1" ht="58" x14ac:dyDescent="0.35">
      <c r="A91" s="7" t="s">
        <v>20</v>
      </c>
      <c r="B91" s="7" t="s">
        <v>21</v>
      </c>
      <c r="C91" s="3" t="s">
        <v>203</v>
      </c>
      <c r="D91" s="3" t="s">
        <v>23</v>
      </c>
      <c r="E91" s="3"/>
      <c r="F91" s="3" t="s">
        <v>24</v>
      </c>
      <c r="G91" s="3" t="s">
        <v>50</v>
      </c>
      <c r="H91" s="4">
        <v>1147</v>
      </c>
      <c r="I91" s="4">
        <v>800</v>
      </c>
      <c r="J91" s="3" t="s">
        <v>26</v>
      </c>
      <c r="K91" s="4" t="b">
        <v>0</v>
      </c>
      <c r="L91" s="6">
        <v>0.5</v>
      </c>
      <c r="M91" s="6">
        <v>0.5</v>
      </c>
      <c r="N91" s="3" t="s">
        <v>75</v>
      </c>
      <c r="O91" s="3" t="s">
        <v>76</v>
      </c>
      <c r="P91" s="3" t="s">
        <v>204</v>
      </c>
      <c r="Q91" s="3" t="s">
        <v>1434</v>
      </c>
      <c r="R91" s="3" t="s">
        <v>1029</v>
      </c>
      <c r="S91" s="3" t="s">
        <v>1006</v>
      </c>
      <c r="T91" s="3" t="s">
        <v>1435</v>
      </c>
      <c r="U91" s="11" t="s">
        <v>1436</v>
      </c>
      <c r="V91" s="11" t="s">
        <v>1031</v>
      </c>
      <c r="W91" s="11" t="s">
        <v>1032</v>
      </c>
      <c r="X91" s="13">
        <v>0.7</v>
      </c>
      <c r="Y91" s="12"/>
      <c r="Z91" s="11"/>
      <c r="AA91" s="11"/>
      <c r="AB91" s="11"/>
      <c r="AC91" s="11">
        <v>0</v>
      </c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 t="s">
        <v>1019</v>
      </c>
      <c r="AO91" s="11" t="s">
        <v>1437</v>
      </c>
      <c r="AP91" s="11" t="s">
        <v>1021</v>
      </c>
      <c r="AQ91" s="11" t="s">
        <v>1438</v>
      </c>
      <c r="AR91" s="11" t="s">
        <v>1048</v>
      </c>
      <c r="AS91" s="11" t="s">
        <v>1439</v>
      </c>
      <c r="AT91" s="11" t="s">
        <v>1048</v>
      </c>
      <c r="AU91" s="11" t="s">
        <v>1438</v>
      </c>
      <c r="AV91" s="11" t="s">
        <v>1439</v>
      </c>
      <c r="AW91" s="12">
        <v>1</v>
      </c>
      <c r="AX91" s="12">
        <v>1</v>
      </c>
      <c r="AY91" s="12">
        <v>1</v>
      </c>
      <c r="AZ91" s="12">
        <v>1</v>
      </c>
      <c r="BA91" s="12">
        <v>2</v>
      </c>
      <c r="BB91" s="12">
        <v>1</v>
      </c>
      <c r="BC91" s="12">
        <v>2</v>
      </c>
      <c r="BD91" s="11" t="s">
        <v>1026</v>
      </c>
      <c r="BE91" s="11" t="s">
        <v>1027</v>
      </c>
    </row>
    <row r="92" spans="1:57" s="8" customFormat="1" ht="58" x14ac:dyDescent="0.35">
      <c r="A92" s="7" t="s">
        <v>20</v>
      </c>
      <c r="B92" s="7" t="s">
        <v>21</v>
      </c>
      <c r="C92" s="3" t="s">
        <v>205</v>
      </c>
      <c r="D92" s="3" t="s">
        <v>122</v>
      </c>
      <c r="E92" s="3"/>
      <c r="F92" s="3" t="s">
        <v>53</v>
      </c>
      <c r="G92" s="3" t="s">
        <v>50</v>
      </c>
      <c r="H92" s="4">
        <v>821</v>
      </c>
      <c r="I92" s="4">
        <v>150</v>
      </c>
      <c r="J92" s="3" t="s">
        <v>26</v>
      </c>
      <c r="K92" s="4" t="b">
        <v>1</v>
      </c>
      <c r="L92" s="6">
        <v>1</v>
      </c>
      <c r="M92" s="6">
        <v>1</v>
      </c>
      <c r="N92" s="3" t="s">
        <v>123</v>
      </c>
      <c r="O92" s="3"/>
      <c r="P92" s="3" t="s">
        <v>206</v>
      </c>
      <c r="Q92" s="3" t="s">
        <v>1440</v>
      </c>
      <c r="R92" s="3" t="s">
        <v>1441</v>
      </c>
      <c r="S92" s="3" t="s">
        <v>1442</v>
      </c>
      <c r="T92" s="3" t="s">
        <v>1443</v>
      </c>
      <c r="U92" s="11" t="s">
        <v>1444</v>
      </c>
      <c r="V92" s="11" t="s">
        <v>1009</v>
      </c>
      <c r="W92" s="11" t="s">
        <v>1010</v>
      </c>
      <c r="X92" s="13">
        <v>0.74</v>
      </c>
      <c r="Y92" s="12" t="s">
        <v>1445</v>
      </c>
      <c r="Z92" s="11" t="s">
        <v>1446</v>
      </c>
      <c r="AA92" s="11"/>
      <c r="AB92" s="11"/>
      <c r="AC92" s="11">
        <v>0</v>
      </c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 t="s">
        <v>1019</v>
      </c>
      <c r="AO92" s="11" t="s">
        <v>1447</v>
      </c>
      <c r="AP92" s="11" t="s">
        <v>1021</v>
      </c>
      <c r="AQ92" s="11" t="s">
        <v>1448</v>
      </c>
      <c r="AR92" s="11" t="s">
        <v>1048</v>
      </c>
      <c r="AS92" s="11" t="s">
        <v>1449</v>
      </c>
      <c r="AT92" s="11" t="s">
        <v>1050</v>
      </c>
      <c r="AU92" s="11" t="s">
        <v>1448</v>
      </c>
      <c r="AV92" s="11" t="s">
        <v>1449</v>
      </c>
      <c r="AW92" s="12">
        <v>1</v>
      </c>
      <c r="AX92" s="12">
        <v>1</v>
      </c>
      <c r="AY92" s="12">
        <v>1</v>
      </c>
      <c r="AZ92" s="12">
        <v>1</v>
      </c>
      <c r="BA92" s="12">
        <v>3</v>
      </c>
      <c r="BB92" s="12">
        <v>1</v>
      </c>
      <c r="BC92" s="12">
        <v>1</v>
      </c>
      <c r="BD92" s="11" t="s">
        <v>1026</v>
      </c>
      <c r="BE92" s="11" t="s">
        <v>1051</v>
      </c>
    </row>
    <row r="93" spans="1:57" s="8" customFormat="1" ht="58" x14ac:dyDescent="0.35">
      <c r="A93" s="7" t="s">
        <v>20</v>
      </c>
      <c r="B93" s="7" t="s">
        <v>21</v>
      </c>
      <c r="C93" s="3" t="s">
        <v>207</v>
      </c>
      <c r="D93" s="3" t="s">
        <v>52</v>
      </c>
      <c r="E93" s="3"/>
      <c r="F93" s="3" t="s">
        <v>53</v>
      </c>
      <c r="G93" s="3" t="s">
        <v>50</v>
      </c>
      <c r="H93" s="4">
        <v>836</v>
      </c>
      <c r="I93" s="4">
        <v>500</v>
      </c>
      <c r="J93" s="3" t="s">
        <v>26</v>
      </c>
      <c r="K93" s="4" t="b">
        <v>0</v>
      </c>
      <c r="L93" s="6">
        <v>0.33333333333333298</v>
      </c>
      <c r="M93" s="6">
        <v>0.33333333333333298</v>
      </c>
      <c r="N93" s="3" t="s">
        <v>54</v>
      </c>
      <c r="O93" s="3" t="s">
        <v>55</v>
      </c>
      <c r="P93" s="3" t="s">
        <v>208</v>
      </c>
      <c r="Q93" s="3" t="s">
        <v>1450</v>
      </c>
      <c r="R93" s="3" t="s">
        <v>1154</v>
      </c>
      <c r="S93" s="3" t="s">
        <v>1006</v>
      </c>
      <c r="T93" s="3" t="s">
        <v>1007</v>
      </c>
      <c r="U93" s="11" t="s">
        <v>1451</v>
      </c>
      <c r="V93" s="11" t="s">
        <v>1064</v>
      </c>
      <c r="W93" s="11" t="s">
        <v>1065</v>
      </c>
      <c r="X93" s="13">
        <v>1</v>
      </c>
      <c r="Y93" s="12"/>
      <c r="Z93" s="11"/>
      <c r="AA93" s="11"/>
      <c r="AB93" s="11"/>
      <c r="AC93" s="11">
        <v>2</v>
      </c>
      <c r="AD93" s="11" t="s">
        <v>1452</v>
      </c>
      <c r="AE93" s="11" t="s">
        <v>1453</v>
      </c>
      <c r="AF93" s="11" t="s">
        <v>1014</v>
      </c>
      <c r="AG93" s="11" t="s">
        <v>1015</v>
      </c>
      <c r="AH93" s="11" t="s">
        <v>54</v>
      </c>
      <c r="AI93" s="11" t="s">
        <v>1016</v>
      </c>
      <c r="AJ93" s="11"/>
      <c r="AK93" s="11" t="s">
        <v>1454</v>
      </c>
      <c r="AL93" s="11" t="s">
        <v>1017</v>
      </c>
      <c r="AM93" s="11" t="s">
        <v>1455</v>
      </c>
      <c r="AN93" s="11" t="s">
        <v>1019</v>
      </c>
      <c r="AO93" s="11" t="s">
        <v>1456</v>
      </c>
      <c r="AP93" s="11" t="s">
        <v>1021</v>
      </c>
      <c r="AQ93" s="11" t="s">
        <v>1457</v>
      </c>
      <c r="AR93" s="11" t="s">
        <v>1048</v>
      </c>
      <c r="AS93" s="11" t="s">
        <v>1458</v>
      </c>
      <c r="AT93" s="11" t="s">
        <v>1050</v>
      </c>
      <c r="AU93" s="11" t="s">
        <v>1457</v>
      </c>
      <c r="AV93" s="11" t="s">
        <v>1458</v>
      </c>
      <c r="AW93" s="12">
        <v>1</v>
      </c>
      <c r="AX93" s="12">
        <v>1</v>
      </c>
      <c r="AY93" s="12">
        <v>1</v>
      </c>
      <c r="AZ93" s="12">
        <v>1</v>
      </c>
      <c r="BA93" s="12">
        <v>2</v>
      </c>
      <c r="BB93" s="12">
        <v>1</v>
      </c>
      <c r="BC93" s="12">
        <v>1</v>
      </c>
      <c r="BD93" s="11" t="s">
        <v>1026</v>
      </c>
      <c r="BE93" s="11" t="s">
        <v>1051</v>
      </c>
    </row>
    <row r="94" spans="1:57" s="8" customFormat="1" ht="58" x14ac:dyDescent="0.35">
      <c r="A94" s="7" t="s">
        <v>20</v>
      </c>
      <c r="B94" s="7" t="s">
        <v>21</v>
      </c>
      <c r="C94" s="3" t="s">
        <v>209</v>
      </c>
      <c r="D94" s="3" t="s">
        <v>57</v>
      </c>
      <c r="E94" s="3"/>
      <c r="F94" s="3" t="s">
        <v>53</v>
      </c>
      <c r="G94" s="3" t="s">
        <v>50</v>
      </c>
      <c r="H94" s="4">
        <v>736</v>
      </c>
      <c r="I94" s="4">
        <v>300</v>
      </c>
      <c r="J94" s="3" t="s">
        <v>26</v>
      </c>
      <c r="K94" s="4" t="b">
        <v>0</v>
      </c>
      <c r="L94" s="6">
        <v>0.33333333333333298</v>
      </c>
      <c r="M94" s="6">
        <v>0.33333333333333298</v>
      </c>
      <c r="N94" s="3" t="s">
        <v>58</v>
      </c>
      <c r="O94" s="3" t="s">
        <v>59</v>
      </c>
      <c r="P94" s="3" t="s">
        <v>210</v>
      </c>
      <c r="Q94" s="3" t="s">
        <v>1459</v>
      </c>
      <c r="R94" s="3" t="s">
        <v>1074</v>
      </c>
      <c r="S94" s="3" t="s">
        <v>1006</v>
      </c>
      <c r="T94" s="3" t="s">
        <v>1007</v>
      </c>
      <c r="U94" s="11" t="s">
        <v>1460</v>
      </c>
      <c r="V94" s="11" t="s">
        <v>1064</v>
      </c>
      <c r="W94" s="11" t="s">
        <v>1065</v>
      </c>
      <c r="X94" s="13">
        <v>1</v>
      </c>
      <c r="Y94" s="12"/>
      <c r="Z94" s="11"/>
      <c r="AA94" s="11"/>
      <c r="AB94" s="11"/>
      <c r="AC94" s="11">
        <v>1</v>
      </c>
      <c r="AD94" s="11" t="s">
        <v>1227</v>
      </c>
      <c r="AE94" s="11" t="s">
        <v>1461</v>
      </c>
      <c r="AF94" s="11" t="s">
        <v>1014</v>
      </c>
      <c r="AG94" s="11" t="s">
        <v>1015</v>
      </c>
      <c r="AH94" s="11"/>
      <c r="AI94" s="11" t="s">
        <v>1016</v>
      </c>
      <c r="AJ94" s="11"/>
      <c r="AK94" s="11" t="s">
        <v>1229</v>
      </c>
      <c r="AL94" s="11" t="s">
        <v>1017</v>
      </c>
      <c r="AM94" s="11" t="s">
        <v>1230</v>
      </c>
      <c r="AN94" s="11" t="s">
        <v>1019</v>
      </c>
      <c r="AO94" s="11" t="s">
        <v>1462</v>
      </c>
      <c r="AP94" s="11" t="s">
        <v>1021</v>
      </c>
      <c r="AQ94" s="11" t="s">
        <v>1463</v>
      </c>
      <c r="AR94" s="11" t="s">
        <v>1048</v>
      </c>
      <c r="AS94" s="11" t="s">
        <v>1464</v>
      </c>
      <c r="AT94" s="11" t="s">
        <v>1025</v>
      </c>
      <c r="AU94" s="11" t="s">
        <v>1465</v>
      </c>
      <c r="AV94" s="11" t="s">
        <v>1464</v>
      </c>
      <c r="AW94" s="12">
        <v>3</v>
      </c>
      <c r="AX94" s="12">
        <v>2</v>
      </c>
      <c r="AY94" s="12">
        <v>3</v>
      </c>
      <c r="AZ94" s="12">
        <v>1</v>
      </c>
      <c r="BA94" s="12">
        <v>2</v>
      </c>
      <c r="BB94" s="12">
        <v>3</v>
      </c>
      <c r="BC94" s="12">
        <v>1</v>
      </c>
      <c r="BD94" s="11" t="s">
        <v>1026</v>
      </c>
      <c r="BE94" s="11" t="s">
        <v>1027</v>
      </c>
    </row>
    <row r="95" spans="1:57" s="8" customFormat="1" ht="58" x14ac:dyDescent="0.35">
      <c r="A95" s="7" t="s">
        <v>20</v>
      </c>
      <c r="B95" s="7" t="s">
        <v>21</v>
      </c>
      <c r="C95" s="3" t="s">
        <v>211</v>
      </c>
      <c r="D95" s="3" t="s">
        <v>57</v>
      </c>
      <c r="E95" s="3"/>
      <c r="F95" s="3" t="s">
        <v>53</v>
      </c>
      <c r="G95" s="3" t="s">
        <v>50</v>
      </c>
      <c r="H95" s="4">
        <v>705</v>
      </c>
      <c r="I95" s="4">
        <v>300</v>
      </c>
      <c r="J95" s="3" t="s">
        <v>26</v>
      </c>
      <c r="K95" s="4" t="b">
        <v>0</v>
      </c>
      <c r="L95" s="6">
        <v>0.33333333333333298</v>
      </c>
      <c r="M95" s="6">
        <v>0.33333333333333298</v>
      </c>
      <c r="N95" s="3" t="s">
        <v>58</v>
      </c>
      <c r="O95" s="3" t="s">
        <v>59</v>
      </c>
      <c r="P95" s="3" t="s">
        <v>212</v>
      </c>
      <c r="Q95" s="3" t="s">
        <v>1466</v>
      </c>
      <c r="R95" s="3" t="s">
        <v>1005</v>
      </c>
      <c r="S95" s="3" t="s">
        <v>1006</v>
      </c>
      <c r="T95" s="3" t="s">
        <v>1467</v>
      </c>
      <c r="U95" s="11" t="s">
        <v>1468</v>
      </c>
      <c r="V95" s="11" t="s">
        <v>1064</v>
      </c>
      <c r="W95" s="11" t="s">
        <v>1065</v>
      </c>
      <c r="X95" s="13">
        <v>1</v>
      </c>
      <c r="Y95" s="12"/>
      <c r="Z95" s="11"/>
      <c r="AA95" s="11"/>
      <c r="AB95" s="11"/>
      <c r="AC95" s="11">
        <v>0</v>
      </c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 t="s">
        <v>1019</v>
      </c>
      <c r="AO95" s="11" t="s">
        <v>1469</v>
      </c>
      <c r="AP95" s="11" t="s">
        <v>1021</v>
      </c>
      <c r="AQ95" s="11" t="s">
        <v>1470</v>
      </c>
      <c r="AR95" s="11" t="s">
        <v>1048</v>
      </c>
      <c r="AS95" s="11" t="s">
        <v>1471</v>
      </c>
      <c r="AT95" s="11" t="s">
        <v>1050</v>
      </c>
      <c r="AU95" s="11" t="s">
        <v>1470</v>
      </c>
      <c r="AV95" s="11" t="s">
        <v>1471</v>
      </c>
      <c r="AW95" s="12">
        <v>1</v>
      </c>
      <c r="AX95" s="12">
        <v>1</v>
      </c>
      <c r="AY95" s="12">
        <v>1</v>
      </c>
      <c r="AZ95" s="12">
        <v>1</v>
      </c>
      <c r="BA95" s="12">
        <v>3</v>
      </c>
      <c r="BB95" s="12">
        <v>1</v>
      </c>
      <c r="BC95" s="12">
        <v>1</v>
      </c>
      <c r="BD95" s="11" t="s">
        <v>1026</v>
      </c>
      <c r="BE95" s="11" t="s">
        <v>1051</v>
      </c>
    </row>
    <row r="96" spans="1:57" s="8" customFormat="1" ht="72.5" x14ac:dyDescent="0.35">
      <c r="A96" s="7" t="s">
        <v>20</v>
      </c>
      <c r="B96" s="7" t="s">
        <v>21</v>
      </c>
      <c r="C96" s="3" t="s">
        <v>213</v>
      </c>
      <c r="D96" s="3" t="s">
        <v>41</v>
      </c>
      <c r="E96" s="3" t="s">
        <v>41</v>
      </c>
      <c r="F96" s="3" t="s">
        <v>36</v>
      </c>
      <c r="G96" s="3" t="s">
        <v>25</v>
      </c>
      <c r="H96" s="4">
        <v>1303</v>
      </c>
      <c r="I96" s="4">
        <v>150</v>
      </c>
      <c r="J96" s="3" t="s">
        <v>26</v>
      </c>
      <c r="K96" s="4" t="b">
        <v>1</v>
      </c>
      <c r="L96" s="6">
        <v>1</v>
      </c>
      <c r="M96" s="6">
        <v>1</v>
      </c>
      <c r="N96" s="3" t="s">
        <v>42</v>
      </c>
      <c r="O96" s="3"/>
      <c r="P96" s="3" t="s">
        <v>214</v>
      </c>
      <c r="Q96" s="3" t="s">
        <v>1472</v>
      </c>
      <c r="R96" s="3" t="s">
        <v>1039</v>
      </c>
      <c r="S96" s="3" t="s">
        <v>1473</v>
      </c>
      <c r="T96" s="3" t="s">
        <v>1474</v>
      </c>
      <c r="U96" s="11" t="s">
        <v>1475</v>
      </c>
      <c r="V96" s="11" t="s">
        <v>1043</v>
      </c>
      <c r="W96" s="11" t="s">
        <v>1044</v>
      </c>
      <c r="X96" s="13">
        <v>0.75</v>
      </c>
      <c r="Y96" s="12" t="s">
        <v>1476</v>
      </c>
      <c r="Z96" s="11"/>
      <c r="AA96" s="11"/>
      <c r="AB96" s="11"/>
      <c r="AC96" s="11">
        <v>0</v>
      </c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 t="s">
        <v>1019</v>
      </c>
      <c r="AO96" s="11" t="s">
        <v>1477</v>
      </c>
      <c r="AP96" s="11" t="s">
        <v>1114</v>
      </c>
      <c r="AQ96" s="11"/>
      <c r="AR96" s="11" t="s">
        <v>1034</v>
      </c>
      <c r="AS96" s="11"/>
      <c r="AT96" s="11" t="s">
        <v>1034</v>
      </c>
      <c r="AU96" s="11"/>
      <c r="AV96" s="11"/>
      <c r="AW96" s="12">
        <v>1</v>
      </c>
      <c r="AX96" s="12">
        <v>1</v>
      </c>
      <c r="AY96" s="12">
        <v>1</v>
      </c>
      <c r="AZ96" s="12"/>
      <c r="BA96" s="12"/>
      <c r="BB96" s="12"/>
      <c r="BC96" s="12"/>
      <c r="BD96" s="11" t="s">
        <v>1115</v>
      </c>
      <c r="BE96" s="11" t="s">
        <v>1116</v>
      </c>
    </row>
    <row r="97" spans="1:57" s="8" customFormat="1" ht="58" x14ac:dyDescent="0.35">
      <c r="A97" s="7" t="s">
        <v>20</v>
      </c>
      <c r="B97" s="7" t="s">
        <v>21</v>
      </c>
      <c r="C97" s="3" t="s">
        <v>215</v>
      </c>
      <c r="D97" s="3" t="s">
        <v>41</v>
      </c>
      <c r="E97" s="3" t="s">
        <v>41</v>
      </c>
      <c r="F97" s="3" t="s">
        <v>36</v>
      </c>
      <c r="G97" s="3" t="s">
        <v>25</v>
      </c>
      <c r="H97" s="4">
        <v>1390</v>
      </c>
      <c r="I97" s="4">
        <v>150</v>
      </c>
      <c r="J97" s="3" t="s">
        <v>26</v>
      </c>
      <c r="K97" s="4" t="b">
        <v>1</v>
      </c>
      <c r="L97" s="6">
        <v>1</v>
      </c>
      <c r="M97" s="6">
        <v>1</v>
      </c>
      <c r="N97" s="3" t="s">
        <v>42</v>
      </c>
      <c r="O97" s="3"/>
      <c r="P97" s="3" t="s">
        <v>216</v>
      </c>
      <c r="Q97" s="3" t="s">
        <v>1478</v>
      </c>
      <c r="R97" s="3" t="s">
        <v>1039</v>
      </c>
      <c r="S97" s="3" t="s">
        <v>1006</v>
      </c>
      <c r="T97" s="3" t="s">
        <v>1007</v>
      </c>
      <c r="U97" s="11" t="s">
        <v>1479</v>
      </c>
      <c r="V97" s="11" t="s">
        <v>1043</v>
      </c>
      <c r="W97" s="11" t="s">
        <v>1044</v>
      </c>
      <c r="X97" s="13">
        <v>1</v>
      </c>
      <c r="Y97" s="12"/>
      <c r="Z97" s="11"/>
      <c r="AA97" s="11"/>
      <c r="AB97" s="11"/>
      <c r="AC97" s="11">
        <v>0</v>
      </c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 t="s">
        <v>1019</v>
      </c>
      <c r="AO97" s="11" t="s">
        <v>1480</v>
      </c>
      <c r="AP97" s="11" t="s">
        <v>1021</v>
      </c>
      <c r="AQ97" s="11" t="s">
        <v>1481</v>
      </c>
      <c r="AR97" s="11" t="s">
        <v>1023</v>
      </c>
      <c r="AS97" s="11"/>
      <c r="AT97" s="11" t="s">
        <v>1034</v>
      </c>
      <c r="AU97" s="11" t="s">
        <v>1481</v>
      </c>
      <c r="AV97" s="11"/>
      <c r="AW97" s="12">
        <v>3</v>
      </c>
      <c r="AX97" s="12">
        <v>3</v>
      </c>
      <c r="AY97" s="12">
        <v>3</v>
      </c>
      <c r="AZ97" s="12">
        <v>3</v>
      </c>
      <c r="BA97" s="12">
        <v>5</v>
      </c>
      <c r="BB97" s="12"/>
      <c r="BC97" s="12"/>
      <c r="BD97" s="11" t="s">
        <v>1093</v>
      </c>
      <c r="BE97" s="11" t="s">
        <v>1037</v>
      </c>
    </row>
    <row r="98" spans="1:57" s="8" customFormat="1" ht="43.5" x14ac:dyDescent="0.35">
      <c r="A98" s="7" t="s">
        <v>20</v>
      </c>
      <c r="B98" s="7" t="s">
        <v>21</v>
      </c>
      <c r="C98" s="3" t="s">
        <v>217</v>
      </c>
      <c r="D98" s="3" t="s">
        <v>57</v>
      </c>
      <c r="E98" s="3"/>
      <c r="F98" s="3" t="s">
        <v>53</v>
      </c>
      <c r="G98" s="3" t="s">
        <v>50</v>
      </c>
      <c r="H98" s="4">
        <v>491</v>
      </c>
      <c r="I98" s="4">
        <v>300</v>
      </c>
      <c r="J98" s="3" t="s">
        <v>26</v>
      </c>
      <c r="K98" s="4" t="b">
        <v>0</v>
      </c>
      <c r="L98" s="6">
        <v>0.33333333333333298</v>
      </c>
      <c r="M98" s="6">
        <v>0.33333333333333298</v>
      </c>
      <c r="N98" s="3" t="s">
        <v>58</v>
      </c>
      <c r="O98" s="3" t="s">
        <v>59</v>
      </c>
      <c r="P98" s="3" t="s">
        <v>218</v>
      </c>
      <c r="Q98" s="3" t="s">
        <v>1482</v>
      </c>
      <c r="R98" s="3" t="s">
        <v>1029</v>
      </c>
      <c r="S98" s="3" t="s">
        <v>1006</v>
      </c>
      <c r="T98" s="3" t="s">
        <v>1007</v>
      </c>
      <c r="U98" s="11" t="s">
        <v>1483</v>
      </c>
      <c r="V98" s="11" t="s">
        <v>1031</v>
      </c>
      <c r="W98" s="11" t="s">
        <v>1032</v>
      </c>
      <c r="X98" s="13">
        <v>0.7</v>
      </c>
      <c r="Y98" s="12"/>
      <c r="Z98" s="11"/>
      <c r="AA98" s="11"/>
      <c r="AB98" s="11"/>
      <c r="AC98" s="11">
        <v>0</v>
      </c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 t="s">
        <v>1019</v>
      </c>
      <c r="AO98" s="11" t="s">
        <v>1484</v>
      </c>
      <c r="AP98" s="11" t="s">
        <v>1021</v>
      </c>
      <c r="AQ98" s="11" t="s">
        <v>1485</v>
      </c>
      <c r="AR98" s="11" t="s">
        <v>1050</v>
      </c>
      <c r="AS98" s="11" t="s">
        <v>1486</v>
      </c>
      <c r="AT98" s="11" t="s">
        <v>1050</v>
      </c>
      <c r="AU98" s="11" t="s">
        <v>1485</v>
      </c>
      <c r="AV98" s="11" t="s">
        <v>1486</v>
      </c>
      <c r="AW98" s="12">
        <v>1</v>
      </c>
      <c r="AX98" s="12">
        <v>1</v>
      </c>
      <c r="AY98" s="12">
        <v>1</v>
      </c>
      <c r="AZ98" s="12">
        <v>1</v>
      </c>
      <c r="BA98" s="12">
        <v>1</v>
      </c>
      <c r="BB98" s="12">
        <v>1</v>
      </c>
      <c r="BC98" s="12">
        <v>1</v>
      </c>
      <c r="BD98" s="11" t="s">
        <v>1026</v>
      </c>
      <c r="BE98" s="11" t="s">
        <v>1103</v>
      </c>
    </row>
    <row r="99" spans="1:57" s="8" customFormat="1" ht="43.5" x14ac:dyDescent="0.35">
      <c r="A99" s="7" t="s">
        <v>20</v>
      </c>
      <c r="B99" s="7" t="s">
        <v>21</v>
      </c>
      <c r="C99" s="3" t="s">
        <v>217</v>
      </c>
      <c r="D99" s="3" t="s">
        <v>98</v>
      </c>
      <c r="E99" s="3" t="s">
        <v>98</v>
      </c>
      <c r="F99" s="3" t="s">
        <v>53</v>
      </c>
      <c r="G99" s="3" t="s">
        <v>25</v>
      </c>
      <c r="H99" s="4">
        <v>491</v>
      </c>
      <c r="I99" s="4">
        <v>300</v>
      </c>
      <c r="J99" s="3" t="s">
        <v>26</v>
      </c>
      <c r="K99" s="4" t="b">
        <v>1</v>
      </c>
      <c r="L99" s="6">
        <v>1</v>
      </c>
      <c r="M99" s="6">
        <v>1</v>
      </c>
      <c r="N99" s="3" t="s">
        <v>219</v>
      </c>
      <c r="O99" s="3"/>
      <c r="P99" s="3" t="s">
        <v>218</v>
      </c>
      <c r="Q99" s="3" t="s">
        <v>1482</v>
      </c>
      <c r="R99" s="3" t="s">
        <v>1029</v>
      </c>
      <c r="S99" s="3" t="s">
        <v>1006</v>
      </c>
      <c r="T99" s="3" t="s">
        <v>1007</v>
      </c>
      <c r="U99" s="11" t="s">
        <v>1483</v>
      </c>
      <c r="V99" s="11" t="s">
        <v>1031</v>
      </c>
      <c r="W99" s="11" t="s">
        <v>1032</v>
      </c>
      <c r="X99" s="13">
        <v>0.7</v>
      </c>
      <c r="Y99" s="12"/>
      <c r="Z99" s="11"/>
      <c r="AA99" s="11"/>
      <c r="AB99" s="11"/>
      <c r="AC99" s="11">
        <v>0</v>
      </c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 t="s">
        <v>1019</v>
      </c>
      <c r="AO99" s="11" t="s">
        <v>1484</v>
      </c>
      <c r="AP99" s="11" t="s">
        <v>1021</v>
      </c>
      <c r="AQ99" s="11" t="s">
        <v>1485</v>
      </c>
      <c r="AR99" s="11" t="s">
        <v>1050</v>
      </c>
      <c r="AS99" s="11" t="s">
        <v>1486</v>
      </c>
      <c r="AT99" s="11" t="s">
        <v>1050</v>
      </c>
      <c r="AU99" s="11" t="s">
        <v>1485</v>
      </c>
      <c r="AV99" s="11" t="s">
        <v>1486</v>
      </c>
      <c r="AW99" s="12">
        <v>1</v>
      </c>
      <c r="AX99" s="12">
        <v>1</v>
      </c>
      <c r="AY99" s="12">
        <v>1</v>
      </c>
      <c r="AZ99" s="12">
        <v>1</v>
      </c>
      <c r="BA99" s="12">
        <v>1</v>
      </c>
      <c r="BB99" s="12">
        <v>1</v>
      </c>
      <c r="BC99" s="12">
        <v>1</v>
      </c>
      <c r="BD99" s="11" t="s">
        <v>1026</v>
      </c>
      <c r="BE99" s="11" t="s">
        <v>1103</v>
      </c>
    </row>
    <row r="100" spans="1:57" s="8" customFormat="1" ht="319" x14ac:dyDescent="0.35">
      <c r="A100" s="7" t="s">
        <v>20</v>
      </c>
      <c r="B100" s="7" t="s">
        <v>21</v>
      </c>
      <c r="C100" s="3" t="s">
        <v>220</v>
      </c>
      <c r="D100" s="3" t="s">
        <v>221</v>
      </c>
      <c r="E100" s="3" t="s">
        <v>221</v>
      </c>
      <c r="F100" s="3" t="s">
        <v>31</v>
      </c>
      <c r="G100" s="3" t="s">
        <v>25</v>
      </c>
      <c r="H100" s="4">
        <v>2483</v>
      </c>
      <c r="I100" s="4">
        <v>500</v>
      </c>
      <c r="J100" s="3" t="s">
        <v>26</v>
      </c>
      <c r="K100" s="4" t="b">
        <v>1</v>
      </c>
      <c r="L100" s="6">
        <v>1</v>
      </c>
      <c r="M100" s="6">
        <v>1</v>
      </c>
      <c r="N100" s="3" t="s">
        <v>222</v>
      </c>
      <c r="O100" s="3"/>
      <c r="P100" s="3" t="s">
        <v>223</v>
      </c>
      <c r="Q100" s="3" t="s">
        <v>1487</v>
      </c>
      <c r="R100" s="3" t="s">
        <v>1029</v>
      </c>
      <c r="S100" s="3" t="s">
        <v>1006</v>
      </c>
      <c r="T100" s="3" t="s">
        <v>1007</v>
      </c>
      <c r="U100" s="11" t="s">
        <v>1488</v>
      </c>
      <c r="V100" s="11" t="s">
        <v>1009</v>
      </c>
      <c r="W100" s="11" t="s">
        <v>1010</v>
      </c>
      <c r="X100" s="13">
        <v>0.85</v>
      </c>
      <c r="Y100" s="12"/>
      <c r="Z100" s="11" t="s">
        <v>1489</v>
      </c>
      <c r="AA100" s="11"/>
      <c r="AB100" s="11"/>
      <c r="AC100" s="11">
        <v>0</v>
      </c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 t="s">
        <v>1019</v>
      </c>
      <c r="AO100" s="11" t="s">
        <v>1490</v>
      </c>
      <c r="AP100" s="11" t="s">
        <v>1021</v>
      </c>
      <c r="AQ100" s="11" t="s">
        <v>1491</v>
      </c>
      <c r="AR100" s="11" t="s">
        <v>1023</v>
      </c>
      <c r="AS100" s="11" t="s">
        <v>1492</v>
      </c>
      <c r="AT100" s="11" t="s">
        <v>1025</v>
      </c>
      <c r="AU100" s="11" t="s">
        <v>1491</v>
      </c>
      <c r="AV100" s="11" t="s">
        <v>1492</v>
      </c>
      <c r="AW100" s="12">
        <v>2</v>
      </c>
      <c r="AX100" s="12">
        <v>2</v>
      </c>
      <c r="AY100" s="12">
        <v>2</v>
      </c>
      <c r="AZ100" s="12">
        <v>2</v>
      </c>
      <c r="BA100" s="12">
        <v>3</v>
      </c>
      <c r="BB100" s="12">
        <v>2</v>
      </c>
      <c r="BC100" s="12">
        <v>1</v>
      </c>
      <c r="BD100" s="11" t="s">
        <v>1026</v>
      </c>
      <c r="BE100" s="11" t="s">
        <v>1027</v>
      </c>
    </row>
    <row r="101" spans="1:57" s="8" customFormat="1" ht="72.5" x14ac:dyDescent="0.35">
      <c r="A101" s="7" t="s">
        <v>20</v>
      </c>
      <c r="B101" s="7" t="s">
        <v>21</v>
      </c>
      <c r="C101" s="3" t="s">
        <v>224</v>
      </c>
      <c r="D101" s="3" t="s">
        <v>83</v>
      </c>
      <c r="E101" s="3"/>
      <c r="F101" s="3" t="s">
        <v>84</v>
      </c>
      <c r="G101" s="3" t="s">
        <v>50</v>
      </c>
      <c r="H101" s="4">
        <v>1462</v>
      </c>
      <c r="I101" s="4">
        <v>500</v>
      </c>
      <c r="J101" s="3" t="s">
        <v>26</v>
      </c>
      <c r="K101" s="4" t="b">
        <v>0</v>
      </c>
      <c r="L101" s="6">
        <v>0.5</v>
      </c>
      <c r="M101" s="6">
        <v>0.5</v>
      </c>
      <c r="N101" s="3" t="s">
        <v>225</v>
      </c>
      <c r="O101" s="3" t="s">
        <v>226</v>
      </c>
      <c r="P101" s="3" t="s">
        <v>227</v>
      </c>
      <c r="Q101" s="3" t="s">
        <v>1493</v>
      </c>
      <c r="R101" s="3" t="s">
        <v>1139</v>
      </c>
      <c r="S101" s="3" t="s">
        <v>1494</v>
      </c>
      <c r="T101" s="3" t="s">
        <v>1495</v>
      </c>
      <c r="U101" s="11" t="s">
        <v>1496</v>
      </c>
      <c r="V101" s="11" t="s">
        <v>1497</v>
      </c>
      <c r="W101" s="11" t="s">
        <v>1498</v>
      </c>
      <c r="X101" s="13">
        <v>0.73</v>
      </c>
      <c r="Y101" s="12"/>
      <c r="Z101" s="11" t="s">
        <v>1499</v>
      </c>
      <c r="AA101" s="11"/>
      <c r="AB101" s="11"/>
      <c r="AC101" s="11">
        <v>0</v>
      </c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 t="s">
        <v>1019</v>
      </c>
      <c r="AO101" s="11" t="s">
        <v>1500</v>
      </c>
      <c r="AP101" s="11" t="s">
        <v>1114</v>
      </c>
      <c r="AQ101" s="11"/>
      <c r="AR101" s="11" t="s">
        <v>1034</v>
      </c>
      <c r="AS101" s="11"/>
      <c r="AT101" s="11" t="s">
        <v>1034</v>
      </c>
      <c r="AU101" s="11"/>
      <c r="AV101" s="11"/>
      <c r="AW101" s="12">
        <v>1</v>
      </c>
      <c r="AX101" s="12">
        <v>1</v>
      </c>
      <c r="AY101" s="12">
        <v>1</v>
      </c>
      <c r="AZ101" s="12"/>
      <c r="BA101" s="12"/>
      <c r="BB101" s="12"/>
      <c r="BC101" s="12"/>
      <c r="BD101" s="11" t="s">
        <v>1115</v>
      </c>
      <c r="BE101" s="11" t="s">
        <v>1116</v>
      </c>
    </row>
    <row r="102" spans="1:57" s="8" customFormat="1" ht="58" x14ac:dyDescent="0.35">
      <c r="A102" s="7" t="s">
        <v>20</v>
      </c>
      <c r="B102" s="7" t="s">
        <v>21</v>
      </c>
      <c r="C102" s="3" t="s">
        <v>228</v>
      </c>
      <c r="D102" s="3" t="s">
        <v>52</v>
      </c>
      <c r="E102" s="3"/>
      <c r="F102" s="3" t="s">
        <v>53</v>
      </c>
      <c r="G102" s="3" t="s">
        <v>50</v>
      </c>
      <c r="H102" s="4">
        <v>416</v>
      </c>
      <c r="I102" s="4">
        <v>500</v>
      </c>
      <c r="J102" s="3" t="s">
        <v>74</v>
      </c>
      <c r="K102" s="4" t="b">
        <v>0</v>
      </c>
      <c r="L102" s="6">
        <v>0.33333333333333298</v>
      </c>
      <c r="M102" s="6">
        <v>0.33333333333333298</v>
      </c>
      <c r="N102" s="3" t="s">
        <v>54</v>
      </c>
      <c r="O102" s="3" t="s">
        <v>55</v>
      </c>
      <c r="P102" s="3" t="s">
        <v>229</v>
      </c>
      <c r="Q102" s="3" t="s">
        <v>1501</v>
      </c>
      <c r="R102" s="3" t="s">
        <v>1029</v>
      </c>
      <c r="S102" s="3" t="s">
        <v>1006</v>
      </c>
      <c r="T102" s="3" t="s">
        <v>1158</v>
      </c>
      <c r="U102" s="11" t="s">
        <v>1502</v>
      </c>
      <c r="V102" s="11" t="s">
        <v>1064</v>
      </c>
      <c r="W102" s="11" t="s">
        <v>1065</v>
      </c>
      <c r="X102" s="13">
        <v>1</v>
      </c>
      <c r="Y102" s="12"/>
      <c r="Z102" s="11"/>
      <c r="AA102" s="11"/>
      <c r="AB102" s="11"/>
      <c r="AC102" s="11">
        <v>0</v>
      </c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 t="s">
        <v>1019</v>
      </c>
      <c r="AO102" s="11" t="s">
        <v>1503</v>
      </c>
      <c r="AP102" s="11" t="s">
        <v>1021</v>
      </c>
      <c r="AQ102" s="11" t="s">
        <v>1504</v>
      </c>
      <c r="AR102" s="11" t="s">
        <v>1048</v>
      </c>
      <c r="AS102" s="11"/>
      <c r="AT102" s="11" t="s">
        <v>1034</v>
      </c>
      <c r="AU102" s="11" t="s">
        <v>1505</v>
      </c>
      <c r="AV102" s="11"/>
      <c r="AW102" s="12">
        <v>1</v>
      </c>
      <c r="AX102" s="12">
        <v>2</v>
      </c>
      <c r="AY102" s="12">
        <v>2</v>
      </c>
      <c r="AZ102" s="12">
        <v>1</v>
      </c>
      <c r="BA102" s="12">
        <v>4</v>
      </c>
      <c r="BB102" s="12"/>
      <c r="BC102" s="12"/>
      <c r="BD102" s="11" t="s">
        <v>1093</v>
      </c>
      <c r="BE102" s="11" t="s">
        <v>1037</v>
      </c>
    </row>
    <row r="103" spans="1:57" s="8" customFormat="1" ht="58" x14ac:dyDescent="0.35">
      <c r="A103" s="7" t="s">
        <v>20</v>
      </c>
      <c r="B103" s="7" t="s">
        <v>21</v>
      </c>
      <c r="C103" s="3" t="s">
        <v>228</v>
      </c>
      <c r="D103" s="3" t="s">
        <v>57</v>
      </c>
      <c r="E103" s="3"/>
      <c r="F103" s="3" t="s">
        <v>53</v>
      </c>
      <c r="G103" s="3" t="s">
        <v>50</v>
      </c>
      <c r="H103" s="4">
        <v>416</v>
      </c>
      <c r="I103" s="4">
        <v>300</v>
      </c>
      <c r="J103" s="3" t="s">
        <v>26</v>
      </c>
      <c r="K103" s="4" t="b">
        <v>0</v>
      </c>
      <c r="L103" s="6">
        <v>0.33333333333333298</v>
      </c>
      <c r="M103" s="6">
        <v>0.33333333333333298</v>
      </c>
      <c r="N103" s="3" t="s">
        <v>58</v>
      </c>
      <c r="O103" s="3" t="s">
        <v>59</v>
      </c>
      <c r="P103" s="3" t="s">
        <v>229</v>
      </c>
      <c r="Q103" s="3" t="s">
        <v>1501</v>
      </c>
      <c r="R103" s="3" t="s">
        <v>1029</v>
      </c>
      <c r="S103" s="3" t="s">
        <v>1006</v>
      </c>
      <c r="T103" s="3" t="s">
        <v>1158</v>
      </c>
      <c r="U103" s="11" t="s">
        <v>1502</v>
      </c>
      <c r="V103" s="11" t="s">
        <v>1064</v>
      </c>
      <c r="W103" s="11" t="s">
        <v>1065</v>
      </c>
      <c r="X103" s="13">
        <v>1</v>
      </c>
      <c r="Y103" s="12"/>
      <c r="Z103" s="11"/>
      <c r="AA103" s="11"/>
      <c r="AB103" s="11"/>
      <c r="AC103" s="11">
        <v>0</v>
      </c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 t="s">
        <v>1019</v>
      </c>
      <c r="AO103" s="11" t="s">
        <v>1503</v>
      </c>
      <c r="AP103" s="11" t="s">
        <v>1021</v>
      </c>
      <c r="AQ103" s="11" t="s">
        <v>1504</v>
      </c>
      <c r="AR103" s="11" t="s">
        <v>1048</v>
      </c>
      <c r="AS103" s="11"/>
      <c r="AT103" s="11" t="s">
        <v>1034</v>
      </c>
      <c r="AU103" s="11" t="s">
        <v>1505</v>
      </c>
      <c r="AV103" s="11"/>
      <c r="AW103" s="12">
        <v>1</v>
      </c>
      <c r="AX103" s="12">
        <v>2</v>
      </c>
      <c r="AY103" s="12">
        <v>2</v>
      </c>
      <c r="AZ103" s="12">
        <v>1</v>
      </c>
      <c r="BA103" s="12">
        <v>4</v>
      </c>
      <c r="BB103" s="12"/>
      <c r="BC103" s="12"/>
      <c r="BD103" s="11" t="s">
        <v>1093</v>
      </c>
      <c r="BE103" s="11" t="s">
        <v>1037</v>
      </c>
    </row>
    <row r="104" spans="1:57" s="8" customFormat="1" ht="203" x14ac:dyDescent="0.35">
      <c r="A104" s="7" t="s">
        <v>20</v>
      </c>
      <c r="B104" s="7" t="s">
        <v>21</v>
      </c>
      <c r="C104" s="3" t="s">
        <v>230</v>
      </c>
      <c r="D104" s="3" t="s">
        <v>231</v>
      </c>
      <c r="E104" s="3"/>
      <c r="F104" s="3" t="s">
        <v>31</v>
      </c>
      <c r="G104" s="3" t="s">
        <v>50</v>
      </c>
      <c r="H104" s="4">
        <v>2597</v>
      </c>
      <c r="I104" s="4">
        <v>400</v>
      </c>
      <c r="J104" s="3" t="s">
        <v>26</v>
      </c>
      <c r="K104" s="4" t="b">
        <v>1</v>
      </c>
      <c r="L104" s="6">
        <v>1</v>
      </c>
      <c r="M104" s="6">
        <v>1</v>
      </c>
      <c r="N104" s="3" t="s">
        <v>232</v>
      </c>
      <c r="O104" s="3"/>
      <c r="P104" s="3" t="s">
        <v>233</v>
      </c>
      <c r="Q104" s="3" t="s">
        <v>1506</v>
      </c>
      <c r="R104" s="3" t="s">
        <v>1005</v>
      </c>
      <c r="S104" s="3" t="s">
        <v>1006</v>
      </c>
      <c r="T104" s="3" t="s">
        <v>1007</v>
      </c>
      <c r="U104" s="11" t="s">
        <v>1507</v>
      </c>
      <c r="V104" s="11" t="s">
        <v>1096</v>
      </c>
      <c r="W104" s="11" t="s">
        <v>1097</v>
      </c>
      <c r="X104" s="13">
        <v>0.65</v>
      </c>
      <c r="Y104" s="12"/>
      <c r="Z104" s="11" t="s">
        <v>1508</v>
      </c>
      <c r="AA104" s="11"/>
      <c r="AB104" s="11"/>
      <c r="AC104" s="11">
        <v>0</v>
      </c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 t="s">
        <v>1019</v>
      </c>
      <c r="AO104" s="11" t="s">
        <v>1509</v>
      </c>
      <c r="AP104" s="11" t="s">
        <v>1114</v>
      </c>
      <c r="AQ104" s="11"/>
      <c r="AR104" s="11" t="s">
        <v>1034</v>
      </c>
      <c r="AS104" s="11"/>
      <c r="AT104" s="11" t="s">
        <v>1034</v>
      </c>
      <c r="AU104" s="11"/>
      <c r="AV104" s="11"/>
      <c r="AW104" s="12">
        <v>1</v>
      </c>
      <c r="AX104" s="12">
        <v>1</v>
      </c>
      <c r="AY104" s="12">
        <v>1</v>
      </c>
      <c r="AZ104" s="12"/>
      <c r="BA104" s="12"/>
      <c r="BB104" s="12"/>
      <c r="BC104" s="12"/>
      <c r="BD104" s="11" t="s">
        <v>1115</v>
      </c>
      <c r="BE104" s="11" t="s">
        <v>1116</v>
      </c>
    </row>
    <row r="105" spans="1:57" s="8" customFormat="1" ht="58" x14ac:dyDescent="0.35">
      <c r="A105" s="7" t="s">
        <v>20</v>
      </c>
      <c r="B105" s="7" t="s">
        <v>21</v>
      </c>
      <c r="C105" s="3" t="s">
        <v>234</v>
      </c>
      <c r="D105" s="3" t="s">
        <v>57</v>
      </c>
      <c r="E105" s="3"/>
      <c r="F105" s="3" t="s">
        <v>53</v>
      </c>
      <c r="G105" s="3" t="s">
        <v>50</v>
      </c>
      <c r="H105" s="4">
        <v>422</v>
      </c>
      <c r="I105" s="4">
        <v>300</v>
      </c>
      <c r="J105" s="3" t="s">
        <v>26</v>
      </c>
      <c r="K105" s="4" t="b">
        <v>0</v>
      </c>
      <c r="L105" s="6">
        <v>0.33333333333333298</v>
      </c>
      <c r="M105" s="6">
        <v>0.33333333333333298</v>
      </c>
      <c r="N105" s="3" t="s">
        <v>58</v>
      </c>
      <c r="O105" s="3" t="s">
        <v>59</v>
      </c>
      <c r="P105" s="3" t="s">
        <v>235</v>
      </c>
      <c r="Q105" s="3" t="s">
        <v>1510</v>
      </c>
      <c r="R105" s="3" t="s">
        <v>1029</v>
      </c>
      <c r="S105" s="3" t="s">
        <v>1006</v>
      </c>
      <c r="T105" s="3" t="s">
        <v>1007</v>
      </c>
      <c r="U105" s="11" t="s">
        <v>1511</v>
      </c>
      <c r="V105" s="11" t="s">
        <v>1064</v>
      </c>
      <c r="W105" s="11" t="s">
        <v>1065</v>
      </c>
      <c r="X105" s="13">
        <v>1</v>
      </c>
      <c r="Y105" s="12"/>
      <c r="Z105" s="11"/>
      <c r="AA105" s="11"/>
      <c r="AB105" s="11"/>
      <c r="AC105" s="11">
        <v>0</v>
      </c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 t="s">
        <v>1019</v>
      </c>
      <c r="AO105" s="11" t="s">
        <v>1512</v>
      </c>
      <c r="AP105" s="11" t="s">
        <v>1021</v>
      </c>
      <c r="AQ105" s="11" t="s">
        <v>1513</v>
      </c>
      <c r="AR105" s="11" t="s">
        <v>1048</v>
      </c>
      <c r="AS105" s="11" t="s">
        <v>1514</v>
      </c>
      <c r="AT105" s="11" t="s">
        <v>1025</v>
      </c>
      <c r="AU105" s="11" t="s">
        <v>1515</v>
      </c>
      <c r="AV105" s="11" t="s">
        <v>1514</v>
      </c>
      <c r="AW105" s="12">
        <v>2</v>
      </c>
      <c r="AX105" s="12">
        <v>2</v>
      </c>
      <c r="AY105" s="12">
        <v>2</v>
      </c>
      <c r="AZ105" s="12">
        <v>1</v>
      </c>
      <c r="BA105" s="12">
        <v>2</v>
      </c>
      <c r="BB105" s="12">
        <v>2</v>
      </c>
      <c r="BC105" s="12">
        <v>1</v>
      </c>
      <c r="BD105" s="11" t="s">
        <v>1026</v>
      </c>
      <c r="BE105" s="11" t="s">
        <v>1027</v>
      </c>
    </row>
    <row r="106" spans="1:57" s="8" customFormat="1" ht="87" x14ac:dyDescent="0.35">
      <c r="A106" s="7" t="s">
        <v>20</v>
      </c>
      <c r="B106" s="7" t="s">
        <v>21</v>
      </c>
      <c r="C106" s="3" t="s">
        <v>236</v>
      </c>
      <c r="D106" s="3" t="s">
        <v>52</v>
      </c>
      <c r="E106" s="3"/>
      <c r="F106" s="3" t="s">
        <v>53</v>
      </c>
      <c r="G106" s="3" t="s">
        <v>50</v>
      </c>
      <c r="H106" s="4">
        <v>1142</v>
      </c>
      <c r="I106" s="4">
        <v>500</v>
      </c>
      <c r="J106" s="3" t="s">
        <v>26</v>
      </c>
      <c r="K106" s="4" t="b">
        <v>0</v>
      </c>
      <c r="L106" s="6">
        <v>0.33333333333333298</v>
      </c>
      <c r="M106" s="6">
        <v>0.33333333333333298</v>
      </c>
      <c r="N106" s="3" t="s">
        <v>54</v>
      </c>
      <c r="O106" s="3" t="s">
        <v>55</v>
      </c>
      <c r="P106" s="3" t="s">
        <v>237</v>
      </c>
      <c r="Q106" s="3" t="s">
        <v>1516</v>
      </c>
      <c r="R106" s="3" t="s">
        <v>1029</v>
      </c>
      <c r="S106" s="3" t="s">
        <v>1006</v>
      </c>
      <c r="T106" s="3" t="s">
        <v>1007</v>
      </c>
      <c r="U106" s="11" t="s">
        <v>1517</v>
      </c>
      <c r="V106" s="11" t="s">
        <v>1031</v>
      </c>
      <c r="W106" s="11" t="s">
        <v>1032</v>
      </c>
      <c r="X106" s="13">
        <v>0.7</v>
      </c>
      <c r="Y106" s="12"/>
      <c r="Z106" s="11"/>
      <c r="AA106" s="11"/>
      <c r="AB106" s="11"/>
      <c r="AC106" s="11">
        <v>7</v>
      </c>
      <c r="AD106" s="11" t="s">
        <v>1518</v>
      </c>
      <c r="AE106" s="11" t="s">
        <v>1519</v>
      </c>
      <c r="AF106" s="11" t="s">
        <v>1014</v>
      </c>
      <c r="AG106" s="11" t="s">
        <v>1015</v>
      </c>
      <c r="AH106" s="11" t="s">
        <v>1078</v>
      </c>
      <c r="AI106" s="11" t="s">
        <v>1016</v>
      </c>
      <c r="AJ106" s="11"/>
      <c r="AK106" s="11" t="s">
        <v>1520</v>
      </c>
      <c r="AL106" s="11" t="s">
        <v>1017</v>
      </c>
      <c r="AM106" s="11" t="s">
        <v>1521</v>
      </c>
      <c r="AN106" s="11" t="s">
        <v>1019</v>
      </c>
      <c r="AO106" s="11" t="s">
        <v>1522</v>
      </c>
      <c r="AP106" s="11" t="s">
        <v>1021</v>
      </c>
      <c r="AQ106" s="11" t="s">
        <v>1523</v>
      </c>
      <c r="AR106" s="11" t="s">
        <v>1048</v>
      </c>
      <c r="AS106" s="11" t="s">
        <v>1524</v>
      </c>
      <c r="AT106" s="11" t="s">
        <v>1050</v>
      </c>
      <c r="AU106" s="11" t="s">
        <v>1523</v>
      </c>
      <c r="AV106" s="11" t="s">
        <v>1524</v>
      </c>
      <c r="AW106" s="12">
        <v>1</v>
      </c>
      <c r="AX106" s="12">
        <v>1</v>
      </c>
      <c r="AY106" s="12">
        <v>1</v>
      </c>
      <c r="AZ106" s="12">
        <v>1</v>
      </c>
      <c r="BA106" s="12">
        <v>2</v>
      </c>
      <c r="BB106" s="12">
        <v>1</v>
      </c>
      <c r="BC106" s="12">
        <v>1</v>
      </c>
      <c r="BD106" s="11" t="s">
        <v>1026</v>
      </c>
      <c r="BE106" s="11" t="s">
        <v>1051</v>
      </c>
    </row>
    <row r="107" spans="1:57" s="8" customFormat="1" ht="58" x14ac:dyDescent="0.35">
      <c r="A107" s="7" t="s">
        <v>20</v>
      </c>
      <c r="B107" s="7" t="s">
        <v>21</v>
      </c>
      <c r="C107" s="3" t="s">
        <v>238</v>
      </c>
      <c r="D107" s="3" t="s">
        <v>45</v>
      </c>
      <c r="E107" s="3" t="s">
        <v>45</v>
      </c>
      <c r="F107" s="3" t="s">
        <v>46</v>
      </c>
      <c r="G107" s="3" t="s">
        <v>25</v>
      </c>
      <c r="H107" s="4">
        <v>412</v>
      </c>
      <c r="I107" s="4">
        <v>200</v>
      </c>
      <c r="J107" s="3" t="s">
        <v>26</v>
      </c>
      <c r="K107" s="4" t="b">
        <v>1</v>
      </c>
      <c r="L107" s="6">
        <v>1</v>
      </c>
      <c r="M107" s="6">
        <v>1</v>
      </c>
      <c r="N107" s="3" t="s">
        <v>47</v>
      </c>
      <c r="O107" s="3"/>
      <c r="P107" s="3" t="s">
        <v>239</v>
      </c>
      <c r="Q107" s="3" t="s">
        <v>1525</v>
      </c>
      <c r="R107" s="3" t="s">
        <v>1029</v>
      </c>
      <c r="S107" s="3" t="s">
        <v>1006</v>
      </c>
      <c r="T107" s="3" t="s">
        <v>1007</v>
      </c>
      <c r="U107" s="11" t="s">
        <v>1526</v>
      </c>
      <c r="V107" s="11" t="s">
        <v>1031</v>
      </c>
      <c r="W107" s="11" t="s">
        <v>1032</v>
      </c>
      <c r="X107" s="13">
        <v>0.7</v>
      </c>
      <c r="Y107" s="12"/>
      <c r="Z107" s="11"/>
      <c r="AA107" s="11"/>
      <c r="AB107" s="11"/>
      <c r="AC107" s="11">
        <v>0</v>
      </c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 t="s">
        <v>1019</v>
      </c>
      <c r="AO107" s="11" t="s">
        <v>1527</v>
      </c>
      <c r="AP107" s="11" t="s">
        <v>1021</v>
      </c>
      <c r="AQ107" s="11" t="s">
        <v>1528</v>
      </c>
      <c r="AR107" s="11" t="s">
        <v>1048</v>
      </c>
      <c r="AS107" s="11" t="s">
        <v>1529</v>
      </c>
      <c r="AT107" s="11" t="s">
        <v>1048</v>
      </c>
      <c r="AU107" s="11" t="s">
        <v>1528</v>
      </c>
      <c r="AV107" s="11" t="s">
        <v>1529</v>
      </c>
      <c r="AW107" s="12">
        <v>1</v>
      </c>
      <c r="AX107" s="12">
        <v>1</v>
      </c>
      <c r="AY107" s="12">
        <v>1</v>
      </c>
      <c r="AZ107" s="12">
        <v>1</v>
      </c>
      <c r="BA107" s="12">
        <v>3</v>
      </c>
      <c r="BB107" s="12">
        <v>1</v>
      </c>
      <c r="BC107" s="12">
        <v>3</v>
      </c>
      <c r="BD107" s="11" t="s">
        <v>1026</v>
      </c>
      <c r="BE107" s="11" t="s">
        <v>1027</v>
      </c>
    </row>
    <row r="108" spans="1:57" s="8" customFormat="1" ht="87" x14ac:dyDescent="0.35">
      <c r="A108" s="7" t="s">
        <v>20</v>
      </c>
      <c r="B108" s="7" t="s">
        <v>21</v>
      </c>
      <c r="C108" s="3" t="s">
        <v>240</v>
      </c>
      <c r="D108" s="3" t="s">
        <v>52</v>
      </c>
      <c r="E108" s="3"/>
      <c r="F108" s="3" t="s">
        <v>53</v>
      </c>
      <c r="G108" s="3" t="s">
        <v>50</v>
      </c>
      <c r="H108" s="4">
        <v>828</v>
      </c>
      <c r="I108" s="4">
        <v>500</v>
      </c>
      <c r="J108" s="3" t="s">
        <v>26</v>
      </c>
      <c r="K108" s="4" t="b">
        <v>0</v>
      </c>
      <c r="L108" s="6">
        <v>0.33333333333333298</v>
      </c>
      <c r="M108" s="6">
        <v>0.33333333333333298</v>
      </c>
      <c r="N108" s="3" t="s">
        <v>54</v>
      </c>
      <c r="O108" s="3" t="s">
        <v>55</v>
      </c>
      <c r="P108" s="3" t="s">
        <v>241</v>
      </c>
      <c r="Q108" s="3" t="s">
        <v>1530</v>
      </c>
      <c r="R108" s="3" t="s">
        <v>1139</v>
      </c>
      <c r="S108" s="3" t="s">
        <v>1531</v>
      </c>
      <c r="T108" s="3" t="s">
        <v>1007</v>
      </c>
      <c r="U108" s="11" t="s">
        <v>1532</v>
      </c>
      <c r="V108" s="11" t="s">
        <v>1096</v>
      </c>
      <c r="W108" s="11" t="s">
        <v>1097</v>
      </c>
      <c r="X108" s="13">
        <v>0.85</v>
      </c>
      <c r="Y108" s="12"/>
      <c r="Z108" s="11" t="s">
        <v>1533</v>
      </c>
      <c r="AA108" s="11"/>
      <c r="AB108" s="11"/>
      <c r="AC108" s="11">
        <v>6</v>
      </c>
      <c r="AD108" s="11" t="s">
        <v>1076</v>
      </c>
      <c r="AE108" s="11" t="s">
        <v>1534</v>
      </c>
      <c r="AF108" s="11" t="s">
        <v>1014</v>
      </c>
      <c r="AG108" s="11" t="s">
        <v>1015</v>
      </c>
      <c r="AH108" s="11"/>
      <c r="AI108" s="11" t="s">
        <v>1016</v>
      </c>
      <c r="AJ108" s="11"/>
      <c r="AK108" s="11" t="s">
        <v>1079</v>
      </c>
      <c r="AL108" s="11" t="s">
        <v>1017</v>
      </c>
      <c r="AM108" s="11" t="s">
        <v>1080</v>
      </c>
      <c r="AN108" s="11" t="s">
        <v>1019</v>
      </c>
      <c r="AO108" s="11" t="s">
        <v>1535</v>
      </c>
      <c r="AP108" s="11" t="s">
        <v>1021</v>
      </c>
      <c r="AQ108" s="11" t="s">
        <v>1536</v>
      </c>
      <c r="AR108" s="11" t="s">
        <v>1048</v>
      </c>
      <c r="AS108" s="11" t="s">
        <v>1537</v>
      </c>
      <c r="AT108" s="11" t="s">
        <v>1048</v>
      </c>
      <c r="AU108" s="11" t="s">
        <v>1536</v>
      </c>
      <c r="AV108" s="11" t="s">
        <v>1537</v>
      </c>
      <c r="AW108" s="12">
        <v>1</v>
      </c>
      <c r="AX108" s="12">
        <v>1</v>
      </c>
      <c r="AY108" s="12">
        <v>1</v>
      </c>
      <c r="AZ108" s="12">
        <v>1</v>
      </c>
      <c r="BA108" s="12">
        <v>4</v>
      </c>
      <c r="BB108" s="12">
        <v>1</v>
      </c>
      <c r="BC108" s="12">
        <v>2</v>
      </c>
      <c r="BD108" s="11" t="s">
        <v>1026</v>
      </c>
      <c r="BE108" s="11" t="s">
        <v>1027</v>
      </c>
    </row>
    <row r="109" spans="1:57" s="8" customFormat="1" ht="58" x14ac:dyDescent="0.35">
      <c r="A109" s="7" t="s">
        <v>20</v>
      </c>
      <c r="B109" s="7" t="s">
        <v>21</v>
      </c>
      <c r="C109" s="3" t="s">
        <v>240</v>
      </c>
      <c r="D109" s="3" t="s">
        <v>57</v>
      </c>
      <c r="E109" s="3"/>
      <c r="F109" s="3" t="s">
        <v>53</v>
      </c>
      <c r="G109" s="3" t="s">
        <v>50</v>
      </c>
      <c r="H109" s="4">
        <v>828</v>
      </c>
      <c r="I109" s="4">
        <v>300</v>
      </c>
      <c r="J109" s="3" t="s">
        <v>26</v>
      </c>
      <c r="K109" s="4" t="b">
        <v>0</v>
      </c>
      <c r="L109" s="6">
        <v>0.33333333333333298</v>
      </c>
      <c r="M109" s="6">
        <v>0.33333333333333298</v>
      </c>
      <c r="N109" s="3" t="s">
        <v>58</v>
      </c>
      <c r="O109" s="3" t="s">
        <v>59</v>
      </c>
      <c r="P109" s="3" t="s">
        <v>241</v>
      </c>
      <c r="Q109" s="3" t="s">
        <v>1530</v>
      </c>
      <c r="R109" s="3" t="s">
        <v>1139</v>
      </c>
      <c r="S109" s="3" t="s">
        <v>1531</v>
      </c>
      <c r="T109" s="3" t="s">
        <v>1007</v>
      </c>
      <c r="U109" s="11" t="s">
        <v>1532</v>
      </c>
      <c r="V109" s="11" t="s">
        <v>1096</v>
      </c>
      <c r="W109" s="11" t="s">
        <v>1097</v>
      </c>
      <c r="X109" s="13">
        <v>0.85</v>
      </c>
      <c r="Y109" s="12"/>
      <c r="Z109" s="11" t="s">
        <v>1533</v>
      </c>
      <c r="AA109" s="11"/>
      <c r="AB109" s="11"/>
      <c r="AC109" s="11">
        <v>0</v>
      </c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 t="s">
        <v>1019</v>
      </c>
      <c r="AO109" s="11" t="s">
        <v>1535</v>
      </c>
      <c r="AP109" s="11" t="s">
        <v>1021</v>
      </c>
      <c r="AQ109" s="11" t="s">
        <v>1536</v>
      </c>
      <c r="AR109" s="11" t="s">
        <v>1048</v>
      </c>
      <c r="AS109" s="11" t="s">
        <v>1537</v>
      </c>
      <c r="AT109" s="11" t="s">
        <v>1048</v>
      </c>
      <c r="AU109" s="11" t="s">
        <v>1536</v>
      </c>
      <c r="AV109" s="11" t="s">
        <v>1537</v>
      </c>
      <c r="AW109" s="12">
        <v>1</v>
      </c>
      <c r="AX109" s="12">
        <v>1</v>
      </c>
      <c r="AY109" s="12">
        <v>1</v>
      </c>
      <c r="AZ109" s="12">
        <v>1</v>
      </c>
      <c r="BA109" s="12">
        <v>4</v>
      </c>
      <c r="BB109" s="12">
        <v>1</v>
      </c>
      <c r="BC109" s="12">
        <v>2</v>
      </c>
      <c r="BD109" s="11" t="s">
        <v>1026</v>
      </c>
      <c r="BE109" s="11" t="s">
        <v>1027</v>
      </c>
    </row>
    <row r="110" spans="1:57" s="8" customFormat="1" ht="58" x14ac:dyDescent="0.35">
      <c r="A110" s="7" t="s">
        <v>20</v>
      </c>
      <c r="B110" s="7" t="s">
        <v>21</v>
      </c>
      <c r="C110" s="3" t="s">
        <v>240</v>
      </c>
      <c r="D110" s="3" t="s">
        <v>98</v>
      </c>
      <c r="E110" s="3"/>
      <c r="F110" s="3" t="s">
        <v>53</v>
      </c>
      <c r="G110" s="3" t="s">
        <v>50</v>
      </c>
      <c r="H110" s="4">
        <v>828</v>
      </c>
      <c r="I110" s="4">
        <v>300</v>
      </c>
      <c r="J110" s="3" t="s">
        <v>26</v>
      </c>
      <c r="K110" s="4" t="b">
        <v>0</v>
      </c>
      <c r="L110" s="6">
        <v>0.5</v>
      </c>
      <c r="M110" s="6">
        <v>0.5</v>
      </c>
      <c r="N110" s="3" t="s">
        <v>58</v>
      </c>
      <c r="O110" s="3" t="s">
        <v>99</v>
      </c>
      <c r="P110" s="3" t="s">
        <v>241</v>
      </c>
      <c r="Q110" s="3" t="s">
        <v>1530</v>
      </c>
      <c r="R110" s="3" t="s">
        <v>1139</v>
      </c>
      <c r="S110" s="3" t="s">
        <v>1531</v>
      </c>
      <c r="T110" s="3" t="s">
        <v>1007</v>
      </c>
      <c r="U110" s="11" t="s">
        <v>1532</v>
      </c>
      <c r="V110" s="11" t="s">
        <v>1096</v>
      </c>
      <c r="W110" s="11" t="s">
        <v>1097</v>
      </c>
      <c r="X110" s="13">
        <v>0.85</v>
      </c>
      <c r="Y110" s="12"/>
      <c r="Z110" s="11" t="s">
        <v>1533</v>
      </c>
      <c r="AA110" s="11"/>
      <c r="AB110" s="11"/>
      <c r="AC110" s="11">
        <v>0</v>
      </c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 t="s">
        <v>1019</v>
      </c>
      <c r="AO110" s="11" t="s">
        <v>1535</v>
      </c>
      <c r="AP110" s="11" t="s">
        <v>1021</v>
      </c>
      <c r="AQ110" s="11" t="s">
        <v>1536</v>
      </c>
      <c r="AR110" s="11" t="s">
        <v>1048</v>
      </c>
      <c r="AS110" s="11" t="s">
        <v>1537</v>
      </c>
      <c r="AT110" s="11" t="s">
        <v>1048</v>
      </c>
      <c r="AU110" s="11" t="s">
        <v>1536</v>
      </c>
      <c r="AV110" s="11" t="s">
        <v>1537</v>
      </c>
      <c r="AW110" s="12">
        <v>1</v>
      </c>
      <c r="AX110" s="12">
        <v>1</v>
      </c>
      <c r="AY110" s="12">
        <v>1</v>
      </c>
      <c r="AZ110" s="12">
        <v>1</v>
      </c>
      <c r="BA110" s="12">
        <v>4</v>
      </c>
      <c r="BB110" s="12">
        <v>1</v>
      </c>
      <c r="BC110" s="12">
        <v>2</v>
      </c>
      <c r="BD110" s="11" t="s">
        <v>1026</v>
      </c>
      <c r="BE110" s="11" t="s">
        <v>1027</v>
      </c>
    </row>
    <row r="111" spans="1:57" s="8" customFormat="1" ht="58" x14ac:dyDescent="0.35">
      <c r="A111" s="7" t="s">
        <v>20</v>
      </c>
      <c r="B111" s="7" t="s">
        <v>21</v>
      </c>
      <c r="C111" s="3" t="s">
        <v>242</v>
      </c>
      <c r="D111" s="3" t="s">
        <v>221</v>
      </c>
      <c r="E111" s="3"/>
      <c r="F111" s="3" t="s">
        <v>31</v>
      </c>
      <c r="G111" s="3" t="s">
        <v>50</v>
      </c>
      <c r="H111" s="4">
        <v>976</v>
      </c>
      <c r="I111" s="4">
        <v>500</v>
      </c>
      <c r="J111" s="3" t="s">
        <v>26</v>
      </c>
      <c r="K111" s="4" t="b">
        <v>0</v>
      </c>
      <c r="L111" s="6">
        <v>0.5</v>
      </c>
      <c r="M111" s="6">
        <v>0.33333333333333298</v>
      </c>
      <c r="N111" s="3" t="s">
        <v>243</v>
      </c>
      <c r="O111" s="3" t="s">
        <v>244</v>
      </c>
      <c r="P111" s="3" t="s">
        <v>245</v>
      </c>
      <c r="Q111" s="3" t="s">
        <v>1538</v>
      </c>
      <c r="R111" s="3" t="s">
        <v>1539</v>
      </c>
      <c r="S111" s="3" t="s">
        <v>1006</v>
      </c>
      <c r="T111" s="3" t="s">
        <v>1540</v>
      </c>
      <c r="U111" s="11" t="s">
        <v>1541</v>
      </c>
      <c r="V111" s="11" t="s">
        <v>1031</v>
      </c>
      <c r="W111" s="11" t="s">
        <v>1032</v>
      </c>
      <c r="X111" s="13">
        <v>0.7</v>
      </c>
      <c r="Y111" s="12"/>
      <c r="Z111" s="11"/>
      <c r="AA111" s="11"/>
      <c r="AB111" s="11"/>
      <c r="AC111" s="11">
        <v>0</v>
      </c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 t="s">
        <v>1019</v>
      </c>
      <c r="AO111" s="11" t="s">
        <v>1542</v>
      </c>
      <c r="AP111" s="11" t="s">
        <v>1021</v>
      </c>
      <c r="AQ111" s="11" t="s">
        <v>1543</v>
      </c>
      <c r="AR111" s="11" t="s">
        <v>1050</v>
      </c>
      <c r="AS111" s="11" t="s">
        <v>1544</v>
      </c>
      <c r="AT111" s="11" t="s">
        <v>1050</v>
      </c>
      <c r="AU111" s="11" t="s">
        <v>1543</v>
      </c>
      <c r="AV111" s="11" t="s">
        <v>1544</v>
      </c>
      <c r="AW111" s="12">
        <v>1</v>
      </c>
      <c r="AX111" s="12">
        <v>1</v>
      </c>
      <c r="AY111" s="12">
        <v>1</v>
      </c>
      <c r="AZ111" s="12">
        <v>1</v>
      </c>
      <c r="BA111" s="12">
        <v>1</v>
      </c>
      <c r="BB111" s="12">
        <v>1</v>
      </c>
      <c r="BC111" s="12">
        <v>1</v>
      </c>
      <c r="BD111" s="11" t="s">
        <v>1026</v>
      </c>
      <c r="BE111" s="11" t="s">
        <v>1103</v>
      </c>
    </row>
    <row r="112" spans="1:57" s="8" customFormat="1" ht="43.5" x14ac:dyDescent="0.35">
      <c r="A112" s="7" t="s">
        <v>20</v>
      </c>
      <c r="B112" s="7" t="s">
        <v>21</v>
      </c>
      <c r="C112" s="3" t="s">
        <v>246</v>
      </c>
      <c r="D112" s="3" t="s">
        <v>57</v>
      </c>
      <c r="E112" s="3"/>
      <c r="F112" s="3" t="s">
        <v>53</v>
      </c>
      <c r="G112" s="3" t="s">
        <v>50</v>
      </c>
      <c r="H112" s="4">
        <v>582</v>
      </c>
      <c r="I112" s="4">
        <v>300</v>
      </c>
      <c r="J112" s="3" t="s">
        <v>26</v>
      </c>
      <c r="K112" s="4" t="b">
        <v>0</v>
      </c>
      <c r="L112" s="6">
        <v>0.33333333333333298</v>
      </c>
      <c r="M112" s="6">
        <v>0.33333333333333298</v>
      </c>
      <c r="N112" s="3" t="s">
        <v>58</v>
      </c>
      <c r="O112" s="3" t="s">
        <v>59</v>
      </c>
      <c r="P112" s="3" t="s">
        <v>247</v>
      </c>
      <c r="Q112" s="3" t="s">
        <v>1545</v>
      </c>
      <c r="R112" s="3" t="s">
        <v>1139</v>
      </c>
      <c r="S112" s="3" t="s">
        <v>1006</v>
      </c>
      <c r="T112" s="3" t="s">
        <v>1007</v>
      </c>
      <c r="U112" s="11" t="s">
        <v>1546</v>
      </c>
      <c r="V112" s="11" t="s">
        <v>1031</v>
      </c>
      <c r="W112" s="11" t="s">
        <v>1032</v>
      </c>
      <c r="X112" s="13">
        <v>0.7</v>
      </c>
      <c r="Y112" s="12"/>
      <c r="Z112" s="11"/>
      <c r="AA112" s="11"/>
      <c r="AB112" s="11"/>
      <c r="AC112" s="11">
        <v>0</v>
      </c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 t="s">
        <v>1019</v>
      </c>
      <c r="AO112" s="11" t="s">
        <v>1547</v>
      </c>
      <c r="AP112" s="11" t="s">
        <v>1021</v>
      </c>
      <c r="AQ112" s="11" t="s">
        <v>1548</v>
      </c>
      <c r="AR112" s="11" t="s">
        <v>1050</v>
      </c>
      <c r="AS112" s="11" t="s">
        <v>1549</v>
      </c>
      <c r="AT112" s="11" t="s">
        <v>1050</v>
      </c>
      <c r="AU112" s="11" t="s">
        <v>1548</v>
      </c>
      <c r="AV112" s="11" t="s">
        <v>1549</v>
      </c>
      <c r="AW112" s="12">
        <v>1</v>
      </c>
      <c r="AX112" s="12">
        <v>1</v>
      </c>
      <c r="AY112" s="12">
        <v>1</v>
      </c>
      <c r="AZ112" s="12">
        <v>1</v>
      </c>
      <c r="BA112" s="12">
        <v>1</v>
      </c>
      <c r="BB112" s="12">
        <v>1</v>
      </c>
      <c r="BC112" s="12">
        <v>1</v>
      </c>
      <c r="BD112" s="11" t="s">
        <v>1026</v>
      </c>
      <c r="BE112" s="11" t="s">
        <v>1103</v>
      </c>
    </row>
    <row r="113" spans="1:57" s="8" customFormat="1" ht="43.5" x14ac:dyDescent="0.35">
      <c r="A113" s="7" t="s">
        <v>20</v>
      </c>
      <c r="B113" s="7" t="s">
        <v>21</v>
      </c>
      <c r="C113" s="3" t="s">
        <v>246</v>
      </c>
      <c r="D113" s="3" t="s">
        <v>98</v>
      </c>
      <c r="E113" s="3"/>
      <c r="F113" s="3" t="s">
        <v>53</v>
      </c>
      <c r="G113" s="3" t="s">
        <v>50</v>
      </c>
      <c r="H113" s="4">
        <v>582</v>
      </c>
      <c r="I113" s="4">
        <v>300</v>
      </c>
      <c r="J113" s="3" t="s">
        <v>26</v>
      </c>
      <c r="K113" s="4" t="b">
        <v>0</v>
      </c>
      <c r="L113" s="6">
        <v>0.5</v>
      </c>
      <c r="M113" s="6">
        <v>0.5</v>
      </c>
      <c r="N113" s="3" t="s">
        <v>58</v>
      </c>
      <c r="O113" s="3" t="s">
        <v>99</v>
      </c>
      <c r="P113" s="3" t="s">
        <v>247</v>
      </c>
      <c r="Q113" s="3" t="s">
        <v>1545</v>
      </c>
      <c r="R113" s="3" t="s">
        <v>1139</v>
      </c>
      <c r="S113" s="3" t="s">
        <v>1006</v>
      </c>
      <c r="T113" s="3" t="s">
        <v>1007</v>
      </c>
      <c r="U113" s="11" t="s">
        <v>1546</v>
      </c>
      <c r="V113" s="11" t="s">
        <v>1031</v>
      </c>
      <c r="W113" s="11" t="s">
        <v>1032</v>
      </c>
      <c r="X113" s="13">
        <v>0.7</v>
      </c>
      <c r="Y113" s="12"/>
      <c r="Z113" s="11"/>
      <c r="AA113" s="11"/>
      <c r="AB113" s="11"/>
      <c r="AC113" s="11">
        <v>0</v>
      </c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 t="s">
        <v>1019</v>
      </c>
      <c r="AO113" s="11" t="s">
        <v>1547</v>
      </c>
      <c r="AP113" s="11" t="s">
        <v>1021</v>
      </c>
      <c r="AQ113" s="11" t="s">
        <v>1548</v>
      </c>
      <c r="AR113" s="11" t="s">
        <v>1050</v>
      </c>
      <c r="AS113" s="11" t="s">
        <v>1549</v>
      </c>
      <c r="AT113" s="11" t="s">
        <v>1050</v>
      </c>
      <c r="AU113" s="11" t="s">
        <v>1548</v>
      </c>
      <c r="AV113" s="11" t="s">
        <v>1549</v>
      </c>
      <c r="AW113" s="12">
        <v>1</v>
      </c>
      <c r="AX113" s="12">
        <v>1</v>
      </c>
      <c r="AY113" s="12">
        <v>1</v>
      </c>
      <c r="AZ113" s="12">
        <v>1</v>
      </c>
      <c r="BA113" s="12">
        <v>1</v>
      </c>
      <c r="BB113" s="12">
        <v>1</v>
      </c>
      <c r="BC113" s="12">
        <v>1</v>
      </c>
      <c r="BD113" s="11" t="s">
        <v>1026</v>
      </c>
      <c r="BE113" s="11" t="s">
        <v>1103</v>
      </c>
    </row>
    <row r="114" spans="1:57" s="8" customFormat="1" ht="58" x14ac:dyDescent="0.35">
      <c r="A114" s="7" t="s">
        <v>20</v>
      </c>
      <c r="B114" s="7" t="s">
        <v>21</v>
      </c>
      <c r="C114" s="3" t="s">
        <v>248</v>
      </c>
      <c r="D114" s="3" t="s">
        <v>57</v>
      </c>
      <c r="E114" s="3"/>
      <c r="F114" s="3" t="s">
        <v>53</v>
      </c>
      <c r="G114" s="3" t="s">
        <v>50</v>
      </c>
      <c r="H114" s="4">
        <v>378</v>
      </c>
      <c r="I114" s="4">
        <v>300</v>
      </c>
      <c r="J114" s="3" t="s">
        <v>26</v>
      </c>
      <c r="K114" s="4" t="b">
        <v>0</v>
      </c>
      <c r="L114" s="6">
        <v>0.33333333333333298</v>
      </c>
      <c r="M114" s="6">
        <v>0.33333333333333298</v>
      </c>
      <c r="N114" s="3" t="s">
        <v>58</v>
      </c>
      <c r="O114" s="3" t="s">
        <v>59</v>
      </c>
      <c r="P114" s="3" t="s">
        <v>249</v>
      </c>
      <c r="Q114" s="3" t="s">
        <v>1550</v>
      </c>
      <c r="R114" s="3" t="s">
        <v>1074</v>
      </c>
      <c r="S114" s="3" t="s">
        <v>1006</v>
      </c>
      <c r="T114" s="3" t="s">
        <v>1007</v>
      </c>
      <c r="U114" s="11" t="s">
        <v>1551</v>
      </c>
      <c r="V114" s="11" t="s">
        <v>1064</v>
      </c>
      <c r="W114" s="11" t="s">
        <v>1065</v>
      </c>
      <c r="X114" s="13">
        <v>1</v>
      </c>
      <c r="Y114" s="12"/>
      <c r="Z114" s="11"/>
      <c r="AA114" s="11"/>
      <c r="AB114" s="11"/>
      <c r="AC114" s="11">
        <v>0</v>
      </c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 t="s">
        <v>1019</v>
      </c>
      <c r="AO114" s="11" t="s">
        <v>1552</v>
      </c>
      <c r="AP114" s="11" t="s">
        <v>1021</v>
      </c>
      <c r="AQ114" s="11" t="s">
        <v>1553</v>
      </c>
      <c r="AR114" s="11" t="s">
        <v>1048</v>
      </c>
      <c r="AS114" s="11" t="s">
        <v>1554</v>
      </c>
      <c r="AT114" s="11" t="s">
        <v>1048</v>
      </c>
      <c r="AU114" s="11" t="s">
        <v>1553</v>
      </c>
      <c r="AV114" s="11" t="s">
        <v>1554</v>
      </c>
      <c r="AW114" s="12">
        <v>1</v>
      </c>
      <c r="AX114" s="12">
        <v>1</v>
      </c>
      <c r="AY114" s="12">
        <v>1</v>
      </c>
      <c r="AZ114" s="12">
        <v>1</v>
      </c>
      <c r="BA114" s="12">
        <v>3</v>
      </c>
      <c r="BB114" s="12">
        <v>1</v>
      </c>
      <c r="BC114" s="12">
        <v>2</v>
      </c>
      <c r="BD114" s="11" t="s">
        <v>1026</v>
      </c>
      <c r="BE114" s="11" t="s">
        <v>1027</v>
      </c>
    </row>
    <row r="115" spans="1:57" s="8" customFormat="1" ht="58" x14ac:dyDescent="0.35">
      <c r="A115" s="7" t="s">
        <v>20</v>
      </c>
      <c r="B115" s="7" t="s">
        <v>21</v>
      </c>
      <c r="C115" s="3" t="s">
        <v>250</v>
      </c>
      <c r="D115" s="3" t="s">
        <v>172</v>
      </c>
      <c r="E115" s="3"/>
      <c r="F115" s="3" t="s">
        <v>31</v>
      </c>
      <c r="G115" s="3" t="s">
        <v>50</v>
      </c>
      <c r="H115" s="4">
        <v>141</v>
      </c>
      <c r="I115" s="4">
        <v>90</v>
      </c>
      <c r="J115" s="3" t="s">
        <v>26</v>
      </c>
      <c r="K115" s="4" t="b">
        <v>1</v>
      </c>
      <c r="L115" s="6">
        <v>1</v>
      </c>
      <c r="M115" s="6">
        <v>1</v>
      </c>
      <c r="N115" s="3" t="s">
        <v>173</v>
      </c>
      <c r="O115" s="3"/>
      <c r="P115" s="3" t="s">
        <v>251</v>
      </c>
      <c r="Q115" s="3" t="s">
        <v>1555</v>
      </c>
      <c r="R115" s="3" t="s">
        <v>1029</v>
      </c>
      <c r="S115" s="3" t="s">
        <v>1006</v>
      </c>
      <c r="T115" s="3" t="s">
        <v>1007</v>
      </c>
      <c r="U115" s="11" t="s">
        <v>1556</v>
      </c>
      <c r="V115" s="11" t="s">
        <v>1064</v>
      </c>
      <c r="W115" s="11" t="s">
        <v>1065</v>
      </c>
      <c r="X115" s="13">
        <v>1</v>
      </c>
      <c r="Y115" s="12"/>
      <c r="Z115" s="11"/>
      <c r="AA115" s="11"/>
      <c r="AB115" s="11"/>
      <c r="AC115" s="11">
        <v>0</v>
      </c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 t="s">
        <v>1019</v>
      </c>
      <c r="AO115" s="11" t="s">
        <v>1557</v>
      </c>
      <c r="AP115" s="11" t="s">
        <v>1021</v>
      </c>
      <c r="AQ115" s="11" t="s">
        <v>1558</v>
      </c>
      <c r="AR115" s="11" t="s">
        <v>1048</v>
      </c>
      <c r="AS115" s="11" t="s">
        <v>1559</v>
      </c>
      <c r="AT115" s="11" t="s">
        <v>1050</v>
      </c>
      <c r="AU115" s="11" t="s">
        <v>1558</v>
      </c>
      <c r="AV115" s="11" t="s">
        <v>1559</v>
      </c>
      <c r="AW115" s="12">
        <v>1</v>
      </c>
      <c r="AX115" s="12">
        <v>0</v>
      </c>
      <c r="AY115" s="12">
        <v>1</v>
      </c>
      <c r="AZ115" s="12">
        <v>1</v>
      </c>
      <c r="BA115" s="12">
        <v>2</v>
      </c>
      <c r="BB115" s="12">
        <v>1</v>
      </c>
      <c r="BC115" s="12">
        <v>1</v>
      </c>
      <c r="BD115" s="11" t="s">
        <v>1026</v>
      </c>
      <c r="BE115" s="11" t="s">
        <v>1051</v>
      </c>
    </row>
    <row r="116" spans="1:57" s="8" customFormat="1" ht="72.5" x14ac:dyDescent="0.35">
      <c r="A116" s="7" t="s">
        <v>20</v>
      </c>
      <c r="B116" s="7" t="s">
        <v>21</v>
      </c>
      <c r="C116" s="3" t="s">
        <v>252</v>
      </c>
      <c r="D116" s="3" t="s">
        <v>231</v>
      </c>
      <c r="E116" s="3" t="s">
        <v>231</v>
      </c>
      <c r="F116" s="3" t="s">
        <v>31</v>
      </c>
      <c r="G116" s="3" t="s">
        <v>25</v>
      </c>
      <c r="H116" s="4">
        <v>906</v>
      </c>
      <c r="I116" s="4">
        <v>400</v>
      </c>
      <c r="J116" s="3" t="s">
        <v>26</v>
      </c>
      <c r="K116" s="4" t="b">
        <v>1</v>
      </c>
      <c r="L116" s="6">
        <v>1</v>
      </c>
      <c r="M116" s="6">
        <v>1</v>
      </c>
      <c r="N116" s="3" t="s">
        <v>232</v>
      </c>
      <c r="O116" s="3"/>
      <c r="P116" s="3" t="s">
        <v>253</v>
      </c>
      <c r="Q116" s="3" t="s">
        <v>1560</v>
      </c>
      <c r="R116" s="3" t="s">
        <v>1029</v>
      </c>
      <c r="S116" s="3" t="s">
        <v>1006</v>
      </c>
      <c r="T116" s="3" t="s">
        <v>1007</v>
      </c>
      <c r="U116" s="11" t="s">
        <v>1561</v>
      </c>
      <c r="V116" s="11" t="s">
        <v>1096</v>
      </c>
      <c r="W116" s="11" t="s">
        <v>1097</v>
      </c>
      <c r="X116" s="13">
        <v>0.93</v>
      </c>
      <c r="Y116" s="12"/>
      <c r="Z116" s="11" t="s">
        <v>1562</v>
      </c>
      <c r="AA116" s="11"/>
      <c r="AB116" s="11"/>
      <c r="AC116" s="11">
        <v>0</v>
      </c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 t="s">
        <v>1019</v>
      </c>
      <c r="AO116" s="11" t="s">
        <v>1563</v>
      </c>
      <c r="AP116" s="11" t="s">
        <v>1021</v>
      </c>
      <c r="AQ116" s="11" t="s">
        <v>1564</v>
      </c>
      <c r="AR116" s="11" t="s">
        <v>1023</v>
      </c>
      <c r="AS116" s="11" t="s">
        <v>1565</v>
      </c>
      <c r="AT116" s="11" t="s">
        <v>1025</v>
      </c>
      <c r="AU116" s="11" t="s">
        <v>1564</v>
      </c>
      <c r="AV116" s="11" t="s">
        <v>1565</v>
      </c>
      <c r="AW116" s="12">
        <v>2</v>
      </c>
      <c r="AX116" s="12">
        <v>2</v>
      </c>
      <c r="AY116" s="12">
        <v>2</v>
      </c>
      <c r="AZ116" s="12">
        <v>2</v>
      </c>
      <c r="BA116" s="12">
        <v>4</v>
      </c>
      <c r="BB116" s="12">
        <v>2</v>
      </c>
      <c r="BC116" s="12">
        <v>1</v>
      </c>
      <c r="BD116" s="11" t="s">
        <v>1026</v>
      </c>
      <c r="BE116" s="11" t="s">
        <v>1027</v>
      </c>
    </row>
    <row r="117" spans="1:57" s="8" customFormat="1" ht="58" x14ac:dyDescent="0.35">
      <c r="A117" s="7" t="s">
        <v>20</v>
      </c>
      <c r="B117" s="7" t="s">
        <v>21</v>
      </c>
      <c r="C117" s="3" t="s">
        <v>254</v>
      </c>
      <c r="D117" s="3" t="s">
        <v>57</v>
      </c>
      <c r="E117" s="3"/>
      <c r="F117" s="3" t="s">
        <v>53</v>
      </c>
      <c r="G117" s="3" t="s">
        <v>50</v>
      </c>
      <c r="H117" s="4">
        <v>1305</v>
      </c>
      <c r="I117" s="4">
        <v>300</v>
      </c>
      <c r="J117" s="3" t="s">
        <v>26</v>
      </c>
      <c r="K117" s="4" t="b">
        <v>1</v>
      </c>
      <c r="L117" s="6">
        <v>1</v>
      </c>
      <c r="M117" s="6">
        <v>1</v>
      </c>
      <c r="N117" s="3" t="s">
        <v>62</v>
      </c>
      <c r="O117" s="3"/>
      <c r="P117" s="3" t="s">
        <v>255</v>
      </c>
      <c r="Q117" s="3" t="s">
        <v>1566</v>
      </c>
      <c r="R117" s="3" t="s">
        <v>1029</v>
      </c>
      <c r="S117" s="3" t="s">
        <v>1006</v>
      </c>
      <c r="T117" s="3" t="s">
        <v>1007</v>
      </c>
      <c r="U117" s="11" t="s">
        <v>1567</v>
      </c>
      <c r="V117" s="11" t="s">
        <v>1031</v>
      </c>
      <c r="W117" s="11" t="s">
        <v>1032</v>
      </c>
      <c r="X117" s="13">
        <v>0.7</v>
      </c>
      <c r="Y117" s="12"/>
      <c r="Z117" s="11"/>
      <c r="AA117" s="11"/>
      <c r="AB117" s="11"/>
      <c r="AC117" s="11">
        <v>2</v>
      </c>
      <c r="AD117" s="11" t="s">
        <v>1568</v>
      </c>
      <c r="AE117" s="11" t="s">
        <v>1569</v>
      </c>
      <c r="AF117" s="11" t="s">
        <v>1014</v>
      </c>
      <c r="AG117" s="11" t="s">
        <v>1570</v>
      </c>
      <c r="AH117" s="11"/>
      <c r="AI117" s="11" t="s">
        <v>1016</v>
      </c>
      <c r="AJ117" s="11"/>
      <c r="AK117" s="11" t="s">
        <v>1571</v>
      </c>
      <c r="AL117" s="11" t="s">
        <v>1017</v>
      </c>
      <c r="AM117" s="11" t="s">
        <v>1572</v>
      </c>
      <c r="AN117" s="11" t="s">
        <v>1019</v>
      </c>
      <c r="AO117" s="11" t="s">
        <v>1573</v>
      </c>
      <c r="AP117" s="11" t="s">
        <v>1021</v>
      </c>
      <c r="AQ117" s="11" t="s">
        <v>1574</v>
      </c>
      <c r="AR117" s="11" t="s">
        <v>1023</v>
      </c>
      <c r="AS117" s="11" t="s">
        <v>1575</v>
      </c>
      <c r="AT117" s="11" t="s">
        <v>1025</v>
      </c>
      <c r="AU117" s="11" t="s">
        <v>1574</v>
      </c>
      <c r="AV117" s="11" t="s">
        <v>1575</v>
      </c>
      <c r="AW117" s="12">
        <v>2</v>
      </c>
      <c r="AX117" s="12">
        <v>2</v>
      </c>
      <c r="AY117" s="12">
        <v>2</v>
      </c>
      <c r="AZ117" s="12">
        <v>2</v>
      </c>
      <c r="BA117" s="12">
        <v>2</v>
      </c>
      <c r="BB117" s="12">
        <v>2</v>
      </c>
      <c r="BC117" s="12">
        <v>1</v>
      </c>
      <c r="BD117" s="11" t="s">
        <v>1026</v>
      </c>
      <c r="BE117" s="11" t="s">
        <v>1027</v>
      </c>
    </row>
    <row r="118" spans="1:57" s="8" customFormat="1" ht="87" x14ac:dyDescent="0.35">
      <c r="A118" s="7" t="s">
        <v>20</v>
      </c>
      <c r="B118" s="7" t="s">
        <v>21</v>
      </c>
      <c r="C118" s="3" t="s">
        <v>256</v>
      </c>
      <c r="D118" s="3" t="s">
        <v>52</v>
      </c>
      <c r="E118" s="3"/>
      <c r="F118" s="3" t="s">
        <v>53</v>
      </c>
      <c r="G118" s="3" t="s">
        <v>50</v>
      </c>
      <c r="H118" s="4">
        <v>541</v>
      </c>
      <c r="I118" s="4">
        <v>500</v>
      </c>
      <c r="J118" s="3" t="s">
        <v>26</v>
      </c>
      <c r="K118" s="4" t="b">
        <v>0</v>
      </c>
      <c r="L118" s="6">
        <v>0.33333333333333298</v>
      </c>
      <c r="M118" s="6">
        <v>0.33333333333333298</v>
      </c>
      <c r="N118" s="3" t="s">
        <v>54</v>
      </c>
      <c r="O118" s="3" t="s">
        <v>55</v>
      </c>
      <c r="P118" s="3" t="s">
        <v>257</v>
      </c>
      <c r="Q118" s="3" t="s">
        <v>1576</v>
      </c>
      <c r="R118" s="3" t="s">
        <v>1074</v>
      </c>
      <c r="S118" s="3" t="s">
        <v>1006</v>
      </c>
      <c r="T118" s="3" t="s">
        <v>1158</v>
      </c>
      <c r="U118" s="11" t="s">
        <v>1577</v>
      </c>
      <c r="V118" s="11" t="s">
        <v>1064</v>
      </c>
      <c r="W118" s="11" t="s">
        <v>1065</v>
      </c>
      <c r="X118" s="13">
        <v>1</v>
      </c>
      <c r="Y118" s="12"/>
      <c r="Z118" s="11"/>
      <c r="AA118" s="11"/>
      <c r="AB118" s="11"/>
      <c r="AC118" s="11">
        <v>6</v>
      </c>
      <c r="AD118" s="11" t="s">
        <v>1076</v>
      </c>
      <c r="AE118" s="11" t="s">
        <v>1578</v>
      </c>
      <c r="AF118" s="11" t="s">
        <v>1014</v>
      </c>
      <c r="AG118" s="11" t="s">
        <v>1015</v>
      </c>
      <c r="AH118" s="11" t="s">
        <v>1579</v>
      </c>
      <c r="AI118" s="11" t="s">
        <v>1016</v>
      </c>
      <c r="AJ118" s="11"/>
      <c r="AK118" s="11" t="s">
        <v>1079</v>
      </c>
      <c r="AL118" s="11" t="s">
        <v>1017</v>
      </c>
      <c r="AM118" s="11" t="s">
        <v>1080</v>
      </c>
      <c r="AN118" s="11" t="s">
        <v>1019</v>
      </c>
      <c r="AO118" s="11" t="s">
        <v>1580</v>
      </c>
      <c r="AP118" s="11" t="s">
        <v>1021</v>
      </c>
      <c r="AQ118" s="11" t="s">
        <v>1581</v>
      </c>
      <c r="AR118" s="11" t="s">
        <v>1048</v>
      </c>
      <c r="AS118" s="11" t="s">
        <v>1582</v>
      </c>
      <c r="AT118" s="11" t="s">
        <v>1025</v>
      </c>
      <c r="AU118" s="11" t="s">
        <v>1583</v>
      </c>
      <c r="AV118" s="11" t="s">
        <v>1582</v>
      </c>
      <c r="AW118" s="12">
        <v>2</v>
      </c>
      <c r="AX118" s="12">
        <v>2</v>
      </c>
      <c r="AY118" s="12">
        <v>2</v>
      </c>
      <c r="AZ118" s="12">
        <v>1</v>
      </c>
      <c r="BA118" s="12">
        <v>2</v>
      </c>
      <c r="BB118" s="12">
        <v>2</v>
      </c>
      <c r="BC118" s="12">
        <v>1</v>
      </c>
      <c r="BD118" s="11" t="s">
        <v>1026</v>
      </c>
      <c r="BE118" s="11" t="s">
        <v>1027</v>
      </c>
    </row>
    <row r="119" spans="1:57" s="8" customFormat="1" ht="72.5" x14ac:dyDescent="0.35">
      <c r="A119" s="7" t="s">
        <v>20</v>
      </c>
      <c r="B119" s="7" t="s">
        <v>21</v>
      </c>
      <c r="C119" s="3" t="s">
        <v>258</v>
      </c>
      <c r="D119" s="3" t="s">
        <v>231</v>
      </c>
      <c r="E119" s="3" t="s">
        <v>231</v>
      </c>
      <c r="F119" s="3" t="s">
        <v>31</v>
      </c>
      <c r="G119" s="3" t="s">
        <v>25</v>
      </c>
      <c r="H119" s="4">
        <v>943</v>
      </c>
      <c r="I119" s="4">
        <v>400</v>
      </c>
      <c r="J119" s="3" t="s">
        <v>26</v>
      </c>
      <c r="K119" s="4" t="b">
        <v>1</v>
      </c>
      <c r="L119" s="6">
        <v>1</v>
      </c>
      <c r="M119" s="6">
        <v>1</v>
      </c>
      <c r="N119" s="3" t="s">
        <v>232</v>
      </c>
      <c r="O119" s="3"/>
      <c r="P119" s="3" t="s">
        <v>259</v>
      </c>
      <c r="Q119" s="3" t="s">
        <v>1584</v>
      </c>
      <c r="R119" s="3" t="s">
        <v>1029</v>
      </c>
      <c r="S119" s="3" t="s">
        <v>1006</v>
      </c>
      <c r="T119" s="3" t="s">
        <v>1585</v>
      </c>
      <c r="U119" s="11" t="s">
        <v>1586</v>
      </c>
      <c r="V119" s="11" t="s">
        <v>1031</v>
      </c>
      <c r="W119" s="11" t="s">
        <v>1032</v>
      </c>
      <c r="X119" s="13">
        <v>0.7</v>
      </c>
      <c r="Y119" s="12"/>
      <c r="Z119" s="11"/>
      <c r="AA119" s="11"/>
      <c r="AB119" s="11"/>
      <c r="AC119" s="11">
        <v>0</v>
      </c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 t="s">
        <v>1019</v>
      </c>
      <c r="AO119" s="11" t="s">
        <v>1563</v>
      </c>
      <c r="AP119" s="11" t="s">
        <v>1021</v>
      </c>
      <c r="AQ119" s="11" t="s">
        <v>1564</v>
      </c>
      <c r="AR119" s="11" t="s">
        <v>1023</v>
      </c>
      <c r="AS119" s="11" t="s">
        <v>1565</v>
      </c>
      <c r="AT119" s="11" t="s">
        <v>1025</v>
      </c>
      <c r="AU119" s="11" t="s">
        <v>1564</v>
      </c>
      <c r="AV119" s="11" t="s">
        <v>1565</v>
      </c>
      <c r="AW119" s="12">
        <v>2</v>
      </c>
      <c r="AX119" s="12">
        <v>2</v>
      </c>
      <c r="AY119" s="12">
        <v>2</v>
      </c>
      <c r="AZ119" s="12">
        <v>2</v>
      </c>
      <c r="BA119" s="12">
        <v>4</v>
      </c>
      <c r="BB119" s="12">
        <v>2</v>
      </c>
      <c r="BC119" s="12">
        <v>1</v>
      </c>
      <c r="BD119" s="11" t="s">
        <v>1026</v>
      </c>
      <c r="BE119" s="11" t="s">
        <v>1027</v>
      </c>
    </row>
    <row r="120" spans="1:57" s="8" customFormat="1" ht="43.5" x14ac:dyDescent="0.35">
      <c r="A120" s="7" t="s">
        <v>20</v>
      </c>
      <c r="B120" s="7" t="s">
        <v>21</v>
      </c>
      <c r="C120" s="3" t="s">
        <v>260</v>
      </c>
      <c r="D120" s="3" t="s">
        <v>261</v>
      </c>
      <c r="E120" s="3" t="s">
        <v>261</v>
      </c>
      <c r="F120" s="3" t="s">
        <v>31</v>
      </c>
      <c r="G120" s="3" t="s">
        <v>25</v>
      </c>
      <c r="H120" s="4">
        <v>1106</v>
      </c>
      <c r="I120" s="4">
        <v>500</v>
      </c>
      <c r="J120" s="3" t="s">
        <v>26</v>
      </c>
      <c r="K120" s="4" t="b">
        <v>1</v>
      </c>
      <c r="L120" s="6">
        <v>1</v>
      </c>
      <c r="M120" s="6">
        <v>1</v>
      </c>
      <c r="N120" s="3" t="s">
        <v>262</v>
      </c>
      <c r="O120" s="3"/>
      <c r="P120" s="3" t="s">
        <v>263</v>
      </c>
      <c r="Q120" s="3" t="s">
        <v>1587</v>
      </c>
      <c r="R120" s="3" t="s">
        <v>1029</v>
      </c>
      <c r="S120" s="3" t="s">
        <v>1006</v>
      </c>
      <c r="T120" s="3" t="s">
        <v>1007</v>
      </c>
      <c r="U120" s="11" t="s">
        <v>1588</v>
      </c>
      <c r="V120" s="11" t="s">
        <v>1031</v>
      </c>
      <c r="W120" s="11" t="s">
        <v>1032</v>
      </c>
      <c r="X120" s="13">
        <v>0.7</v>
      </c>
      <c r="Y120" s="12"/>
      <c r="Z120" s="11"/>
      <c r="AA120" s="11"/>
      <c r="AB120" s="11"/>
      <c r="AC120" s="11">
        <v>0</v>
      </c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 t="s">
        <v>1019</v>
      </c>
      <c r="AO120" s="11" t="s">
        <v>1589</v>
      </c>
      <c r="AP120" s="11" t="s">
        <v>1021</v>
      </c>
      <c r="AQ120" s="11" t="s">
        <v>1590</v>
      </c>
      <c r="AR120" s="11" t="s">
        <v>1050</v>
      </c>
      <c r="AS120" s="11" t="s">
        <v>1591</v>
      </c>
      <c r="AT120" s="11" t="s">
        <v>1050</v>
      </c>
      <c r="AU120" s="11" t="s">
        <v>1590</v>
      </c>
      <c r="AV120" s="11" t="s">
        <v>1591</v>
      </c>
      <c r="AW120" s="12">
        <v>1</v>
      </c>
      <c r="AX120" s="12">
        <v>1</v>
      </c>
      <c r="AY120" s="12">
        <v>1</v>
      </c>
      <c r="AZ120" s="12">
        <v>1</v>
      </c>
      <c r="BA120" s="12">
        <v>1</v>
      </c>
      <c r="BB120" s="12">
        <v>1</v>
      </c>
      <c r="BC120" s="12">
        <v>1</v>
      </c>
      <c r="BD120" s="11" t="s">
        <v>1026</v>
      </c>
      <c r="BE120" s="11" t="s">
        <v>1103</v>
      </c>
    </row>
    <row r="121" spans="1:57" s="8" customFormat="1" ht="58" x14ac:dyDescent="0.35">
      <c r="A121" s="7" t="s">
        <v>20</v>
      </c>
      <c r="B121" s="7" t="s">
        <v>21</v>
      </c>
      <c r="C121" s="3" t="s">
        <v>264</v>
      </c>
      <c r="D121" s="3" t="s">
        <v>57</v>
      </c>
      <c r="E121" s="3"/>
      <c r="F121" s="3" t="s">
        <v>53</v>
      </c>
      <c r="G121" s="3" t="s">
        <v>50</v>
      </c>
      <c r="H121" s="4">
        <v>719</v>
      </c>
      <c r="I121" s="4">
        <v>300</v>
      </c>
      <c r="J121" s="3" t="s">
        <v>26</v>
      </c>
      <c r="K121" s="4" t="b">
        <v>0</v>
      </c>
      <c r="L121" s="6">
        <v>0.33333333333333298</v>
      </c>
      <c r="M121" s="6">
        <v>0.33333333333333298</v>
      </c>
      <c r="N121" s="3" t="s">
        <v>58</v>
      </c>
      <c r="O121" s="3" t="s">
        <v>59</v>
      </c>
      <c r="P121" s="3" t="s">
        <v>265</v>
      </c>
      <c r="Q121" s="3" t="s">
        <v>1592</v>
      </c>
      <c r="R121" s="3" t="s">
        <v>1029</v>
      </c>
      <c r="S121" s="3" t="s">
        <v>1006</v>
      </c>
      <c r="T121" s="3" t="s">
        <v>1007</v>
      </c>
      <c r="U121" s="11" t="s">
        <v>1593</v>
      </c>
      <c r="V121" s="11" t="s">
        <v>1031</v>
      </c>
      <c r="W121" s="11" t="s">
        <v>1032</v>
      </c>
      <c r="X121" s="13">
        <v>0.7</v>
      </c>
      <c r="Y121" s="12"/>
      <c r="Z121" s="11"/>
      <c r="AA121" s="11"/>
      <c r="AB121" s="11"/>
      <c r="AC121" s="11">
        <v>1</v>
      </c>
      <c r="AD121" s="11" t="s">
        <v>1227</v>
      </c>
      <c r="AE121" s="11" t="s">
        <v>1594</v>
      </c>
      <c r="AF121" s="11" t="s">
        <v>1014</v>
      </c>
      <c r="AG121" s="11" t="s">
        <v>1015</v>
      </c>
      <c r="AH121" s="11"/>
      <c r="AI121" s="11" t="s">
        <v>1016</v>
      </c>
      <c r="AJ121" s="11"/>
      <c r="AK121" s="11" t="s">
        <v>1229</v>
      </c>
      <c r="AL121" s="11" t="s">
        <v>1017</v>
      </c>
      <c r="AM121" s="11" t="s">
        <v>1230</v>
      </c>
      <c r="AN121" s="11" t="s">
        <v>1019</v>
      </c>
      <c r="AO121" s="11" t="s">
        <v>1595</v>
      </c>
      <c r="AP121" s="11" t="s">
        <v>1021</v>
      </c>
      <c r="AQ121" s="11" t="s">
        <v>1596</v>
      </c>
      <c r="AR121" s="11" t="s">
        <v>1023</v>
      </c>
      <c r="AS121" s="11" t="s">
        <v>1597</v>
      </c>
      <c r="AT121" s="11" t="s">
        <v>1023</v>
      </c>
      <c r="AU121" s="11" t="s">
        <v>1596</v>
      </c>
      <c r="AV121" s="11" t="s">
        <v>1597</v>
      </c>
      <c r="AW121" s="12">
        <v>2</v>
      </c>
      <c r="AX121" s="12">
        <v>1</v>
      </c>
      <c r="AY121" s="12">
        <v>2</v>
      </c>
      <c r="AZ121" s="12">
        <v>2</v>
      </c>
      <c r="BA121" s="12">
        <v>2</v>
      </c>
      <c r="BB121" s="12">
        <v>2</v>
      </c>
      <c r="BC121" s="12">
        <v>2</v>
      </c>
      <c r="BD121" s="11" t="s">
        <v>1026</v>
      </c>
      <c r="BE121" s="11" t="s">
        <v>1027</v>
      </c>
    </row>
    <row r="122" spans="1:57" s="8" customFormat="1" ht="87" x14ac:dyDescent="0.35">
      <c r="A122" s="7" t="s">
        <v>20</v>
      </c>
      <c r="B122" s="7" t="s">
        <v>21</v>
      </c>
      <c r="C122" s="3" t="s">
        <v>266</v>
      </c>
      <c r="D122" s="3" t="s">
        <v>52</v>
      </c>
      <c r="E122" s="3"/>
      <c r="F122" s="3" t="s">
        <v>53</v>
      </c>
      <c r="G122" s="3" t="s">
        <v>50</v>
      </c>
      <c r="H122" s="4">
        <v>920</v>
      </c>
      <c r="I122" s="4">
        <v>500</v>
      </c>
      <c r="J122" s="3" t="s">
        <v>26</v>
      </c>
      <c r="K122" s="4" t="b">
        <v>0</v>
      </c>
      <c r="L122" s="6">
        <v>0.33333333333333298</v>
      </c>
      <c r="M122" s="6">
        <v>0.33333333333333298</v>
      </c>
      <c r="N122" s="3" t="s">
        <v>54</v>
      </c>
      <c r="O122" s="3" t="s">
        <v>55</v>
      </c>
      <c r="P122" s="3" t="s">
        <v>267</v>
      </c>
      <c r="Q122" s="3" t="s">
        <v>1598</v>
      </c>
      <c r="R122" s="3" t="s">
        <v>1139</v>
      </c>
      <c r="S122" s="3" t="s">
        <v>1599</v>
      </c>
      <c r="T122" s="3" t="s">
        <v>1600</v>
      </c>
      <c r="U122" s="11" t="s">
        <v>1601</v>
      </c>
      <c r="V122" s="11" t="s">
        <v>1096</v>
      </c>
      <c r="W122" s="11" t="s">
        <v>1097</v>
      </c>
      <c r="X122" s="13">
        <v>0.87</v>
      </c>
      <c r="Y122" s="12" t="s">
        <v>1476</v>
      </c>
      <c r="Z122" s="11" t="s">
        <v>1602</v>
      </c>
      <c r="AA122" s="11"/>
      <c r="AB122" s="11"/>
      <c r="AC122" s="11">
        <v>6</v>
      </c>
      <c r="AD122" s="11" t="s">
        <v>1076</v>
      </c>
      <c r="AE122" s="11" t="s">
        <v>1603</v>
      </c>
      <c r="AF122" s="11" t="s">
        <v>1014</v>
      </c>
      <c r="AG122" s="11" t="s">
        <v>1015</v>
      </c>
      <c r="AH122" s="11" t="s">
        <v>1078</v>
      </c>
      <c r="AI122" s="11" t="s">
        <v>1016</v>
      </c>
      <c r="AJ122" s="11"/>
      <c r="AK122" s="11" t="s">
        <v>1079</v>
      </c>
      <c r="AL122" s="11" t="s">
        <v>1017</v>
      </c>
      <c r="AM122" s="11" t="s">
        <v>1080</v>
      </c>
      <c r="AN122" s="11" t="s">
        <v>1019</v>
      </c>
      <c r="AO122" s="11" t="s">
        <v>1604</v>
      </c>
      <c r="AP122" s="11" t="s">
        <v>1114</v>
      </c>
      <c r="AQ122" s="11"/>
      <c r="AR122" s="11" t="s">
        <v>1034</v>
      </c>
      <c r="AS122" s="11"/>
      <c r="AT122" s="11" t="s">
        <v>1034</v>
      </c>
      <c r="AU122" s="11"/>
      <c r="AV122" s="11"/>
      <c r="AW122" s="12">
        <v>1</v>
      </c>
      <c r="AX122" s="12">
        <v>1</v>
      </c>
      <c r="AY122" s="12">
        <v>1</v>
      </c>
      <c r="AZ122" s="12"/>
      <c r="BA122" s="12"/>
      <c r="BB122" s="12"/>
      <c r="BC122" s="12"/>
      <c r="BD122" s="11" t="s">
        <v>1115</v>
      </c>
      <c r="BE122" s="11" t="s">
        <v>1116</v>
      </c>
    </row>
    <row r="123" spans="1:57" s="8" customFormat="1" ht="72.5" x14ac:dyDescent="0.35">
      <c r="A123" s="7" t="s">
        <v>20</v>
      </c>
      <c r="B123" s="7" t="s">
        <v>21</v>
      </c>
      <c r="C123" s="3" t="s">
        <v>266</v>
      </c>
      <c r="D123" s="3" t="s">
        <v>57</v>
      </c>
      <c r="E123" s="3"/>
      <c r="F123" s="3" t="s">
        <v>53</v>
      </c>
      <c r="G123" s="3" t="s">
        <v>50</v>
      </c>
      <c r="H123" s="4">
        <v>920</v>
      </c>
      <c r="I123" s="4">
        <v>300</v>
      </c>
      <c r="J123" s="3" t="s">
        <v>26</v>
      </c>
      <c r="K123" s="4" t="b">
        <v>0</v>
      </c>
      <c r="L123" s="6">
        <v>0.33333333333333298</v>
      </c>
      <c r="M123" s="6">
        <v>0.33333333333333298</v>
      </c>
      <c r="N123" s="3" t="s">
        <v>58</v>
      </c>
      <c r="O123" s="3" t="s">
        <v>59</v>
      </c>
      <c r="P123" s="3" t="s">
        <v>267</v>
      </c>
      <c r="Q123" s="3" t="s">
        <v>1598</v>
      </c>
      <c r="R123" s="3" t="s">
        <v>1139</v>
      </c>
      <c r="S123" s="3" t="s">
        <v>1599</v>
      </c>
      <c r="T123" s="3" t="s">
        <v>1600</v>
      </c>
      <c r="U123" s="11" t="s">
        <v>1601</v>
      </c>
      <c r="V123" s="11" t="s">
        <v>1096</v>
      </c>
      <c r="W123" s="11" t="s">
        <v>1097</v>
      </c>
      <c r="X123" s="13">
        <v>0.87</v>
      </c>
      <c r="Y123" s="12" t="s">
        <v>1476</v>
      </c>
      <c r="Z123" s="11" t="s">
        <v>1602</v>
      </c>
      <c r="AA123" s="11"/>
      <c r="AB123" s="11"/>
      <c r="AC123" s="11">
        <v>1</v>
      </c>
      <c r="AD123" s="11" t="s">
        <v>1227</v>
      </c>
      <c r="AE123" s="11" t="s">
        <v>1605</v>
      </c>
      <c r="AF123" s="11" t="s">
        <v>1014</v>
      </c>
      <c r="AG123" s="11" t="s">
        <v>1015</v>
      </c>
      <c r="AH123" s="11"/>
      <c r="AI123" s="11" t="s">
        <v>1016</v>
      </c>
      <c r="AJ123" s="11"/>
      <c r="AK123" s="11" t="s">
        <v>1229</v>
      </c>
      <c r="AL123" s="11" t="s">
        <v>1017</v>
      </c>
      <c r="AM123" s="11" t="s">
        <v>1230</v>
      </c>
      <c r="AN123" s="11" t="s">
        <v>1019</v>
      </c>
      <c r="AO123" s="11" t="s">
        <v>1604</v>
      </c>
      <c r="AP123" s="11" t="s">
        <v>1114</v>
      </c>
      <c r="AQ123" s="11"/>
      <c r="AR123" s="11" t="s">
        <v>1034</v>
      </c>
      <c r="AS123" s="11"/>
      <c r="AT123" s="11" t="s">
        <v>1034</v>
      </c>
      <c r="AU123" s="11"/>
      <c r="AV123" s="11"/>
      <c r="AW123" s="12">
        <v>1</v>
      </c>
      <c r="AX123" s="12">
        <v>1</v>
      </c>
      <c r="AY123" s="12">
        <v>1</v>
      </c>
      <c r="AZ123" s="12"/>
      <c r="BA123" s="12"/>
      <c r="BB123" s="12"/>
      <c r="BC123" s="12"/>
      <c r="BD123" s="11" t="s">
        <v>1115</v>
      </c>
      <c r="BE123" s="11" t="s">
        <v>1116</v>
      </c>
    </row>
    <row r="124" spans="1:57" s="8" customFormat="1" ht="72.5" x14ac:dyDescent="0.35">
      <c r="A124" s="7" t="s">
        <v>20</v>
      </c>
      <c r="B124" s="7" t="s">
        <v>21</v>
      </c>
      <c r="C124" s="3" t="s">
        <v>266</v>
      </c>
      <c r="D124" s="3" t="s">
        <v>98</v>
      </c>
      <c r="E124" s="3"/>
      <c r="F124" s="3" t="s">
        <v>53</v>
      </c>
      <c r="G124" s="3" t="s">
        <v>50</v>
      </c>
      <c r="H124" s="4">
        <v>920</v>
      </c>
      <c r="I124" s="4">
        <v>300</v>
      </c>
      <c r="J124" s="3" t="s">
        <v>26</v>
      </c>
      <c r="K124" s="4" t="b">
        <v>0</v>
      </c>
      <c r="L124" s="6">
        <v>0.5</v>
      </c>
      <c r="M124" s="6">
        <v>0.5</v>
      </c>
      <c r="N124" s="3" t="s">
        <v>58</v>
      </c>
      <c r="O124" s="3" t="s">
        <v>99</v>
      </c>
      <c r="P124" s="3" t="s">
        <v>267</v>
      </c>
      <c r="Q124" s="3" t="s">
        <v>1598</v>
      </c>
      <c r="R124" s="3" t="s">
        <v>1139</v>
      </c>
      <c r="S124" s="3" t="s">
        <v>1599</v>
      </c>
      <c r="T124" s="3" t="s">
        <v>1600</v>
      </c>
      <c r="U124" s="11" t="s">
        <v>1601</v>
      </c>
      <c r="V124" s="11" t="s">
        <v>1096</v>
      </c>
      <c r="W124" s="11" t="s">
        <v>1097</v>
      </c>
      <c r="X124" s="13">
        <v>0.87</v>
      </c>
      <c r="Y124" s="12" t="s">
        <v>1476</v>
      </c>
      <c r="Z124" s="11" t="s">
        <v>1602</v>
      </c>
      <c r="AA124" s="11"/>
      <c r="AB124" s="11"/>
      <c r="AC124" s="11">
        <v>0</v>
      </c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 t="s">
        <v>1019</v>
      </c>
      <c r="AO124" s="11" t="s">
        <v>1604</v>
      </c>
      <c r="AP124" s="11" t="s">
        <v>1114</v>
      </c>
      <c r="AQ124" s="11"/>
      <c r="AR124" s="11" t="s">
        <v>1034</v>
      </c>
      <c r="AS124" s="11"/>
      <c r="AT124" s="11" t="s">
        <v>1034</v>
      </c>
      <c r="AU124" s="11"/>
      <c r="AV124" s="11"/>
      <c r="AW124" s="12">
        <v>1</v>
      </c>
      <c r="AX124" s="12">
        <v>1</v>
      </c>
      <c r="AY124" s="12">
        <v>1</v>
      </c>
      <c r="AZ124" s="12"/>
      <c r="BA124" s="12"/>
      <c r="BB124" s="12"/>
      <c r="BC124" s="12"/>
      <c r="BD124" s="11" t="s">
        <v>1115</v>
      </c>
      <c r="BE124" s="11" t="s">
        <v>1116</v>
      </c>
    </row>
    <row r="125" spans="1:57" s="8" customFormat="1" ht="58" x14ac:dyDescent="0.35">
      <c r="A125" s="7" t="s">
        <v>20</v>
      </c>
      <c r="B125" s="7" t="s">
        <v>21</v>
      </c>
      <c r="C125" s="3" t="s">
        <v>268</v>
      </c>
      <c r="D125" s="3" t="s">
        <v>57</v>
      </c>
      <c r="E125" s="3"/>
      <c r="F125" s="3" t="s">
        <v>53</v>
      </c>
      <c r="G125" s="3" t="s">
        <v>50</v>
      </c>
      <c r="H125" s="4">
        <v>562</v>
      </c>
      <c r="I125" s="4">
        <v>300</v>
      </c>
      <c r="J125" s="3" t="s">
        <v>26</v>
      </c>
      <c r="K125" s="4" t="b">
        <v>0</v>
      </c>
      <c r="L125" s="6">
        <v>0.33333333333333298</v>
      </c>
      <c r="M125" s="6">
        <v>0.33333333333333298</v>
      </c>
      <c r="N125" s="3" t="s">
        <v>58</v>
      </c>
      <c r="O125" s="3" t="s">
        <v>59</v>
      </c>
      <c r="P125" s="3" t="s">
        <v>269</v>
      </c>
      <c r="Q125" s="3" t="s">
        <v>1606</v>
      </c>
      <c r="R125" s="3" t="s">
        <v>1074</v>
      </c>
      <c r="S125" s="3" t="s">
        <v>1006</v>
      </c>
      <c r="T125" s="3" t="s">
        <v>1007</v>
      </c>
      <c r="U125" s="11" t="s">
        <v>1607</v>
      </c>
      <c r="V125" s="11" t="s">
        <v>1064</v>
      </c>
      <c r="W125" s="11" t="s">
        <v>1065</v>
      </c>
      <c r="X125" s="13">
        <v>1</v>
      </c>
      <c r="Y125" s="12"/>
      <c r="Z125" s="11"/>
      <c r="AA125" s="11"/>
      <c r="AB125" s="11"/>
      <c r="AC125" s="11">
        <v>0</v>
      </c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 t="s">
        <v>1019</v>
      </c>
      <c r="AO125" s="11" t="s">
        <v>1608</v>
      </c>
      <c r="AP125" s="11" t="s">
        <v>1021</v>
      </c>
      <c r="AQ125" s="11" t="s">
        <v>1609</v>
      </c>
      <c r="AR125" s="11" t="s">
        <v>1050</v>
      </c>
      <c r="AS125" s="11" t="s">
        <v>1610</v>
      </c>
      <c r="AT125" s="11" t="s">
        <v>1048</v>
      </c>
      <c r="AU125" s="11" t="s">
        <v>1609</v>
      </c>
      <c r="AV125" s="11" t="s">
        <v>1610</v>
      </c>
      <c r="AW125" s="12">
        <v>1</v>
      </c>
      <c r="AX125" s="12">
        <v>1</v>
      </c>
      <c r="AY125" s="12">
        <v>1</v>
      </c>
      <c r="AZ125" s="12">
        <v>1</v>
      </c>
      <c r="BA125" s="12">
        <v>1</v>
      </c>
      <c r="BB125" s="12">
        <v>1</v>
      </c>
      <c r="BC125" s="12">
        <v>2</v>
      </c>
      <c r="BD125" s="11" t="s">
        <v>1026</v>
      </c>
      <c r="BE125" s="11" t="s">
        <v>1051</v>
      </c>
    </row>
    <row r="126" spans="1:57" s="8" customFormat="1" ht="72.5" x14ac:dyDescent="0.35">
      <c r="A126" s="7" t="s">
        <v>20</v>
      </c>
      <c r="B126" s="7" t="s">
        <v>21</v>
      </c>
      <c r="C126" s="3" t="s">
        <v>270</v>
      </c>
      <c r="D126" s="3" t="s">
        <v>52</v>
      </c>
      <c r="E126" s="3"/>
      <c r="F126" s="3" t="s">
        <v>53</v>
      </c>
      <c r="G126" s="3" t="s">
        <v>50</v>
      </c>
      <c r="H126" s="4">
        <v>923</v>
      </c>
      <c r="I126" s="4">
        <v>500</v>
      </c>
      <c r="J126" s="3" t="s">
        <v>26</v>
      </c>
      <c r="K126" s="4" t="b">
        <v>0</v>
      </c>
      <c r="L126" s="6">
        <v>0.33333333333333298</v>
      </c>
      <c r="M126" s="6">
        <v>0.33333333333333298</v>
      </c>
      <c r="N126" s="3" t="s">
        <v>54</v>
      </c>
      <c r="O126" s="3" t="s">
        <v>55</v>
      </c>
      <c r="P126" s="3" t="s">
        <v>271</v>
      </c>
      <c r="Q126" s="3" t="s">
        <v>1611</v>
      </c>
      <c r="R126" s="3" t="s">
        <v>1029</v>
      </c>
      <c r="S126" s="3" t="s">
        <v>1006</v>
      </c>
      <c r="T126" s="3" t="s">
        <v>1007</v>
      </c>
      <c r="U126" s="11" t="s">
        <v>1612</v>
      </c>
      <c r="V126" s="11" t="s">
        <v>1031</v>
      </c>
      <c r="W126" s="11" t="s">
        <v>1032</v>
      </c>
      <c r="X126" s="13">
        <v>0.7</v>
      </c>
      <c r="Y126" s="12"/>
      <c r="Z126" s="11"/>
      <c r="AA126" s="11"/>
      <c r="AB126" s="11"/>
      <c r="AC126" s="11">
        <v>2</v>
      </c>
      <c r="AD126" s="11" t="s">
        <v>1452</v>
      </c>
      <c r="AE126" s="11" t="s">
        <v>1613</v>
      </c>
      <c r="AF126" s="11" t="s">
        <v>1014</v>
      </c>
      <c r="AG126" s="11" t="s">
        <v>1015</v>
      </c>
      <c r="AH126" s="11"/>
      <c r="AI126" s="11" t="s">
        <v>1016</v>
      </c>
      <c r="AJ126" s="11"/>
      <c r="AK126" s="11" t="s">
        <v>1454</v>
      </c>
      <c r="AL126" s="11" t="s">
        <v>1017</v>
      </c>
      <c r="AM126" s="11" t="s">
        <v>1455</v>
      </c>
      <c r="AN126" s="11" t="s">
        <v>1019</v>
      </c>
      <c r="AO126" s="11" t="s">
        <v>1614</v>
      </c>
      <c r="AP126" s="11" t="s">
        <v>1114</v>
      </c>
      <c r="AQ126" s="11"/>
      <c r="AR126" s="11" t="s">
        <v>1034</v>
      </c>
      <c r="AS126" s="11"/>
      <c r="AT126" s="11" t="s">
        <v>1034</v>
      </c>
      <c r="AU126" s="11"/>
      <c r="AV126" s="11"/>
      <c r="AW126" s="12">
        <v>1</v>
      </c>
      <c r="AX126" s="12">
        <v>1</v>
      </c>
      <c r="AY126" s="12">
        <v>1</v>
      </c>
      <c r="AZ126" s="12"/>
      <c r="BA126" s="12"/>
      <c r="BB126" s="12"/>
      <c r="BC126" s="12"/>
      <c r="BD126" s="11" t="s">
        <v>1115</v>
      </c>
      <c r="BE126" s="11" t="s">
        <v>1116</v>
      </c>
    </row>
    <row r="127" spans="1:57" s="8" customFormat="1" ht="58" x14ac:dyDescent="0.35">
      <c r="A127" s="7" t="s">
        <v>20</v>
      </c>
      <c r="B127" s="7" t="s">
        <v>21</v>
      </c>
      <c r="C127" s="3" t="s">
        <v>272</v>
      </c>
      <c r="D127" s="3" t="s">
        <v>57</v>
      </c>
      <c r="E127" s="3"/>
      <c r="F127" s="3" t="s">
        <v>53</v>
      </c>
      <c r="G127" s="3" t="s">
        <v>50</v>
      </c>
      <c r="H127" s="4">
        <v>804</v>
      </c>
      <c r="I127" s="4">
        <v>300</v>
      </c>
      <c r="J127" s="3" t="s">
        <v>26</v>
      </c>
      <c r="K127" s="4" t="b">
        <v>0</v>
      </c>
      <c r="L127" s="6">
        <v>0.33333333333333298</v>
      </c>
      <c r="M127" s="6">
        <v>0.33333333333333298</v>
      </c>
      <c r="N127" s="3" t="s">
        <v>58</v>
      </c>
      <c r="O127" s="3" t="s">
        <v>59</v>
      </c>
      <c r="P127" s="3" t="s">
        <v>273</v>
      </c>
      <c r="Q127" s="3" t="s">
        <v>1615</v>
      </c>
      <c r="R127" s="3" t="s">
        <v>1139</v>
      </c>
      <c r="S127" s="3" t="s">
        <v>1616</v>
      </c>
      <c r="T127" s="3" t="s">
        <v>1617</v>
      </c>
      <c r="U127" s="11" t="s">
        <v>1618</v>
      </c>
      <c r="V127" s="11" t="s">
        <v>1009</v>
      </c>
      <c r="W127" s="11" t="s">
        <v>1010</v>
      </c>
      <c r="X127" s="13">
        <v>0.77</v>
      </c>
      <c r="Y127" s="12"/>
      <c r="Z127" s="11" t="s">
        <v>1619</v>
      </c>
      <c r="AA127" s="11"/>
      <c r="AB127" s="11"/>
      <c r="AC127" s="11">
        <v>1</v>
      </c>
      <c r="AD127" s="11" t="s">
        <v>1227</v>
      </c>
      <c r="AE127" s="11" t="s">
        <v>1620</v>
      </c>
      <c r="AF127" s="11" t="s">
        <v>1014</v>
      </c>
      <c r="AG127" s="11" t="s">
        <v>1015</v>
      </c>
      <c r="AH127" s="11"/>
      <c r="AI127" s="11" t="s">
        <v>1016</v>
      </c>
      <c r="AJ127" s="11"/>
      <c r="AK127" s="11" t="s">
        <v>1229</v>
      </c>
      <c r="AL127" s="11" t="s">
        <v>1017</v>
      </c>
      <c r="AM127" s="11" t="s">
        <v>1230</v>
      </c>
      <c r="AN127" s="11" t="s">
        <v>1019</v>
      </c>
      <c r="AO127" s="11" t="s">
        <v>1621</v>
      </c>
      <c r="AP127" s="11" t="s">
        <v>1021</v>
      </c>
      <c r="AQ127" s="11" t="s">
        <v>1622</v>
      </c>
      <c r="AR127" s="11" t="s">
        <v>1048</v>
      </c>
      <c r="AS127" s="11" t="s">
        <v>1623</v>
      </c>
      <c r="AT127" s="11" t="s">
        <v>1050</v>
      </c>
      <c r="AU127" s="11" t="s">
        <v>1622</v>
      </c>
      <c r="AV127" s="11" t="s">
        <v>1623</v>
      </c>
      <c r="AW127" s="12">
        <v>1</v>
      </c>
      <c r="AX127" s="12">
        <v>1</v>
      </c>
      <c r="AY127" s="12">
        <v>1</v>
      </c>
      <c r="AZ127" s="12">
        <v>1</v>
      </c>
      <c r="BA127" s="12">
        <v>4</v>
      </c>
      <c r="BB127" s="12">
        <v>1</v>
      </c>
      <c r="BC127" s="12">
        <v>1</v>
      </c>
      <c r="BD127" s="11" t="s">
        <v>1026</v>
      </c>
      <c r="BE127" s="11" t="s">
        <v>1051</v>
      </c>
    </row>
    <row r="128" spans="1:57" s="8" customFormat="1" ht="58" x14ac:dyDescent="0.35">
      <c r="A128" s="7" t="s">
        <v>20</v>
      </c>
      <c r="B128" s="7" t="s">
        <v>21</v>
      </c>
      <c r="C128" s="3" t="s">
        <v>274</v>
      </c>
      <c r="D128" s="3" t="s">
        <v>261</v>
      </c>
      <c r="E128" s="3"/>
      <c r="F128" s="3" t="s">
        <v>31</v>
      </c>
      <c r="G128" s="3" t="s">
        <v>50</v>
      </c>
      <c r="H128" s="4">
        <v>965</v>
      </c>
      <c r="I128" s="4">
        <v>500</v>
      </c>
      <c r="J128" s="3" t="s">
        <v>26</v>
      </c>
      <c r="K128" s="4" t="b">
        <v>1</v>
      </c>
      <c r="L128" s="6">
        <v>1</v>
      </c>
      <c r="M128" s="6">
        <v>1</v>
      </c>
      <c r="N128" s="3" t="s">
        <v>262</v>
      </c>
      <c r="O128" s="3"/>
      <c r="P128" s="3" t="s">
        <v>275</v>
      </c>
      <c r="Q128" s="3" t="s">
        <v>1624</v>
      </c>
      <c r="R128" s="3" t="s">
        <v>1029</v>
      </c>
      <c r="S128" s="3" t="s">
        <v>1006</v>
      </c>
      <c r="T128" s="3" t="s">
        <v>1007</v>
      </c>
      <c r="U128" s="11" t="s">
        <v>1625</v>
      </c>
      <c r="V128" s="11" t="s">
        <v>1031</v>
      </c>
      <c r="W128" s="11" t="s">
        <v>1032</v>
      </c>
      <c r="X128" s="13">
        <v>0.7</v>
      </c>
      <c r="Y128" s="12"/>
      <c r="Z128" s="11"/>
      <c r="AA128" s="11"/>
      <c r="AB128" s="11"/>
      <c r="AC128" s="11">
        <v>1</v>
      </c>
      <c r="AD128" s="11" t="s">
        <v>1626</v>
      </c>
      <c r="AE128" s="11" t="s">
        <v>1627</v>
      </c>
      <c r="AF128" s="11" t="s">
        <v>1014</v>
      </c>
      <c r="AG128" s="11" t="s">
        <v>1015</v>
      </c>
      <c r="AH128" s="11" t="s">
        <v>262</v>
      </c>
      <c r="AI128" s="11" t="s">
        <v>1016</v>
      </c>
      <c r="AJ128" s="11"/>
      <c r="AK128" s="11" t="s">
        <v>1628</v>
      </c>
      <c r="AL128" s="11" t="s">
        <v>1017</v>
      </c>
      <c r="AM128" s="11" t="s">
        <v>1629</v>
      </c>
      <c r="AN128" s="11" t="s">
        <v>1019</v>
      </c>
      <c r="AO128" s="11" t="s">
        <v>1630</v>
      </c>
      <c r="AP128" s="11" t="s">
        <v>1021</v>
      </c>
      <c r="AQ128" s="11" t="s">
        <v>1631</v>
      </c>
      <c r="AR128" s="11" t="s">
        <v>1048</v>
      </c>
      <c r="AS128" s="11" t="s">
        <v>1632</v>
      </c>
      <c r="AT128" s="11" t="s">
        <v>1050</v>
      </c>
      <c r="AU128" s="11" t="s">
        <v>1631</v>
      </c>
      <c r="AV128" s="11" t="s">
        <v>1632</v>
      </c>
      <c r="AW128" s="12">
        <v>1</v>
      </c>
      <c r="AX128" s="12">
        <v>1</v>
      </c>
      <c r="AY128" s="12">
        <v>1</v>
      </c>
      <c r="AZ128" s="12">
        <v>1</v>
      </c>
      <c r="BA128" s="12">
        <v>3</v>
      </c>
      <c r="BB128" s="12">
        <v>1</v>
      </c>
      <c r="BC128" s="12">
        <v>1</v>
      </c>
      <c r="BD128" s="11" t="s">
        <v>1026</v>
      </c>
      <c r="BE128" s="11" t="s">
        <v>1051</v>
      </c>
    </row>
    <row r="129" spans="1:57" s="8" customFormat="1" ht="58" x14ac:dyDescent="0.35">
      <c r="A129" s="7" t="s">
        <v>20</v>
      </c>
      <c r="B129" s="7" t="s">
        <v>21</v>
      </c>
      <c r="C129" s="3" t="s">
        <v>276</v>
      </c>
      <c r="D129" s="3" t="s">
        <v>41</v>
      </c>
      <c r="E129" s="3" t="s">
        <v>41</v>
      </c>
      <c r="F129" s="3" t="s">
        <v>36</v>
      </c>
      <c r="G129" s="3" t="s">
        <v>25</v>
      </c>
      <c r="H129" s="4">
        <v>1329</v>
      </c>
      <c r="I129" s="4">
        <v>150</v>
      </c>
      <c r="J129" s="3" t="s">
        <v>26</v>
      </c>
      <c r="K129" s="4" t="b">
        <v>1</v>
      </c>
      <c r="L129" s="6">
        <v>1</v>
      </c>
      <c r="M129" s="6">
        <v>1</v>
      </c>
      <c r="N129" s="3" t="s">
        <v>42</v>
      </c>
      <c r="O129" s="3"/>
      <c r="P129" s="3" t="s">
        <v>277</v>
      </c>
      <c r="Q129" s="3" t="s">
        <v>1633</v>
      </c>
      <c r="R129" s="3" t="s">
        <v>1039</v>
      </c>
      <c r="S129" s="3" t="s">
        <v>1634</v>
      </c>
      <c r="T129" s="3" t="s">
        <v>1635</v>
      </c>
      <c r="U129" s="11" t="s">
        <v>1636</v>
      </c>
      <c r="V129" s="11" t="s">
        <v>1009</v>
      </c>
      <c r="W129" s="11" t="s">
        <v>1010</v>
      </c>
      <c r="X129" s="13">
        <v>0.93</v>
      </c>
      <c r="Y129" s="12"/>
      <c r="Z129" s="11" t="s">
        <v>1637</v>
      </c>
      <c r="AA129" s="11"/>
      <c r="AB129" s="11"/>
      <c r="AC129" s="11">
        <v>1</v>
      </c>
      <c r="AD129" s="11" t="s">
        <v>1148</v>
      </c>
      <c r="AE129" s="11" t="s">
        <v>1638</v>
      </c>
      <c r="AF129" s="11" t="s">
        <v>1014</v>
      </c>
      <c r="AG129" s="11" t="s">
        <v>1150</v>
      </c>
      <c r="AH129" s="11"/>
      <c r="AI129" s="11" t="s">
        <v>1016</v>
      </c>
      <c r="AJ129" s="11"/>
      <c r="AK129" s="11" t="s">
        <v>1151</v>
      </c>
      <c r="AL129" s="11" t="s">
        <v>1017</v>
      </c>
      <c r="AM129" s="11" t="s">
        <v>1152</v>
      </c>
      <c r="AN129" s="11" t="s">
        <v>1019</v>
      </c>
      <c r="AO129" s="11" t="s">
        <v>1480</v>
      </c>
      <c r="AP129" s="11" t="s">
        <v>1021</v>
      </c>
      <c r="AQ129" s="11" t="s">
        <v>1481</v>
      </c>
      <c r="AR129" s="11" t="s">
        <v>1023</v>
      </c>
      <c r="AS129" s="11"/>
      <c r="AT129" s="11" t="s">
        <v>1034</v>
      </c>
      <c r="AU129" s="11" t="s">
        <v>1481</v>
      </c>
      <c r="AV129" s="11"/>
      <c r="AW129" s="12">
        <v>3</v>
      </c>
      <c r="AX129" s="12">
        <v>3</v>
      </c>
      <c r="AY129" s="12">
        <v>3</v>
      </c>
      <c r="AZ129" s="12">
        <v>3</v>
      </c>
      <c r="BA129" s="12">
        <v>5</v>
      </c>
      <c r="BB129" s="12"/>
      <c r="BC129" s="12"/>
      <c r="BD129" s="11" t="s">
        <v>1093</v>
      </c>
      <c r="BE129" s="11" t="s">
        <v>1037</v>
      </c>
    </row>
    <row r="130" spans="1:57" s="8" customFormat="1" ht="58" x14ac:dyDescent="0.35">
      <c r="A130" s="7" t="s">
        <v>20</v>
      </c>
      <c r="B130" s="7" t="s">
        <v>21</v>
      </c>
      <c r="C130" s="3" t="s">
        <v>278</v>
      </c>
      <c r="D130" s="3" t="s">
        <v>30</v>
      </c>
      <c r="E130" s="3"/>
      <c r="F130" s="3" t="s">
        <v>31</v>
      </c>
      <c r="G130" s="3" t="s">
        <v>50</v>
      </c>
      <c r="H130" s="4">
        <v>612</v>
      </c>
      <c r="I130" s="4">
        <v>250</v>
      </c>
      <c r="J130" s="3" t="s">
        <v>26</v>
      </c>
      <c r="K130" s="4" t="b">
        <v>1</v>
      </c>
      <c r="L130" s="6">
        <v>1</v>
      </c>
      <c r="M130" s="6">
        <v>1</v>
      </c>
      <c r="N130" s="3" t="s">
        <v>32</v>
      </c>
      <c r="O130" s="3"/>
      <c r="P130" s="3" t="s">
        <v>279</v>
      </c>
      <c r="Q130" s="3" t="s">
        <v>1639</v>
      </c>
      <c r="R130" s="3" t="s">
        <v>1074</v>
      </c>
      <c r="S130" s="3" t="s">
        <v>1006</v>
      </c>
      <c r="T130" s="3" t="s">
        <v>1007</v>
      </c>
      <c r="U130" s="11" t="s">
        <v>1640</v>
      </c>
      <c r="V130" s="11" t="s">
        <v>1064</v>
      </c>
      <c r="W130" s="11" t="s">
        <v>1065</v>
      </c>
      <c r="X130" s="13">
        <v>1</v>
      </c>
      <c r="Y130" s="12"/>
      <c r="Z130" s="11"/>
      <c r="AA130" s="11"/>
      <c r="AB130" s="11"/>
      <c r="AC130" s="11">
        <v>0</v>
      </c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 t="s">
        <v>1019</v>
      </c>
      <c r="AO130" s="11" t="s">
        <v>1641</v>
      </c>
      <c r="AP130" s="11" t="s">
        <v>1021</v>
      </c>
      <c r="AQ130" s="11" t="s">
        <v>1642</v>
      </c>
      <c r="AR130" s="11" t="s">
        <v>1050</v>
      </c>
      <c r="AS130" s="11"/>
      <c r="AT130" s="11" t="s">
        <v>1034</v>
      </c>
      <c r="AU130" s="11" t="s">
        <v>1642</v>
      </c>
      <c r="AV130" s="11"/>
      <c r="AW130" s="12">
        <v>1</v>
      </c>
      <c r="AX130" s="12">
        <v>0</v>
      </c>
      <c r="AY130" s="12">
        <v>1</v>
      </c>
      <c r="AZ130" s="12">
        <v>1</v>
      </c>
      <c r="BA130" s="12">
        <v>1</v>
      </c>
      <c r="BB130" s="12"/>
      <c r="BC130" s="12"/>
      <c r="BD130" s="11" t="s">
        <v>1093</v>
      </c>
      <c r="BE130" s="11" t="s">
        <v>1037</v>
      </c>
    </row>
    <row r="131" spans="1:57" s="8" customFormat="1" ht="43.5" x14ac:dyDescent="0.35">
      <c r="A131" s="7" t="s">
        <v>20</v>
      </c>
      <c r="B131" s="7" t="s">
        <v>21</v>
      </c>
      <c r="C131" s="3" t="s">
        <v>280</v>
      </c>
      <c r="D131" s="3" t="s">
        <v>30</v>
      </c>
      <c r="E131" s="3" t="s">
        <v>30</v>
      </c>
      <c r="F131" s="3" t="s">
        <v>31</v>
      </c>
      <c r="G131" s="3" t="s">
        <v>25</v>
      </c>
      <c r="H131" s="4">
        <v>408</v>
      </c>
      <c r="I131" s="4">
        <v>250</v>
      </c>
      <c r="J131" s="3" t="s">
        <v>26</v>
      </c>
      <c r="K131" s="4" t="b">
        <v>1</v>
      </c>
      <c r="L131" s="6">
        <v>1</v>
      </c>
      <c r="M131" s="6">
        <v>1</v>
      </c>
      <c r="N131" s="3" t="s">
        <v>32</v>
      </c>
      <c r="O131" s="3"/>
      <c r="P131" s="3" t="s">
        <v>281</v>
      </c>
      <c r="Q131" s="3" t="s">
        <v>1643</v>
      </c>
      <c r="R131" s="3" t="s">
        <v>1074</v>
      </c>
      <c r="S131" s="3" t="s">
        <v>1006</v>
      </c>
      <c r="T131" s="3" t="s">
        <v>1007</v>
      </c>
      <c r="U131" s="11" t="s">
        <v>1644</v>
      </c>
      <c r="V131" s="11" t="s">
        <v>1031</v>
      </c>
      <c r="W131" s="11" t="s">
        <v>1032</v>
      </c>
      <c r="X131" s="13">
        <v>0.7</v>
      </c>
      <c r="Y131" s="12"/>
      <c r="Z131" s="11"/>
      <c r="AA131" s="11"/>
      <c r="AB131" s="11"/>
      <c r="AC131" s="11">
        <v>0</v>
      </c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 t="s">
        <v>1019</v>
      </c>
      <c r="AO131" s="11" t="s">
        <v>1645</v>
      </c>
      <c r="AP131" s="11" t="s">
        <v>1021</v>
      </c>
      <c r="AQ131" s="11" t="s">
        <v>1646</v>
      </c>
      <c r="AR131" s="11" t="s">
        <v>1050</v>
      </c>
      <c r="AS131" s="11" t="s">
        <v>1647</v>
      </c>
      <c r="AT131" s="11" t="s">
        <v>1050</v>
      </c>
      <c r="AU131" s="11" t="s">
        <v>1646</v>
      </c>
      <c r="AV131" s="11" t="s">
        <v>1647</v>
      </c>
      <c r="AW131" s="12">
        <v>1</v>
      </c>
      <c r="AX131" s="12">
        <v>1</v>
      </c>
      <c r="AY131" s="12">
        <v>1</v>
      </c>
      <c r="AZ131" s="12">
        <v>1</v>
      </c>
      <c r="BA131" s="12">
        <v>1</v>
      </c>
      <c r="BB131" s="12">
        <v>1</v>
      </c>
      <c r="BC131" s="12">
        <v>1</v>
      </c>
      <c r="BD131" s="11" t="s">
        <v>1026</v>
      </c>
      <c r="BE131" s="11" t="s">
        <v>1103</v>
      </c>
    </row>
    <row r="132" spans="1:57" s="8" customFormat="1" ht="174" x14ac:dyDescent="0.35">
      <c r="A132" s="7" t="s">
        <v>20</v>
      </c>
      <c r="B132" s="7" t="s">
        <v>21</v>
      </c>
      <c r="C132" s="3" t="s">
        <v>282</v>
      </c>
      <c r="D132" s="3" t="s">
        <v>52</v>
      </c>
      <c r="E132" s="3"/>
      <c r="F132" s="3" t="s">
        <v>53</v>
      </c>
      <c r="G132" s="3" t="s">
        <v>50</v>
      </c>
      <c r="H132" s="4">
        <v>1116</v>
      </c>
      <c r="I132" s="4">
        <v>500</v>
      </c>
      <c r="J132" s="3" t="s">
        <v>26</v>
      </c>
      <c r="K132" s="4" t="b">
        <v>0</v>
      </c>
      <c r="L132" s="6">
        <v>0.33333333333333298</v>
      </c>
      <c r="M132" s="6">
        <v>0.33333333333333298</v>
      </c>
      <c r="N132" s="3" t="s">
        <v>54</v>
      </c>
      <c r="O132" s="3" t="s">
        <v>55</v>
      </c>
      <c r="P132" s="3" t="s">
        <v>283</v>
      </c>
      <c r="Q132" s="3" t="s">
        <v>1648</v>
      </c>
      <c r="R132" s="3" t="s">
        <v>1029</v>
      </c>
      <c r="S132" s="3" t="s">
        <v>1006</v>
      </c>
      <c r="T132" s="3" t="s">
        <v>1007</v>
      </c>
      <c r="U132" s="11" t="s">
        <v>1649</v>
      </c>
      <c r="V132" s="11" t="s">
        <v>1064</v>
      </c>
      <c r="W132" s="11" t="s">
        <v>1065</v>
      </c>
      <c r="X132" s="13">
        <v>1</v>
      </c>
      <c r="Y132" s="12"/>
      <c r="Z132" s="11"/>
      <c r="AA132" s="11"/>
      <c r="AB132" s="11"/>
      <c r="AC132" s="11">
        <v>13</v>
      </c>
      <c r="AD132" s="11" t="s">
        <v>1086</v>
      </c>
      <c r="AE132" s="11" t="s">
        <v>1650</v>
      </c>
      <c r="AF132" s="11" t="s">
        <v>1014</v>
      </c>
      <c r="AG132" s="11" t="s">
        <v>1015</v>
      </c>
      <c r="AH132" s="11" t="s">
        <v>1078</v>
      </c>
      <c r="AI132" s="11" t="s">
        <v>1016</v>
      </c>
      <c r="AJ132" s="11"/>
      <c r="AK132" s="11" t="s">
        <v>1089</v>
      </c>
      <c r="AL132" s="11" t="s">
        <v>1017</v>
      </c>
      <c r="AM132" s="11" t="s">
        <v>1090</v>
      </c>
      <c r="AN132" s="11" t="s">
        <v>1019</v>
      </c>
      <c r="AO132" s="11" t="s">
        <v>1651</v>
      </c>
      <c r="AP132" s="11" t="s">
        <v>1021</v>
      </c>
      <c r="AQ132" s="11" t="s">
        <v>1652</v>
      </c>
      <c r="AR132" s="11" t="s">
        <v>1050</v>
      </c>
      <c r="AS132" s="11" t="s">
        <v>1653</v>
      </c>
      <c r="AT132" s="11" t="s">
        <v>1050</v>
      </c>
      <c r="AU132" s="11" t="s">
        <v>1652</v>
      </c>
      <c r="AV132" s="11" t="s">
        <v>1653</v>
      </c>
      <c r="AW132" s="12">
        <v>1</v>
      </c>
      <c r="AX132" s="12">
        <v>1</v>
      </c>
      <c r="AY132" s="12">
        <v>1</v>
      </c>
      <c r="AZ132" s="12">
        <v>1</v>
      </c>
      <c r="BA132" s="12">
        <v>1</v>
      </c>
      <c r="BB132" s="12">
        <v>1</v>
      </c>
      <c r="BC132" s="12">
        <v>1</v>
      </c>
      <c r="BD132" s="11" t="s">
        <v>1026</v>
      </c>
      <c r="BE132" s="11" t="s">
        <v>1103</v>
      </c>
    </row>
    <row r="133" spans="1:57" s="8" customFormat="1" ht="58" x14ac:dyDescent="0.35">
      <c r="A133" s="7" t="s">
        <v>20</v>
      </c>
      <c r="B133" s="7" t="s">
        <v>21</v>
      </c>
      <c r="C133" s="3" t="s">
        <v>284</v>
      </c>
      <c r="D133" s="3" t="s">
        <v>172</v>
      </c>
      <c r="E133" s="3"/>
      <c r="F133" s="3" t="s">
        <v>31</v>
      </c>
      <c r="G133" s="3" t="s">
        <v>50</v>
      </c>
      <c r="H133" s="4">
        <v>507</v>
      </c>
      <c r="I133" s="4">
        <v>90</v>
      </c>
      <c r="J133" s="3" t="s">
        <v>26</v>
      </c>
      <c r="K133" s="4" t="b">
        <v>1</v>
      </c>
      <c r="L133" s="6">
        <v>1</v>
      </c>
      <c r="M133" s="6">
        <v>1</v>
      </c>
      <c r="N133" s="3" t="s">
        <v>173</v>
      </c>
      <c r="O133" s="3"/>
      <c r="P133" s="3" t="s">
        <v>285</v>
      </c>
      <c r="Q133" s="3" t="s">
        <v>1654</v>
      </c>
      <c r="R133" s="3" t="s">
        <v>1029</v>
      </c>
      <c r="S133" s="3" t="s">
        <v>1006</v>
      </c>
      <c r="T133" s="3" t="s">
        <v>1367</v>
      </c>
      <c r="U133" s="11" t="s">
        <v>1655</v>
      </c>
      <c r="V133" s="11" t="s">
        <v>1064</v>
      </c>
      <c r="W133" s="11" t="s">
        <v>1065</v>
      </c>
      <c r="X133" s="13">
        <v>1</v>
      </c>
      <c r="Y133" s="12"/>
      <c r="Z133" s="11"/>
      <c r="AA133" s="11"/>
      <c r="AB133" s="11"/>
      <c r="AC133" s="11">
        <v>0</v>
      </c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 t="s">
        <v>1019</v>
      </c>
      <c r="AO133" s="11" t="s">
        <v>1656</v>
      </c>
      <c r="AP133" s="11" t="s">
        <v>1021</v>
      </c>
      <c r="AQ133" s="11" t="s">
        <v>1657</v>
      </c>
      <c r="AR133" s="11" t="s">
        <v>1048</v>
      </c>
      <c r="AS133" s="11" t="s">
        <v>1658</v>
      </c>
      <c r="AT133" s="11" t="s">
        <v>1050</v>
      </c>
      <c r="AU133" s="11" t="s">
        <v>1659</v>
      </c>
      <c r="AV133" s="11" t="s">
        <v>1658</v>
      </c>
      <c r="AW133" s="12">
        <v>1</v>
      </c>
      <c r="AX133" s="12">
        <v>2</v>
      </c>
      <c r="AY133" s="12">
        <v>1</v>
      </c>
      <c r="AZ133" s="12">
        <v>1</v>
      </c>
      <c r="BA133" s="12">
        <v>2</v>
      </c>
      <c r="BB133" s="12">
        <v>1</v>
      </c>
      <c r="BC133" s="12">
        <v>1</v>
      </c>
      <c r="BD133" s="11" t="s">
        <v>1026</v>
      </c>
      <c r="BE133" s="11" t="s">
        <v>1051</v>
      </c>
    </row>
    <row r="134" spans="1:57" s="8" customFormat="1" ht="58" x14ac:dyDescent="0.35">
      <c r="A134" s="7" t="s">
        <v>20</v>
      </c>
      <c r="B134" s="7" t="s">
        <v>21</v>
      </c>
      <c r="C134" s="3" t="s">
        <v>286</v>
      </c>
      <c r="D134" s="3" t="s">
        <v>57</v>
      </c>
      <c r="E134" s="3"/>
      <c r="F134" s="3" t="s">
        <v>53</v>
      </c>
      <c r="G134" s="3" t="s">
        <v>50</v>
      </c>
      <c r="H134" s="4">
        <v>356</v>
      </c>
      <c r="I134" s="4">
        <v>300</v>
      </c>
      <c r="J134" s="3" t="s">
        <v>26</v>
      </c>
      <c r="K134" s="4" t="b">
        <v>0</v>
      </c>
      <c r="L134" s="6">
        <v>0.33333333333333298</v>
      </c>
      <c r="M134" s="6">
        <v>0.33333333333333298</v>
      </c>
      <c r="N134" s="3" t="s">
        <v>58</v>
      </c>
      <c r="O134" s="3" t="s">
        <v>59</v>
      </c>
      <c r="P134" s="3" t="s">
        <v>287</v>
      </c>
      <c r="Q134" s="3" t="s">
        <v>1660</v>
      </c>
      <c r="R134" s="3" t="s">
        <v>1074</v>
      </c>
      <c r="S134" s="3" t="s">
        <v>1006</v>
      </c>
      <c r="T134" s="3" t="s">
        <v>1007</v>
      </c>
      <c r="U134" s="11" t="s">
        <v>1661</v>
      </c>
      <c r="V134" s="11" t="s">
        <v>1031</v>
      </c>
      <c r="W134" s="11" t="s">
        <v>1032</v>
      </c>
      <c r="X134" s="13">
        <v>0.7</v>
      </c>
      <c r="Y134" s="12"/>
      <c r="Z134" s="11"/>
      <c r="AA134" s="11"/>
      <c r="AB134" s="11"/>
      <c r="AC134" s="11">
        <v>0</v>
      </c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 t="s">
        <v>1019</v>
      </c>
      <c r="AO134" s="11" t="s">
        <v>1662</v>
      </c>
      <c r="AP134" s="11" t="s">
        <v>1021</v>
      </c>
      <c r="AQ134" s="11" t="s">
        <v>1663</v>
      </c>
      <c r="AR134" s="11" t="s">
        <v>1048</v>
      </c>
      <c r="AS134" s="11" t="s">
        <v>1664</v>
      </c>
      <c r="AT134" s="11" t="s">
        <v>1050</v>
      </c>
      <c r="AU134" s="11" t="s">
        <v>1663</v>
      </c>
      <c r="AV134" s="11" t="s">
        <v>1664</v>
      </c>
      <c r="AW134" s="12">
        <v>1</v>
      </c>
      <c r="AX134" s="12">
        <v>1</v>
      </c>
      <c r="AY134" s="12">
        <v>1</v>
      </c>
      <c r="AZ134" s="12">
        <v>1</v>
      </c>
      <c r="BA134" s="12">
        <v>2</v>
      </c>
      <c r="BB134" s="12">
        <v>1</v>
      </c>
      <c r="BC134" s="12">
        <v>1</v>
      </c>
      <c r="BD134" s="11" t="s">
        <v>1026</v>
      </c>
      <c r="BE134" s="11" t="s">
        <v>1051</v>
      </c>
    </row>
    <row r="135" spans="1:57" s="8" customFormat="1" ht="58" x14ac:dyDescent="0.35">
      <c r="A135" s="7" t="s">
        <v>20</v>
      </c>
      <c r="B135" s="7" t="s">
        <v>21</v>
      </c>
      <c r="C135" s="3" t="s">
        <v>286</v>
      </c>
      <c r="D135" s="3" t="s">
        <v>98</v>
      </c>
      <c r="E135" s="3"/>
      <c r="F135" s="3" t="s">
        <v>53</v>
      </c>
      <c r="G135" s="3" t="s">
        <v>50</v>
      </c>
      <c r="H135" s="4">
        <v>356</v>
      </c>
      <c r="I135" s="4">
        <v>300</v>
      </c>
      <c r="J135" s="3" t="s">
        <v>26</v>
      </c>
      <c r="K135" s="4" t="b">
        <v>0</v>
      </c>
      <c r="L135" s="6">
        <v>0.5</v>
      </c>
      <c r="M135" s="6">
        <v>0.5</v>
      </c>
      <c r="N135" s="3" t="s">
        <v>58</v>
      </c>
      <c r="O135" s="3" t="s">
        <v>99</v>
      </c>
      <c r="P135" s="3" t="s">
        <v>287</v>
      </c>
      <c r="Q135" s="3" t="s">
        <v>1660</v>
      </c>
      <c r="R135" s="3" t="s">
        <v>1074</v>
      </c>
      <c r="S135" s="3" t="s">
        <v>1006</v>
      </c>
      <c r="T135" s="3" t="s">
        <v>1007</v>
      </c>
      <c r="U135" s="11" t="s">
        <v>1661</v>
      </c>
      <c r="V135" s="11" t="s">
        <v>1031</v>
      </c>
      <c r="W135" s="11" t="s">
        <v>1032</v>
      </c>
      <c r="X135" s="13">
        <v>0.7</v>
      </c>
      <c r="Y135" s="12"/>
      <c r="Z135" s="11"/>
      <c r="AA135" s="11"/>
      <c r="AB135" s="11"/>
      <c r="AC135" s="11">
        <v>0</v>
      </c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 t="s">
        <v>1019</v>
      </c>
      <c r="AO135" s="11" t="s">
        <v>1662</v>
      </c>
      <c r="AP135" s="11" t="s">
        <v>1021</v>
      </c>
      <c r="AQ135" s="11" t="s">
        <v>1663</v>
      </c>
      <c r="AR135" s="11" t="s">
        <v>1048</v>
      </c>
      <c r="AS135" s="11" t="s">
        <v>1664</v>
      </c>
      <c r="AT135" s="11" t="s">
        <v>1050</v>
      </c>
      <c r="AU135" s="11" t="s">
        <v>1663</v>
      </c>
      <c r="AV135" s="11" t="s">
        <v>1664</v>
      </c>
      <c r="AW135" s="12">
        <v>1</v>
      </c>
      <c r="AX135" s="12">
        <v>1</v>
      </c>
      <c r="AY135" s="12">
        <v>1</v>
      </c>
      <c r="AZ135" s="12">
        <v>1</v>
      </c>
      <c r="BA135" s="12">
        <v>2</v>
      </c>
      <c r="BB135" s="12">
        <v>1</v>
      </c>
      <c r="BC135" s="12">
        <v>1</v>
      </c>
      <c r="BD135" s="11" t="s">
        <v>1026</v>
      </c>
      <c r="BE135" s="11" t="s">
        <v>1051</v>
      </c>
    </row>
    <row r="136" spans="1:57" s="8" customFormat="1" ht="58" x14ac:dyDescent="0.35">
      <c r="A136" s="7" t="s">
        <v>20</v>
      </c>
      <c r="B136" s="7" t="s">
        <v>21</v>
      </c>
      <c r="C136" s="3" t="s">
        <v>288</v>
      </c>
      <c r="D136" s="3" t="s">
        <v>57</v>
      </c>
      <c r="E136" s="3"/>
      <c r="F136" s="3" t="s">
        <v>53</v>
      </c>
      <c r="G136" s="3" t="s">
        <v>50</v>
      </c>
      <c r="H136" s="4">
        <v>703</v>
      </c>
      <c r="I136" s="4">
        <v>300</v>
      </c>
      <c r="J136" s="3" t="s">
        <v>26</v>
      </c>
      <c r="K136" s="4" t="b">
        <v>0</v>
      </c>
      <c r="L136" s="6">
        <v>0.33333333333333298</v>
      </c>
      <c r="M136" s="6">
        <v>0.33333333333333298</v>
      </c>
      <c r="N136" s="3" t="s">
        <v>58</v>
      </c>
      <c r="O136" s="3" t="s">
        <v>59</v>
      </c>
      <c r="P136" s="3" t="s">
        <v>289</v>
      </c>
      <c r="Q136" s="3" t="s">
        <v>1665</v>
      </c>
      <c r="R136" s="3" t="s">
        <v>1029</v>
      </c>
      <c r="S136" s="3" t="s">
        <v>1006</v>
      </c>
      <c r="T136" s="3" t="s">
        <v>1007</v>
      </c>
      <c r="U136" s="11" t="s">
        <v>1666</v>
      </c>
      <c r="V136" s="11" t="s">
        <v>1127</v>
      </c>
      <c r="W136" s="11" t="s">
        <v>1128</v>
      </c>
      <c r="X136" s="13">
        <v>0.79</v>
      </c>
      <c r="Y136" s="12"/>
      <c r="Z136" s="11"/>
      <c r="AA136" s="11"/>
      <c r="AB136" s="11"/>
      <c r="AC136" s="11">
        <v>0</v>
      </c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 t="s">
        <v>1019</v>
      </c>
      <c r="AO136" s="11" t="s">
        <v>1667</v>
      </c>
      <c r="AP136" s="11" t="s">
        <v>1021</v>
      </c>
      <c r="AQ136" s="11" t="s">
        <v>1668</v>
      </c>
      <c r="AR136" s="11" t="s">
        <v>1050</v>
      </c>
      <c r="AS136" s="11"/>
      <c r="AT136" s="11" t="s">
        <v>1034</v>
      </c>
      <c r="AU136" s="11" t="s">
        <v>1668</v>
      </c>
      <c r="AV136" s="11"/>
      <c r="AW136" s="12">
        <v>1</v>
      </c>
      <c r="AX136" s="12">
        <v>1</v>
      </c>
      <c r="AY136" s="12">
        <v>1</v>
      </c>
      <c r="AZ136" s="12">
        <v>1</v>
      </c>
      <c r="BA136" s="12">
        <v>1</v>
      </c>
      <c r="BB136" s="12"/>
      <c r="BC136" s="12"/>
      <c r="BD136" s="11" t="s">
        <v>1093</v>
      </c>
      <c r="BE136" s="11" t="s">
        <v>1037</v>
      </c>
    </row>
    <row r="137" spans="1:57" s="8" customFormat="1" ht="43.5" x14ac:dyDescent="0.35">
      <c r="A137" s="7" t="s">
        <v>20</v>
      </c>
      <c r="B137" s="7" t="s">
        <v>21</v>
      </c>
      <c r="C137" s="3" t="s">
        <v>290</v>
      </c>
      <c r="D137" s="3" t="s">
        <v>30</v>
      </c>
      <c r="E137" s="3" t="s">
        <v>30</v>
      </c>
      <c r="F137" s="3" t="s">
        <v>31</v>
      </c>
      <c r="G137" s="3" t="s">
        <v>25</v>
      </c>
      <c r="H137" s="4">
        <v>418</v>
      </c>
      <c r="I137" s="4">
        <v>250</v>
      </c>
      <c r="J137" s="3" t="s">
        <v>26</v>
      </c>
      <c r="K137" s="4" t="b">
        <v>1</v>
      </c>
      <c r="L137" s="6">
        <v>1</v>
      </c>
      <c r="M137" s="6">
        <v>1</v>
      </c>
      <c r="N137" s="3" t="s">
        <v>32</v>
      </c>
      <c r="O137" s="3"/>
      <c r="P137" s="3" t="s">
        <v>291</v>
      </c>
      <c r="Q137" s="3" t="s">
        <v>1669</v>
      </c>
      <c r="R137" s="3" t="s">
        <v>1074</v>
      </c>
      <c r="S137" s="3" t="s">
        <v>1006</v>
      </c>
      <c r="T137" s="3" t="s">
        <v>1007</v>
      </c>
      <c r="U137" s="11" t="s">
        <v>1670</v>
      </c>
      <c r="V137" s="11" t="s">
        <v>1127</v>
      </c>
      <c r="W137" s="11" t="s">
        <v>1128</v>
      </c>
      <c r="X137" s="13">
        <v>1</v>
      </c>
      <c r="Y137" s="12"/>
      <c r="Z137" s="11"/>
      <c r="AA137" s="11"/>
      <c r="AB137" s="11"/>
      <c r="AC137" s="11">
        <v>0</v>
      </c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 t="s">
        <v>1019</v>
      </c>
      <c r="AO137" s="11" t="s">
        <v>1671</v>
      </c>
      <c r="AP137" s="11" t="s">
        <v>1021</v>
      </c>
      <c r="AQ137" s="11" t="s">
        <v>1672</v>
      </c>
      <c r="AR137" s="11" t="s">
        <v>1050</v>
      </c>
      <c r="AS137" s="11" t="s">
        <v>1673</v>
      </c>
      <c r="AT137" s="11" t="s">
        <v>1050</v>
      </c>
      <c r="AU137" s="11" t="s">
        <v>1672</v>
      </c>
      <c r="AV137" s="11" t="s">
        <v>1673</v>
      </c>
      <c r="AW137" s="12">
        <v>1</v>
      </c>
      <c r="AX137" s="12">
        <v>1</v>
      </c>
      <c r="AY137" s="12">
        <v>1</v>
      </c>
      <c r="AZ137" s="12">
        <v>1</v>
      </c>
      <c r="BA137" s="12">
        <v>1</v>
      </c>
      <c r="BB137" s="12">
        <v>1</v>
      </c>
      <c r="BC137" s="12">
        <v>1</v>
      </c>
      <c r="BD137" s="11" t="s">
        <v>1026</v>
      </c>
      <c r="BE137" s="11" t="s">
        <v>1103</v>
      </c>
    </row>
    <row r="138" spans="1:57" s="8" customFormat="1" ht="72.5" x14ac:dyDescent="0.35">
      <c r="A138" s="7" t="s">
        <v>20</v>
      </c>
      <c r="B138" s="7" t="s">
        <v>21</v>
      </c>
      <c r="C138" s="3" t="s">
        <v>292</v>
      </c>
      <c r="D138" s="3" t="s">
        <v>41</v>
      </c>
      <c r="E138" s="3" t="s">
        <v>41</v>
      </c>
      <c r="F138" s="3" t="s">
        <v>36</v>
      </c>
      <c r="G138" s="3" t="s">
        <v>25</v>
      </c>
      <c r="H138" s="4">
        <v>1157</v>
      </c>
      <c r="I138" s="4">
        <v>150</v>
      </c>
      <c r="J138" s="3" t="s">
        <v>26</v>
      </c>
      <c r="K138" s="4" t="b">
        <v>1</v>
      </c>
      <c r="L138" s="6">
        <v>1</v>
      </c>
      <c r="M138" s="6">
        <v>1</v>
      </c>
      <c r="N138" s="3" t="s">
        <v>42</v>
      </c>
      <c r="O138" s="3"/>
      <c r="P138" s="3" t="s">
        <v>293</v>
      </c>
      <c r="Q138" s="3" t="s">
        <v>1674</v>
      </c>
      <c r="R138" s="3" t="s">
        <v>1675</v>
      </c>
      <c r="S138" s="3" t="s">
        <v>1006</v>
      </c>
      <c r="T138" s="3" t="s">
        <v>1367</v>
      </c>
      <c r="U138" s="11" t="s">
        <v>1676</v>
      </c>
      <c r="V138" s="11" t="s">
        <v>1043</v>
      </c>
      <c r="W138" s="11" t="s">
        <v>1044</v>
      </c>
      <c r="X138" s="13">
        <v>1</v>
      </c>
      <c r="Y138" s="12"/>
      <c r="Z138" s="11"/>
      <c r="AA138" s="11"/>
      <c r="AB138" s="11"/>
      <c r="AC138" s="11">
        <v>2</v>
      </c>
      <c r="AD138" s="11" t="s">
        <v>1148</v>
      </c>
      <c r="AE138" s="11" t="s">
        <v>1677</v>
      </c>
      <c r="AF138" s="11" t="s">
        <v>1014</v>
      </c>
      <c r="AG138" s="11" t="s">
        <v>1150</v>
      </c>
      <c r="AH138" s="11"/>
      <c r="AI138" s="11" t="s">
        <v>1016</v>
      </c>
      <c r="AJ138" s="11"/>
      <c r="AK138" s="11" t="s">
        <v>1151</v>
      </c>
      <c r="AL138" s="11" t="s">
        <v>1017</v>
      </c>
      <c r="AM138" s="11" t="s">
        <v>1152</v>
      </c>
      <c r="AN138" s="11" t="s">
        <v>1019</v>
      </c>
      <c r="AO138" s="11" t="s">
        <v>1480</v>
      </c>
      <c r="AP138" s="11" t="s">
        <v>1021</v>
      </c>
      <c r="AQ138" s="11" t="s">
        <v>1481</v>
      </c>
      <c r="AR138" s="11" t="s">
        <v>1023</v>
      </c>
      <c r="AS138" s="11"/>
      <c r="AT138" s="11" t="s">
        <v>1034</v>
      </c>
      <c r="AU138" s="11" t="s">
        <v>1481</v>
      </c>
      <c r="AV138" s="11"/>
      <c r="AW138" s="12">
        <v>3</v>
      </c>
      <c r="AX138" s="12">
        <v>3</v>
      </c>
      <c r="AY138" s="12">
        <v>3</v>
      </c>
      <c r="AZ138" s="12">
        <v>3</v>
      </c>
      <c r="BA138" s="12">
        <v>5</v>
      </c>
      <c r="BB138" s="12"/>
      <c r="BC138" s="12"/>
      <c r="BD138" s="11" t="s">
        <v>1093</v>
      </c>
      <c r="BE138" s="11" t="s">
        <v>1037</v>
      </c>
    </row>
    <row r="139" spans="1:57" s="8" customFormat="1" ht="58" x14ac:dyDescent="0.35">
      <c r="A139" s="7" t="s">
        <v>20</v>
      </c>
      <c r="B139" s="7" t="s">
        <v>21</v>
      </c>
      <c r="C139" s="3" t="s">
        <v>294</v>
      </c>
      <c r="D139" s="3" t="s">
        <v>83</v>
      </c>
      <c r="E139" s="3" t="s">
        <v>83</v>
      </c>
      <c r="F139" s="3" t="s">
        <v>84</v>
      </c>
      <c r="G139" s="3" t="s">
        <v>25</v>
      </c>
      <c r="H139" s="4">
        <v>1286</v>
      </c>
      <c r="I139" s="4">
        <v>500</v>
      </c>
      <c r="J139" s="3" t="s">
        <v>26</v>
      </c>
      <c r="K139" s="4" t="b">
        <v>1</v>
      </c>
      <c r="L139" s="6">
        <v>1</v>
      </c>
      <c r="M139" s="6">
        <v>1</v>
      </c>
      <c r="N139" s="3" t="s">
        <v>85</v>
      </c>
      <c r="O139" s="3"/>
      <c r="P139" s="3" t="s">
        <v>295</v>
      </c>
      <c r="Q139" s="3" t="s">
        <v>1678</v>
      </c>
      <c r="R139" s="3" t="s">
        <v>1139</v>
      </c>
      <c r="S139" s="3" t="s">
        <v>1679</v>
      </c>
      <c r="T139" s="3" t="s">
        <v>1680</v>
      </c>
      <c r="U139" s="11" t="s">
        <v>1681</v>
      </c>
      <c r="V139" s="11" t="s">
        <v>1009</v>
      </c>
      <c r="W139" s="11" t="s">
        <v>1010</v>
      </c>
      <c r="X139" s="13">
        <v>0.76</v>
      </c>
      <c r="Y139" s="12"/>
      <c r="Z139" s="11" t="s">
        <v>1682</v>
      </c>
      <c r="AA139" s="11"/>
      <c r="AB139" s="11"/>
      <c r="AC139" s="11">
        <v>0</v>
      </c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 t="s">
        <v>1019</v>
      </c>
      <c r="AO139" s="11" t="s">
        <v>1683</v>
      </c>
      <c r="AP139" s="11" t="s">
        <v>1021</v>
      </c>
      <c r="AQ139" s="11" t="s">
        <v>1684</v>
      </c>
      <c r="AR139" s="11" t="s">
        <v>1048</v>
      </c>
      <c r="AS139" s="11" t="s">
        <v>1685</v>
      </c>
      <c r="AT139" s="11" t="s">
        <v>1050</v>
      </c>
      <c r="AU139" s="11" t="s">
        <v>1684</v>
      </c>
      <c r="AV139" s="11" t="s">
        <v>1685</v>
      </c>
      <c r="AW139" s="12">
        <v>1</v>
      </c>
      <c r="AX139" s="12">
        <v>1</v>
      </c>
      <c r="AY139" s="12">
        <v>1</v>
      </c>
      <c r="AZ139" s="12">
        <v>1</v>
      </c>
      <c r="BA139" s="12">
        <v>5</v>
      </c>
      <c r="BB139" s="12">
        <v>1</v>
      </c>
      <c r="BC139" s="12">
        <v>1</v>
      </c>
      <c r="BD139" s="11" t="s">
        <v>1026</v>
      </c>
      <c r="BE139" s="11" t="s">
        <v>1051</v>
      </c>
    </row>
    <row r="140" spans="1:57" s="8" customFormat="1" ht="72.5" x14ac:dyDescent="0.35">
      <c r="A140" s="7" t="s">
        <v>20</v>
      </c>
      <c r="B140" s="7" t="s">
        <v>21</v>
      </c>
      <c r="C140" s="3" t="s">
        <v>296</v>
      </c>
      <c r="D140" s="3" t="s">
        <v>221</v>
      </c>
      <c r="E140" s="3"/>
      <c r="F140" s="3" t="s">
        <v>31</v>
      </c>
      <c r="G140" s="3" t="s">
        <v>50</v>
      </c>
      <c r="H140" s="4">
        <v>689</v>
      </c>
      <c r="I140" s="4">
        <v>500</v>
      </c>
      <c r="J140" s="3" t="s">
        <v>26</v>
      </c>
      <c r="K140" s="4" t="b">
        <v>0</v>
      </c>
      <c r="L140" s="6">
        <v>0.5</v>
      </c>
      <c r="M140" s="6">
        <v>0.33333333333333298</v>
      </c>
      <c r="N140" s="3" t="s">
        <v>243</v>
      </c>
      <c r="O140" s="3" t="s">
        <v>244</v>
      </c>
      <c r="P140" s="3" t="s">
        <v>297</v>
      </c>
      <c r="Q140" s="3" t="s">
        <v>1686</v>
      </c>
      <c r="R140" s="3" t="s">
        <v>1029</v>
      </c>
      <c r="S140" s="3" t="s">
        <v>1006</v>
      </c>
      <c r="T140" s="3" t="s">
        <v>1007</v>
      </c>
      <c r="U140" s="11" t="s">
        <v>1687</v>
      </c>
      <c r="V140" s="11" t="s">
        <v>1064</v>
      </c>
      <c r="W140" s="11" t="s">
        <v>1065</v>
      </c>
      <c r="X140" s="13">
        <v>1</v>
      </c>
      <c r="Y140" s="12"/>
      <c r="Z140" s="11"/>
      <c r="AA140" s="11"/>
      <c r="AB140" s="11"/>
      <c r="AC140" s="11">
        <v>0</v>
      </c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 t="s">
        <v>1019</v>
      </c>
      <c r="AO140" s="11" t="s">
        <v>1688</v>
      </c>
      <c r="AP140" s="11" t="s">
        <v>1021</v>
      </c>
      <c r="AQ140" s="11" t="s">
        <v>1689</v>
      </c>
      <c r="AR140" s="11" t="s">
        <v>1048</v>
      </c>
      <c r="AS140" s="11" t="s">
        <v>1690</v>
      </c>
      <c r="AT140" s="11" t="s">
        <v>1025</v>
      </c>
      <c r="AU140" s="11" t="s">
        <v>1691</v>
      </c>
      <c r="AV140" s="11" t="s">
        <v>1690</v>
      </c>
      <c r="AW140" s="12">
        <v>2</v>
      </c>
      <c r="AX140" s="12">
        <v>3</v>
      </c>
      <c r="AY140" s="12">
        <v>2</v>
      </c>
      <c r="AZ140" s="12">
        <v>1</v>
      </c>
      <c r="BA140" s="12">
        <v>3</v>
      </c>
      <c r="BB140" s="12">
        <v>2</v>
      </c>
      <c r="BC140" s="12">
        <v>1</v>
      </c>
      <c r="BD140" s="11" t="s">
        <v>1026</v>
      </c>
      <c r="BE140" s="11" t="s">
        <v>1027</v>
      </c>
    </row>
    <row r="141" spans="1:57" s="8" customFormat="1" ht="246.5" x14ac:dyDescent="0.35">
      <c r="A141" s="7" t="s">
        <v>20</v>
      </c>
      <c r="B141" s="7" t="s">
        <v>21</v>
      </c>
      <c r="C141" s="3" t="s">
        <v>298</v>
      </c>
      <c r="D141" s="3" t="s">
        <v>221</v>
      </c>
      <c r="E141" s="3" t="s">
        <v>221</v>
      </c>
      <c r="F141" s="3" t="s">
        <v>31</v>
      </c>
      <c r="G141" s="3" t="s">
        <v>25</v>
      </c>
      <c r="H141" s="4">
        <v>2324</v>
      </c>
      <c r="I141" s="4">
        <v>500</v>
      </c>
      <c r="J141" s="3" t="s">
        <v>26</v>
      </c>
      <c r="K141" s="4" t="b">
        <v>1</v>
      </c>
      <c r="L141" s="6">
        <v>1</v>
      </c>
      <c r="M141" s="6">
        <v>1</v>
      </c>
      <c r="N141" s="3" t="s">
        <v>222</v>
      </c>
      <c r="O141" s="3"/>
      <c r="P141" s="3" t="s">
        <v>299</v>
      </c>
      <c r="Q141" s="3" t="s">
        <v>1692</v>
      </c>
      <c r="R141" s="3" t="s">
        <v>1029</v>
      </c>
      <c r="S141" s="3" t="s">
        <v>1006</v>
      </c>
      <c r="T141" s="3" t="s">
        <v>1007</v>
      </c>
      <c r="U141" s="11" t="s">
        <v>1693</v>
      </c>
      <c r="V141" s="11" t="s">
        <v>1009</v>
      </c>
      <c r="W141" s="11" t="s">
        <v>1010</v>
      </c>
      <c r="X141" s="13">
        <v>0.89</v>
      </c>
      <c r="Y141" s="12"/>
      <c r="Z141" s="11" t="s">
        <v>1694</v>
      </c>
      <c r="AA141" s="11"/>
      <c r="AB141" s="11"/>
      <c r="AC141" s="11">
        <v>0</v>
      </c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 t="s">
        <v>1019</v>
      </c>
      <c r="AO141" s="11" t="s">
        <v>1490</v>
      </c>
      <c r="AP141" s="11" t="s">
        <v>1021</v>
      </c>
      <c r="AQ141" s="11" t="s">
        <v>1491</v>
      </c>
      <c r="AR141" s="11" t="s">
        <v>1023</v>
      </c>
      <c r="AS141" s="11" t="s">
        <v>1492</v>
      </c>
      <c r="AT141" s="11" t="s">
        <v>1025</v>
      </c>
      <c r="AU141" s="11" t="s">
        <v>1491</v>
      </c>
      <c r="AV141" s="11" t="s">
        <v>1492</v>
      </c>
      <c r="AW141" s="12">
        <v>2</v>
      </c>
      <c r="AX141" s="12">
        <v>2</v>
      </c>
      <c r="AY141" s="12">
        <v>2</v>
      </c>
      <c r="AZ141" s="12">
        <v>2</v>
      </c>
      <c r="BA141" s="12">
        <v>3</v>
      </c>
      <c r="BB141" s="12">
        <v>2</v>
      </c>
      <c r="BC141" s="12">
        <v>1</v>
      </c>
      <c r="BD141" s="11" t="s">
        <v>1026</v>
      </c>
      <c r="BE141" s="11" t="s">
        <v>1027</v>
      </c>
    </row>
    <row r="142" spans="1:57" s="8" customFormat="1" ht="72.5" x14ac:dyDescent="0.35">
      <c r="A142" s="7" t="s">
        <v>20</v>
      </c>
      <c r="B142" s="7" t="s">
        <v>21</v>
      </c>
      <c r="C142" s="3" t="s">
        <v>300</v>
      </c>
      <c r="D142" s="3" t="s">
        <v>52</v>
      </c>
      <c r="E142" s="3"/>
      <c r="F142" s="3" t="s">
        <v>53</v>
      </c>
      <c r="G142" s="3" t="s">
        <v>50</v>
      </c>
      <c r="H142" s="4">
        <v>789</v>
      </c>
      <c r="I142" s="4">
        <v>500</v>
      </c>
      <c r="J142" s="3" t="s">
        <v>26</v>
      </c>
      <c r="K142" s="4" t="b">
        <v>0</v>
      </c>
      <c r="L142" s="6">
        <v>0.33333333333333298</v>
      </c>
      <c r="M142" s="6">
        <v>0.33333333333333298</v>
      </c>
      <c r="N142" s="3" t="s">
        <v>54</v>
      </c>
      <c r="O142" s="3" t="s">
        <v>55</v>
      </c>
      <c r="P142" s="3" t="s">
        <v>301</v>
      </c>
      <c r="Q142" s="3" t="s">
        <v>1695</v>
      </c>
      <c r="R142" s="3" t="s">
        <v>1139</v>
      </c>
      <c r="S142" s="3" t="s">
        <v>1696</v>
      </c>
      <c r="T142" s="3" t="s">
        <v>1697</v>
      </c>
      <c r="U142" s="11" t="s">
        <v>1698</v>
      </c>
      <c r="V142" s="11" t="s">
        <v>1497</v>
      </c>
      <c r="W142" s="11" t="s">
        <v>1498</v>
      </c>
      <c r="X142" s="13">
        <v>0.79</v>
      </c>
      <c r="Y142" s="12"/>
      <c r="Z142" s="11" t="s">
        <v>1699</v>
      </c>
      <c r="AA142" s="11"/>
      <c r="AB142" s="11"/>
      <c r="AC142" s="11">
        <v>5</v>
      </c>
      <c r="AD142" s="11" t="s">
        <v>1076</v>
      </c>
      <c r="AE142" s="11" t="s">
        <v>1700</v>
      </c>
      <c r="AF142" s="11" t="s">
        <v>1014</v>
      </c>
      <c r="AG142" s="11" t="s">
        <v>1015</v>
      </c>
      <c r="AH142" s="11" t="s">
        <v>1078</v>
      </c>
      <c r="AI142" s="11" t="s">
        <v>1016</v>
      </c>
      <c r="AJ142" s="11"/>
      <c r="AK142" s="11" t="s">
        <v>1079</v>
      </c>
      <c r="AL142" s="11" t="s">
        <v>1017</v>
      </c>
      <c r="AM142" s="11" t="s">
        <v>1080</v>
      </c>
      <c r="AN142" s="11" t="s">
        <v>1019</v>
      </c>
      <c r="AO142" s="11" t="s">
        <v>1701</v>
      </c>
      <c r="AP142" s="11" t="s">
        <v>1021</v>
      </c>
      <c r="AQ142" s="11"/>
      <c r="AR142" s="11" t="s">
        <v>1034</v>
      </c>
      <c r="AS142" s="11" t="s">
        <v>1702</v>
      </c>
      <c r="AT142" s="11" t="s">
        <v>1050</v>
      </c>
      <c r="AU142" s="11"/>
      <c r="AV142" s="11" t="s">
        <v>1702</v>
      </c>
      <c r="AW142" s="12">
        <v>1</v>
      </c>
      <c r="AX142" s="12">
        <v>1</v>
      </c>
      <c r="AY142" s="12">
        <v>1</v>
      </c>
      <c r="AZ142" s="12"/>
      <c r="BA142" s="12"/>
      <c r="BB142" s="12">
        <v>1</v>
      </c>
      <c r="BC142" s="12">
        <v>1</v>
      </c>
      <c r="BD142" s="11" t="s">
        <v>1036</v>
      </c>
      <c r="BE142" s="11" t="s">
        <v>1037</v>
      </c>
    </row>
    <row r="143" spans="1:57" s="8" customFormat="1" ht="58" x14ac:dyDescent="0.35">
      <c r="A143" s="7" t="s">
        <v>20</v>
      </c>
      <c r="B143" s="7" t="s">
        <v>21</v>
      </c>
      <c r="C143" s="3" t="s">
        <v>300</v>
      </c>
      <c r="D143" s="3" t="s">
        <v>57</v>
      </c>
      <c r="E143" s="3"/>
      <c r="F143" s="3" t="s">
        <v>53</v>
      </c>
      <c r="G143" s="3" t="s">
        <v>50</v>
      </c>
      <c r="H143" s="4">
        <v>789</v>
      </c>
      <c r="I143" s="4">
        <v>300</v>
      </c>
      <c r="J143" s="3" t="s">
        <v>26</v>
      </c>
      <c r="K143" s="4" t="b">
        <v>0</v>
      </c>
      <c r="L143" s="6">
        <v>0.33333333333333298</v>
      </c>
      <c r="M143" s="6">
        <v>0.33333333333333298</v>
      </c>
      <c r="N143" s="3" t="s">
        <v>58</v>
      </c>
      <c r="O143" s="3" t="s">
        <v>59</v>
      </c>
      <c r="P143" s="3" t="s">
        <v>301</v>
      </c>
      <c r="Q143" s="3" t="s">
        <v>1695</v>
      </c>
      <c r="R143" s="3" t="s">
        <v>1139</v>
      </c>
      <c r="S143" s="3" t="s">
        <v>1696</v>
      </c>
      <c r="T143" s="3" t="s">
        <v>1697</v>
      </c>
      <c r="U143" s="11" t="s">
        <v>1698</v>
      </c>
      <c r="V143" s="11" t="s">
        <v>1497</v>
      </c>
      <c r="W143" s="11" t="s">
        <v>1498</v>
      </c>
      <c r="X143" s="13">
        <v>0.79</v>
      </c>
      <c r="Y143" s="12"/>
      <c r="Z143" s="11" t="s">
        <v>1699</v>
      </c>
      <c r="AA143" s="11"/>
      <c r="AB143" s="11"/>
      <c r="AC143" s="11">
        <v>0</v>
      </c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 t="s">
        <v>1019</v>
      </c>
      <c r="AO143" s="11" t="s">
        <v>1701</v>
      </c>
      <c r="AP143" s="11" t="s">
        <v>1021</v>
      </c>
      <c r="AQ143" s="11"/>
      <c r="AR143" s="11" t="s">
        <v>1034</v>
      </c>
      <c r="AS143" s="11" t="s">
        <v>1702</v>
      </c>
      <c r="AT143" s="11" t="s">
        <v>1050</v>
      </c>
      <c r="AU143" s="11"/>
      <c r="AV143" s="11" t="s">
        <v>1702</v>
      </c>
      <c r="AW143" s="12">
        <v>1</v>
      </c>
      <c r="AX143" s="12">
        <v>1</v>
      </c>
      <c r="AY143" s="12">
        <v>1</v>
      </c>
      <c r="AZ143" s="12"/>
      <c r="BA143" s="12"/>
      <c r="BB143" s="12">
        <v>1</v>
      </c>
      <c r="BC143" s="12">
        <v>1</v>
      </c>
      <c r="BD143" s="11" t="s">
        <v>1036</v>
      </c>
      <c r="BE143" s="11" t="s">
        <v>1037</v>
      </c>
    </row>
    <row r="144" spans="1:57" s="8" customFormat="1" ht="58" x14ac:dyDescent="0.35">
      <c r="A144" s="7" t="s">
        <v>20</v>
      </c>
      <c r="B144" s="7" t="s">
        <v>21</v>
      </c>
      <c r="C144" s="3" t="s">
        <v>300</v>
      </c>
      <c r="D144" s="3" t="s">
        <v>98</v>
      </c>
      <c r="E144" s="3"/>
      <c r="F144" s="3" t="s">
        <v>53</v>
      </c>
      <c r="G144" s="3" t="s">
        <v>50</v>
      </c>
      <c r="H144" s="4">
        <v>789</v>
      </c>
      <c r="I144" s="4">
        <v>300</v>
      </c>
      <c r="J144" s="3" t="s">
        <v>26</v>
      </c>
      <c r="K144" s="4" t="b">
        <v>0</v>
      </c>
      <c r="L144" s="6">
        <v>0.5</v>
      </c>
      <c r="M144" s="6">
        <v>0.5</v>
      </c>
      <c r="N144" s="3" t="s">
        <v>58</v>
      </c>
      <c r="O144" s="3" t="s">
        <v>99</v>
      </c>
      <c r="P144" s="3" t="s">
        <v>301</v>
      </c>
      <c r="Q144" s="3" t="s">
        <v>1695</v>
      </c>
      <c r="R144" s="3" t="s">
        <v>1139</v>
      </c>
      <c r="S144" s="3" t="s">
        <v>1696</v>
      </c>
      <c r="T144" s="3" t="s">
        <v>1697</v>
      </c>
      <c r="U144" s="11" t="s">
        <v>1698</v>
      </c>
      <c r="V144" s="11" t="s">
        <v>1497</v>
      </c>
      <c r="W144" s="11" t="s">
        <v>1498</v>
      </c>
      <c r="X144" s="13">
        <v>0.79</v>
      </c>
      <c r="Y144" s="12"/>
      <c r="Z144" s="11" t="s">
        <v>1699</v>
      </c>
      <c r="AA144" s="11"/>
      <c r="AB144" s="11"/>
      <c r="AC144" s="11">
        <v>0</v>
      </c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 t="s">
        <v>1019</v>
      </c>
      <c r="AO144" s="11" t="s">
        <v>1701</v>
      </c>
      <c r="AP144" s="11" t="s">
        <v>1021</v>
      </c>
      <c r="AQ144" s="11"/>
      <c r="AR144" s="11" t="s">
        <v>1034</v>
      </c>
      <c r="AS144" s="11" t="s">
        <v>1702</v>
      </c>
      <c r="AT144" s="11" t="s">
        <v>1050</v>
      </c>
      <c r="AU144" s="11"/>
      <c r="AV144" s="11" t="s">
        <v>1702</v>
      </c>
      <c r="AW144" s="12">
        <v>1</v>
      </c>
      <c r="AX144" s="12">
        <v>1</v>
      </c>
      <c r="AY144" s="12">
        <v>1</v>
      </c>
      <c r="AZ144" s="12"/>
      <c r="BA144" s="12"/>
      <c r="BB144" s="12">
        <v>1</v>
      </c>
      <c r="BC144" s="12">
        <v>1</v>
      </c>
      <c r="BD144" s="11" t="s">
        <v>1036</v>
      </c>
      <c r="BE144" s="11" t="s">
        <v>1037</v>
      </c>
    </row>
    <row r="145" spans="1:57" s="8" customFormat="1" ht="72.5" x14ac:dyDescent="0.35">
      <c r="A145" s="7" t="s">
        <v>20</v>
      </c>
      <c r="B145" s="7" t="s">
        <v>21</v>
      </c>
      <c r="C145" s="3" t="s">
        <v>302</v>
      </c>
      <c r="D145" s="3" t="s">
        <v>98</v>
      </c>
      <c r="E145" s="3"/>
      <c r="F145" s="3" t="s">
        <v>53</v>
      </c>
      <c r="G145" s="3" t="s">
        <v>50</v>
      </c>
      <c r="H145" s="4">
        <v>397</v>
      </c>
      <c r="I145" s="4">
        <v>300</v>
      </c>
      <c r="J145" s="3" t="s">
        <v>26</v>
      </c>
      <c r="K145" s="4" t="b">
        <v>0</v>
      </c>
      <c r="L145" s="6">
        <v>0.5</v>
      </c>
      <c r="M145" s="6">
        <v>0.66666666666666596</v>
      </c>
      <c r="N145" s="3" t="s">
        <v>303</v>
      </c>
      <c r="O145" s="3" t="s">
        <v>304</v>
      </c>
      <c r="P145" s="3" t="s">
        <v>305</v>
      </c>
      <c r="Q145" s="3" t="s">
        <v>1703</v>
      </c>
      <c r="R145" s="3" t="s">
        <v>1029</v>
      </c>
      <c r="S145" s="3" t="s">
        <v>1006</v>
      </c>
      <c r="T145" s="3" t="s">
        <v>1007</v>
      </c>
      <c r="U145" s="11" t="s">
        <v>1704</v>
      </c>
      <c r="V145" s="11" t="s">
        <v>1009</v>
      </c>
      <c r="W145" s="11" t="s">
        <v>1010</v>
      </c>
      <c r="X145" s="13">
        <v>0.78</v>
      </c>
      <c r="Y145" s="12"/>
      <c r="Z145" s="11" t="s">
        <v>1705</v>
      </c>
      <c r="AA145" s="11"/>
      <c r="AB145" s="11"/>
      <c r="AC145" s="11">
        <v>0</v>
      </c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 t="s">
        <v>1019</v>
      </c>
      <c r="AO145" s="11" t="s">
        <v>1706</v>
      </c>
      <c r="AP145" s="11" t="s">
        <v>1021</v>
      </c>
      <c r="AQ145" s="11" t="s">
        <v>1707</v>
      </c>
      <c r="AR145" s="11" t="s">
        <v>1048</v>
      </c>
      <c r="AS145" s="11" t="s">
        <v>1708</v>
      </c>
      <c r="AT145" s="11" t="s">
        <v>1050</v>
      </c>
      <c r="AU145" s="11" t="s">
        <v>1707</v>
      </c>
      <c r="AV145" s="11" t="s">
        <v>1708</v>
      </c>
      <c r="AW145" s="12">
        <v>1</v>
      </c>
      <c r="AX145" s="12">
        <v>1</v>
      </c>
      <c r="AY145" s="12">
        <v>1</v>
      </c>
      <c r="AZ145" s="12">
        <v>1</v>
      </c>
      <c r="BA145" s="12">
        <v>5</v>
      </c>
      <c r="BB145" s="12">
        <v>1</v>
      </c>
      <c r="BC145" s="12">
        <v>1</v>
      </c>
      <c r="BD145" s="11" t="s">
        <v>1026</v>
      </c>
      <c r="BE145" s="11" t="s">
        <v>1051</v>
      </c>
    </row>
    <row r="146" spans="1:57" s="8" customFormat="1" ht="58" x14ac:dyDescent="0.35">
      <c r="A146" s="7" t="s">
        <v>20</v>
      </c>
      <c r="B146" s="7" t="s">
        <v>21</v>
      </c>
      <c r="C146" s="3" t="s">
        <v>306</v>
      </c>
      <c r="D146" s="3" t="s">
        <v>30</v>
      </c>
      <c r="E146" s="3" t="s">
        <v>30</v>
      </c>
      <c r="F146" s="3" t="s">
        <v>31</v>
      </c>
      <c r="G146" s="3" t="s">
        <v>25</v>
      </c>
      <c r="H146" s="4">
        <v>409</v>
      </c>
      <c r="I146" s="4">
        <v>250</v>
      </c>
      <c r="J146" s="3" t="s">
        <v>26</v>
      </c>
      <c r="K146" s="4" t="b">
        <v>1</v>
      </c>
      <c r="L146" s="6">
        <v>1</v>
      </c>
      <c r="M146" s="6">
        <v>1</v>
      </c>
      <c r="N146" s="3" t="s">
        <v>32</v>
      </c>
      <c r="O146" s="3"/>
      <c r="P146" s="3" t="s">
        <v>307</v>
      </c>
      <c r="Q146" s="3" t="s">
        <v>1709</v>
      </c>
      <c r="R146" s="3" t="s">
        <v>1074</v>
      </c>
      <c r="S146" s="3" t="s">
        <v>1006</v>
      </c>
      <c r="T146" s="3" t="s">
        <v>1007</v>
      </c>
      <c r="U146" s="11" t="s">
        <v>1710</v>
      </c>
      <c r="V146" s="11" t="s">
        <v>1031</v>
      </c>
      <c r="W146" s="11" t="s">
        <v>1032</v>
      </c>
      <c r="X146" s="13">
        <v>0.7</v>
      </c>
      <c r="Y146" s="12"/>
      <c r="Z146" s="11"/>
      <c r="AA146" s="11"/>
      <c r="AB146" s="11"/>
      <c r="AC146" s="11">
        <v>0</v>
      </c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 t="s">
        <v>1019</v>
      </c>
      <c r="AO146" s="11" t="s">
        <v>1711</v>
      </c>
      <c r="AP146" s="11" t="s">
        <v>1021</v>
      </c>
      <c r="AQ146" s="11" t="s">
        <v>1712</v>
      </c>
      <c r="AR146" s="11" t="s">
        <v>1048</v>
      </c>
      <c r="AS146" s="11" t="s">
        <v>1713</v>
      </c>
      <c r="AT146" s="11" t="s">
        <v>1050</v>
      </c>
      <c r="AU146" s="11" t="s">
        <v>1712</v>
      </c>
      <c r="AV146" s="11" t="s">
        <v>1713</v>
      </c>
      <c r="AW146" s="12">
        <v>1</v>
      </c>
      <c r="AX146" s="12">
        <v>1</v>
      </c>
      <c r="AY146" s="12">
        <v>1</v>
      </c>
      <c r="AZ146" s="12">
        <v>1</v>
      </c>
      <c r="BA146" s="12">
        <v>2</v>
      </c>
      <c r="BB146" s="12">
        <v>1</v>
      </c>
      <c r="BC146" s="12">
        <v>1</v>
      </c>
      <c r="BD146" s="11" t="s">
        <v>1026</v>
      </c>
      <c r="BE146" s="11" t="s">
        <v>1051</v>
      </c>
    </row>
    <row r="147" spans="1:57" s="8" customFormat="1" ht="58" x14ac:dyDescent="0.35">
      <c r="A147" s="7" t="s">
        <v>20</v>
      </c>
      <c r="B147" s="7" t="s">
        <v>21</v>
      </c>
      <c r="C147" s="3" t="s">
        <v>308</v>
      </c>
      <c r="D147" s="3" t="s">
        <v>57</v>
      </c>
      <c r="E147" s="3"/>
      <c r="F147" s="3" t="s">
        <v>53</v>
      </c>
      <c r="G147" s="3" t="s">
        <v>50</v>
      </c>
      <c r="H147" s="4">
        <v>394</v>
      </c>
      <c r="I147" s="4">
        <v>300</v>
      </c>
      <c r="J147" s="3" t="s">
        <v>26</v>
      </c>
      <c r="K147" s="4" t="b">
        <v>0</v>
      </c>
      <c r="L147" s="6">
        <v>0.33333333333333298</v>
      </c>
      <c r="M147" s="6">
        <v>0.33333333333333298</v>
      </c>
      <c r="N147" s="3" t="s">
        <v>58</v>
      </c>
      <c r="O147" s="3" t="s">
        <v>59</v>
      </c>
      <c r="P147" s="3" t="s">
        <v>309</v>
      </c>
      <c r="Q147" s="3" t="s">
        <v>1714</v>
      </c>
      <c r="R147" s="3" t="s">
        <v>1074</v>
      </c>
      <c r="S147" s="3" t="s">
        <v>1006</v>
      </c>
      <c r="T147" s="3" t="s">
        <v>1007</v>
      </c>
      <c r="U147" s="11" t="s">
        <v>1715</v>
      </c>
      <c r="V147" s="11" t="s">
        <v>1031</v>
      </c>
      <c r="W147" s="11" t="s">
        <v>1032</v>
      </c>
      <c r="X147" s="13">
        <v>0.7</v>
      </c>
      <c r="Y147" s="12"/>
      <c r="Z147" s="11"/>
      <c r="AA147" s="11"/>
      <c r="AB147" s="11"/>
      <c r="AC147" s="11">
        <v>0</v>
      </c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 t="s">
        <v>1019</v>
      </c>
      <c r="AO147" s="11" t="s">
        <v>1716</v>
      </c>
      <c r="AP147" s="11" t="s">
        <v>1021</v>
      </c>
      <c r="AQ147" s="11" t="s">
        <v>1717</v>
      </c>
      <c r="AR147" s="11" t="s">
        <v>1050</v>
      </c>
      <c r="AS147" s="11" t="s">
        <v>1718</v>
      </c>
      <c r="AT147" s="11" t="s">
        <v>1048</v>
      </c>
      <c r="AU147" s="11" t="s">
        <v>1717</v>
      </c>
      <c r="AV147" s="11" t="s">
        <v>1718</v>
      </c>
      <c r="AW147" s="12">
        <v>1</v>
      </c>
      <c r="AX147" s="12">
        <v>1</v>
      </c>
      <c r="AY147" s="12">
        <v>1</v>
      </c>
      <c r="AZ147" s="12">
        <v>1</v>
      </c>
      <c r="BA147" s="12">
        <v>1</v>
      </c>
      <c r="BB147" s="12">
        <v>1</v>
      </c>
      <c r="BC147" s="12">
        <v>2</v>
      </c>
      <c r="BD147" s="11" t="s">
        <v>1026</v>
      </c>
      <c r="BE147" s="11" t="s">
        <v>1051</v>
      </c>
    </row>
    <row r="148" spans="1:57" s="8" customFormat="1" ht="145" x14ac:dyDescent="0.35">
      <c r="A148" s="7" t="s">
        <v>20</v>
      </c>
      <c r="B148" s="7" t="s">
        <v>21</v>
      </c>
      <c r="C148" s="3" t="s">
        <v>310</v>
      </c>
      <c r="D148" s="3" t="s">
        <v>231</v>
      </c>
      <c r="E148" s="3"/>
      <c r="F148" s="3" t="s">
        <v>31</v>
      </c>
      <c r="G148" s="3" t="s">
        <v>50</v>
      </c>
      <c r="H148" s="4">
        <v>2661</v>
      </c>
      <c r="I148" s="4">
        <v>400</v>
      </c>
      <c r="J148" s="3" t="s">
        <v>26</v>
      </c>
      <c r="K148" s="4" t="b">
        <v>1</v>
      </c>
      <c r="L148" s="6">
        <v>1</v>
      </c>
      <c r="M148" s="6">
        <v>1</v>
      </c>
      <c r="N148" s="3" t="s">
        <v>232</v>
      </c>
      <c r="O148" s="3"/>
      <c r="P148" s="3" t="s">
        <v>311</v>
      </c>
      <c r="Q148" s="3" t="s">
        <v>1719</v>
      </c>
      <c r="R148" s="3" t="s">
        <v>1029</v>
      </c>
      <c r="S148" s="3" t="s">
        <v>1006</v>
      </c>
      <c r="T148" s="3" t="s">
        <v>1007</v>
      </c>
      <c r="U148" s="11" t="s">
        <v>1720</v>
      </c>
      <c r="V148" s="11" t="s">
        <v>1031</v>
      </c>
      <c r="W148" s="11" t="s">
        <v>1032</v>
      </c>
      <c r="X148" s="13">
        <v>0.7</v>
      </c>
      <c r="Y148" s="12"/>
      <c r="Z148" s="11"/>
      <c r="AA148" s="11"/>
      <c r="AB148" s="11"/>
      <c r="AC148" s="11">
        <v>0</v>
      </c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 t="s">
        <v>1019</v>
      </c>
      <c r="AO148" s="11" t="s">
        <v>1721</v>
      </c>
      <c r="AP148" s="11" t="s">
        <v>1021</v>
      </c>
      <c r="AQ148" s="11" t="s">
        <v>1722</v>
      </c>
      <c r="AR148" s="11" t="s">
        <v>1025</v>
      </c>
      <c r="AS148" s="11" t="s">
        <v>1723</v>
      </c>
      <c r="AT148" s="11" t="s">
        <v>1025</v>
      </c>
      <c r="AU148" s="11" t="s">
        <v>1722</v>
      </c>
      <c r="AV148" s="11" t="s">
        <v>1723</v>
      </c>
      <c r="AW148" s="12">
        <v>136</v>
      </c>
      <c r="AX148" s="12">
        <v>6</v>
      </c>
      <c r="AY148" s="12">
        <v>6</v>
      </c>
      <c r="AZ148" s="12">
        <v>136</v>
      </c>
      <c r="BA148" s="12">
        <v>1</v>
      </c>
      <c r="BB148" s="12">
        <v>136</v>
      </c>
      <c r="BC148" s="12">
        <v>1</v>
      </c>
      <c r="BD148" s="11" t="s">
        <v>1026</v>
      </c>
      <c r="BE148" s="11" t="s">
        <v>1027</v>
      </c>
    </row>
    <row r="149" spans="1:57" s="8" customFormat="1" ht="58" x14ac:dyDescent="0.35">
      <c r="A149" s="7" t="s">
        <v>20</v>
      </c>
      <c r="B149" s="7" t="s">
        <v>21</v>
      </c>
      <c r="C149" s="3" t="s">
        <v>312</v>
      </c>
      <c r="D149" s="3" t="s">
        <v>30</v>
      </c>
      <c r="E149" s="3" t="s">
        <v>30</v>
      </c>
      <c r="F149" s="3" t="s">
        <v>31</v>
      </c>
      <c r="G149" s="3" t="s">
        <v>25</v>
      </c>
      <c r="H149" s="4">
        <v>380</v>
      </c>
      <c r="I149" s="4">
        <v>250</v>
      </c>
      <c r="J149" s="3" t="s">
        <v>26</v>
      </c>
      <c r="K149" s="4" t="b">
        <v>1</v>
      </c>
      <c r="L149" s="6">
        <v>1</v>
      </c>
      <c r="M149" s="6">
        <v>1</v>
      </c>
      <c r="N149" s="3" t="s">
        <v>32</v>
      </c>
      <c r="O149" s="3"/>
      <c r="P149" s="3" t="s">
        <v>313</v>
      </c>
      <c r="Q149" s="3" t="s">
        <v>1724</v>
      </c>
      <c r="R149" s="3" t="s">
        <v>1029</v>
      </c>
      <c r="S149" s="3" t="s">
        <v>1006</v>
      </c>
      <c r="T149" s="3" t="s">
        <v>1007</v>
      </c>
      <c r="U149" s="11" t="s">
        <v>1725</v>
      </c>
      <c r="V149" s="11" t="s">
        <v>1031</v>
      </c>
      <c r="W149" s="11" t="s">
        <v>1032</v>
      </c>
      <c r="X149" s="13">
        <v>1</v>
      </c>
      <c r="Y149" s="12"/>
      <c r="Z149" s="11"/>
      <c r="AA149" s="11"/>
      <c r="AB149" s="11"/>
      <c r="AC149" s="11">
        <v>0</v>
      </c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 t="s">
        <v>1019</v>
      </c>
      <c r="AO149" s="11" t="s">
        <v>1726</v>
      </c>
      <c r="AP149" s="11" t="s">
        <v>1021</v>
      </c>
      <c r="AQ149" s="11" t="s">
        <v>1727</v>
      </c>
      <c r="AR149" s="11" t="s">
        <v>1048</v>
      </c>
      <c r="AS149" s="11" t="s">
        <v>1728</v>
      </c>
      <c r="AT149" s="11" t="s">
        <v>1050</v>
      </c>
      <c r="AU149" s="11" t="s">
        <v>1727</v>
      </c>
      <c r="AV149" s="11" t="s">
        <v>1728</v>
      </c>
      <c r="AW149" s="12">
        <v>1</v>
      </c>
      <c r="AX149" s="12">
        <v>1</v>
      </c>
      <c r="AY149" s="12">
        <v>1</v>
      </c>
      <c r="AZ149" s="12">
        <v>1</v>
      </c>
      <c r="BA149" s="12">
        <v>2</v>
      </c>
      <c r="BB149" s="12">
        <v>1</v>
      </c>
      <c r="BC149" s="12">
        <v>1</v>
      </c>
      <c r="BD149" s="11" t="s">
        <v>1026</v>
      </c>
      <c r="BE149" s="11" t="s">
        <v>1051</v>
      </c>
    </row>
    <row r="150" spans="1:57" s="8" customFormat="1" ht="72.5" x14ac:dyDescent="0.35">
      <c r="A150" s="7" t="s">
        <v>20</v>
      </c>
      <c r="B150" s="7" t="s">
        <v>21</v>
      </c>
      <c r="C150" s="3" t="s">
        <v>314</v>
      </c>
      <c r="D150" s="3" t="s">
        <v>30</v>
      </c>
      <c r="E150" s="3" t="s">
        <v>30</v>
      </c>
      <c r="F150" s="3" t="s">
        <v>31</v>
      </c>
      <c r="G150" s="3" t="s">
        <v>25</v>
      </c>
      <c r="H150" s="4">
        <v>372</v>
      </c>
      <c r="I150" s="4">
        <v>250</v>
      </c>
      <c r="J150" s="3" t="s">
        <v>26</v>
      </c>
      <c r="K150" s="4" t="b">
        <v>1</v>
      </c>
      <c r="L150" s="6">
        <v>1</v>
      </c>
      <c r="M150" s="6">
        <v>1</v>
      </c>
      <c r="N150" s="3" t="s">
        <v>32</v>
      </c>
      <c r="O150" s="3"/>
      <c r="P150" s="3" t="s">
        <v>315</v>
      </c>
      <c r="Q150" s="3" t="s">
        <v>1729</v>
      </c>
      <c r="R150" s="3" t="s">
        <v>1074</v>
      </c>
      <c r="S150" s="3" t="s">
        <v>1006</v>
      </c>
      <c r="T150" s="3" t="s">
        <v>1007</v>
      </c>
      <c r="U150" s="11" t="s">
        <v>1730</v>
      </c>
      <c r="V150" s="11" t="s">
        <v>1031</v>
      </c>
      <c r="W150" s="11" t="s">
        <v>1032</v>
      </c>
      <c r="X150" s="13">
        <v>0.62</v>
      </c>
      <c r="Y150" s="12"/>
      <c r="Z150" s="11"/>
      <c r="AA150" s="11"/>
      <c r="AB150" s="11"/>
      <c r="AC150" s="11">
        <v>0</v>
      </c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 t="s">
        <v>1019</v>
      </c>
      <c r="AO150" s="11" t="s">
        <v>1731</v>
      </c>
      <c r="AP150" s="11" t="s">
        <v>1114</v>
      </c>
      <c r="AQ150" s="11"/>
      <c r="AR150" s="11" t="s">
        <v>1034</v>
      </c>
      <c r="AS150" s="11"/>
      <c r="AT150" s="11" t="s">
        <v>1034</v>
      </c>
      <c r="AU150" s="11"/>
      <c r="AV150" s="11"/>
      <c r="AW150" s="12">
        <v>1</v>
      </c>
      <c r="AX150" s="12">
        <v>1</v>
      </c>
      <c r="AY150" s="12">
        <v>1</v>
      </c>
      <c r="AZ150" s="12"/>
      <c r="BA150" s="12"/>
      <c r="BB150" s="12"/>
      <c r="BC150" s="12"/>
      <c r="BD150" s="11" t="s">
        <v>1115</v>
      </c>
      <c r="BE150" s="11" t="s">
        <v>1116</v>
      </c>
    </row>
    <row r="151" spans="1:57" s="8" customFormat="1" ht="58" x14ac:dyDescent="0.35">
      <c r="A151" s="7" t="s">
        <v>20</v>
      </c>
      <c r="B151" s="7" t="s">
        <v>21</v>
      </c>
      <c r="C151" s="3" t="s">
        <v>316</v>
      </c>
      <c r="D151" s="3" t="s">
        <v>98</v>
      </c>
      <c r="E151" s="3"/>
      <c r="F151" s="3" t="s">
        <v>53</v>
      </c>
      <c r="G151" s="3" t="s">
        <v>50</v>
      </c>
      <c r="H151" s="4">
        <v>163</v>
      </c>
      <c r="I151" s="4">
        <v>300</v>
      </c>
      <c r="J151" s="3" t="s">
        <v>74</v>
      </c>
      <c r="K151" s="4" t="b">
        <v>0</v>
      </c>
      <c r="L151" s="6">
        <v>0.5</v>
      </c>
      <c r="M151" s="6">
        <v>0.66666666666666596</v>
      </c>
      <c r="N151" s="3" t="s">
        <v>303</v>
      </c>
      <c r="O151" s="3" t="s">
        <v>304</v>
      </c>
      <c r="P151" s="3" t="s">
        <v>317</v>
      </c>
      <c r="Q151" s="3" t="s">
        <v>1732</v>
      </c>
      <c r="R151" s="3" t="s">
        <v>1074</v>
      </c>
      <c r="S151" s="3" t="s">
        <v>1006</v>
      </c>
      <c r="T151" s="3" t="s">
        <v>1007</v>
      </c>
      <c r="U151" s="11" t="s">
        <v>1733</v>
      </c>
      <c r="V151" s="11" t="s">
        <v>1031</v>
      </c>
      <c r="W151" s="11" t="s">
        <v>1032</v>
      </c>
      <c r="X151" s="13">
        <v>0.7</v>
      </c>
      <c r="Y151" s="12"/>
      <c r="Z151" s="11"/>
      <c r="AA151" s="11"/>
      <c r="AB151" s="11"/>
      <c r="AC151" s="11">
        <v>0</v>
      </c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 t="s">
        <v>1019</v>
      </c>
      <c r="AO151" s="11" t="s">
        <v>1734</v>
      </c>
      <c r="AP151" s="11" t="s">
        <v>1021</v>
      </c>
      <c r="AQ151" s="11" t="s">
        <v>1735</v>
      </c>
      <c r="AR151" s="11" t="s">
        <v>1048</v>
      </c>
      <c r="AS151" s="11" t="s">
        <v>1736</v>
      </c>
      <c r="AT151" s="11" t="s">
        <v>1050</v>
      </c>
      <c r="AU151" s="11" t="s">
        <v>1735</v>
      </c>
      <c r="AV151" s="11" t="s">
        <v>1736</v>
      </c>
      <c r="AW151" s="12">
        <v>1</v>
      </c>
      <c r="AX151" s="12">
        <v>1</v>
      </c>
      <c r="AY151" s="12">
        <v>1</v>
      </c>
      <c r="AZ151" s="12">
        <v>1</v>
      </c>
      <c r="BA151" s="12">
        <v>3</v>
      </c>
      <c r="BB151" s="12">
        <v>1</v>
      </c>
      <c r="BC151" s="12">
        <v>1</v>
      </c>
      <c r="BD151" s="11" t="s">
        <v>1026</v>
      </c>
      <c r="BE151" s="11" t="s">
        <v>1051</v>
      </c>
    </row>
    <row r="152" spans="1:57" s="8" customFormat="1" ht="87" x14ac:dyDescent="0.35">
      <c r="A152" s="7" t="s">
        <v>20</v>
      </c>
      <c r="B152" s="7" t="s">
        <v>21</v>
      </c>
      <c r="C152" s="3" t="s">
        <v>318</v>
      </c>
      <c r="D152" s="3" t="s">
        <v>45</v>
      </c>
      <c r="E152" s="3"/>
      <c r="F152" s="3" t="s">
        <v>46</v>
      </c>
      <c r="G152" s="3" t="s">
        <v>50</v>
      </c>
      <c r="H152" s="4">
        <v>486</v>
      </c>
      <c r="I152" s="4">
        <v>200</v>
      </c>
      <c r="J152" s="3" t="s">
        <v>26</v>
      </c>
      <c r="K152" s="4" t="b">
        <v>1</v>
      </c>
      <c r="L152" s="6">
        <v>1</v>
      </c>
      <c r="M152" s="6">
        <v>1</v>
      </c>
      <c r="N152" s="3" t="s">
        <v>47</v>
      </c>
      <c r="O152" s="3"/>
      <c r="P152" s="3" t="s">
        <v>319</v>
      </c>
      <c r="Q152" s="3" t="s">
        <v>1737</v>
      </c>
      <c r="R152" s="3" t="s">
        <v>1029</v>
      </c>
      <c r="S152" s="3" t="s">
        <v>1006</v>
      </c>
      <c r="T152" s="3" t="s">
        <v>1007</v>
      </c>
      <c r="U152" s="11" t="s">
        <v>1738</v>
      </c>
      <c r="V152" s="11" t="s">
        <v>1064</v>
      </c>
      <c r="W152" s="11" t="s">
        <v>1065</v>
      </c>
      <c r="X152" s="13">
        <v>1</v>
      </c>
      <c r="Y152" s="12"/>
      <c r="Z152" s="11"/>
      <c r="AA152" s="11"/>
      <c r="AB152" s="11"/>
      <c r="AC152" s="11">
        <v>0</v>
      </c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 t="s">
        <v>1019</v>
      </c>
      <c r="AO152" s="11" t="s">
        <v>1739</v>
      </c>
      <c r="AP152" s="11" t="s">
        <v>1021</v>
      </c>
      <c r="AQ152" s="11" t="s">
        <v>1740</v>
      </c>
      <c r="AR152" s="11" t="s">
        <v>1048</v>
      </c>
      <c r="AS152" s="11" t="s">
        <v>1741</v>
      </c>
      <c r="AT152" s="11" t="s">
        <v>1050</v>
      </c>
      <c r="AU152" s="11" t="s">
        <v>1740</v>
      </c>
      <c r="AV152" s="11" t="s">
        <v>1741</v>
      </c>
      <c r="AW152" s="12">
        <v>1</v>
      </c>
      <c r="AX152" s="12">
        <v>1</v>
      </c>
      <c r="AY152" s="12">
        <v>1</v>
      </c>
      <c r="AZ152" s="12">
        <v>1</v>
      </c>
      <c r="BA152" s="12">
        <v>6</v>
      </c>
      <c r="BB152" s="12">
        <v>1</v>
      </c>
      <c r="BC152" s="12">
        <v>1</v>
      </c>
      <c r="BD152" s="11" t="s">
        <v>1026</v>
      </c>
      <c r="BE152" s="11" t="s">
        <v>1051</v>
      </c>
    </row>
    <row r="153" spans="1:57" s="8" customFormat="1" ht="87" x14ac:dyDescent="0.35">
      <c r="A153" s="7" t="s">
        <v>20</v>
      </c>
      <c r="B153" s="7" t="s">
        <v>21</v>
      </c>
      <c r="C153" s="3" t="s">
        <v>318</v>
      </c>
      <c r="D153" s="3" t="s">
        <v>49</v>
      </c>
      <c r="E153" s="3" t="s">
        <v>49</v>
      </c>
      <c r="F153" s="3" t="s">
        <v>46</v>
      </c>
      <c r="G153" s="3" t="s">
        <v>25</v>
      </c>
      <c r="H153" s="4">
        <v>486</v>
      </c>
      <c r="I153" s="4">
        <v>200</v>
      </c>
      <c r="J153" s="3" t="s">
        <v>26</v>
      </c>
      <c r="K153" s="4" t="b">
        <v>1</v>
      </c>
      <c r="L153" s="6">
        <v>1</v>
      </c>
      <c r="M153" s="6">
        <v>1</v>
      </c>
      <c r="N153" s="3" t="s">
        <v>47</v>
      </c>
      <c r="O153" s="3"/>
      <c r="P153" s="3" t="s">
        <v>319</v>
      </c>
      <c r="Q153" s="3" t="s">
        <v>1737</v>
      </c>
      <c r="R153" s="3" t="s">
        <v>1029</v>
      </c>
      <c r="S153" s="3" t="s">
        <v>1006</v>
      </c>
      <c r="T153" s="3" t="s">
        <v>1007</v>
      </c>
      <c r="U153" s="11" t="s">
        <v>1738</v>
      </c>
      <c r="V153" s="11" t="s">
        <v>1064</v>
      </c>
      <c r="W153" s="11" t="s">
        <v>1065</v>
      </c>
      <c r="X153" s="13">
        <v>1</v>
      </c>
      <c r="Y153" s="12"/>
      <c r="Z153" s="11"/>
      <c r="AA153" s="11"/>
      <c r="AB153" s="11"/>
      <c r="AC153" s="11">
        <v>0</v>
      </c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 t="s">
        <v>1019</v>
      </c>
      <c r="AO153" s="11" t="s">
        <v>1739</v>
      </c>
      <c r="AP153" s="11" t="s">
        <v>1021</v>
      </c>
      <c r="AQ153" s="11" t="s">
        <v>1740</v>
      </c>
      <c r="AR153" s="11" t="s">
        <v>1048</v>
      </c>
      <c r="AS153" s="11" t="s">
        <v>1741</v>
      </c>
      <c r="AT153" s="11" t="s">
        <v>1050</v>
      </c>
      <c r="AU153" s="11" t="s">
        <v>1740</v>
      </c>
      <c r="AV153" s="11" t="s">
        <v>1741</v>
      </c>
      <c r="AW153" s="12">
        <v>1</v>
      </c>
      <c r="AX153" s="12">
        <v>1</v>
      </c>
      <c r="AY153" s="12">
        <v>1</v>
      </c>
      <c r="AZ153" s="12">
        <v>1</v>
      </c>
      <c r="BA153" s="12">
        <v>6</v>
      </c>
      <c r="BB153" s="12">
        <v>1</v>
      </c>
      <c r="BC153" s="12">
        <v>1</v>
      </c>
      <c r="BD153" s="11" t="s">
        <v>1026</v>
      </c>
      <c r="BE153" s="11" t="s">
        <v>1051</v>
      </c>
    </row>
    <row r="154" spans="1:57" s="8" customFormat="1" ht="58" x14ac:dyDescent="0.35">
      <c r="A154" s="7" t="s">
        <v>20</v>
      </c>
      <c r="B154" s="7" t="s">
        <v>21</v>
      </c>
      <c r="C154" s="3" t="s">
        <v>320</v>
      </c>
      <c r="D154" s="3" t="s">
        <v>57</v>
      </c>
      <c r="E154" s="3"/>
      <c r="F154" s="3" t="s">
        <v>53</v>
      </c>
      <c r="G154" s="3" t="s">
        <v>50</v>
      </c>
      <c r="H154" s="4">
        <v>296</v>
      </c>
      <c r="I154" s="4">
        <v>300</v>
      </c>
      <c r="J154" s="3" t="s">
        <v>74</v>
      </c>
      <c r="K154" s="4" t="b">
        <v>0</v>
      </c>
      <c r="L154" s="6">
        <v>0.33333333333333298</v>
      </c>
      <c r="M154" s="6">
        <v>0.33333333333333298</v>
      </c>
      <c r="N154" s="3" t="s">
        <v>58</v>
      </c>
      <c r="O154" s="3" t="s">
        <v>59</v>
      </c>
      <c r="P154" s="3" t="s">
        <v>321</v>
      </c>
      <c r="Q154" s="3" t="s">
        <v>1742</v>
      </c>
      <c r="R154" s="3" t="s">
        <v>1074</v>
      </c>
      <c r="S154" s="3" t="s">
        <v>1006</v>
      </c>
      <c r="T154" s="3" t="s">
        <v>1007</v>
      </c>
      <c r="U154" s="11" t="s">
        <v>1743</v>
      </c>
      <c r="V154" s="11" t="s">
        <v>1031</v>
      </c>
      <c r="W154" s="11" t="s">
        <v>1032</v>
      </c>
      <c r="X154" s="13">
        <v>0.7</v>
      </c>
      <c r="Y154" s="12"/>
      <c r="Z154" s="11"/>
      <c r="AA154" s="11"/>
      <c r="AB154" s="11"/>
      <c r="AC154" s="11">
        <v>0</v>
      </c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 t="s">
        <v>1019</v>
      </c>
      <c r="AO154" s="11" t="s">
        <v>1744</v>
      </c>
      <c r="AP154" s="11" t="s">
        <v>1021</v>
      </c>
      <c r="AQ154" s="11" t="s">
        <v>1745</v>
      </c>
      <c r="AR154" s="11" t="s">
        <v>1048</v>
      </c>
      <c r="AS154" s="11" t="s">
        <v>1746</v>
      </c>
      <c r="AT154" s="11" t="s">
        <v>1050</v>
      </c>
      <c r="AU154" s="11" t="s">
        <v>1745</v>
      </c>
      <c r="AV154" s="11" t="s">
        <v>1746</v>
      </c>
      <c r="AW154" s="12">
        <v>1</v>
      </c>
      <c r="AX154" s="12">
        <v>1</v>
      </c>
      <c r="AY154" s="12">
        <v>1</v>
      </c>
      <c r="AZ154" s="12">
        <v>1</v>
      </c>
      <c r="BA154" s="12">
        <v>3</v>
      </c>
      <c r="BB154" s="12">
        <v>1</v>
      </c>
      <c r="BC154" s="12">
        <v>1</v>
      </c>
      <c r="BD154" s="11" t="s">
        <v>1026</v>
      </c>
      <c r="BE154" s="11" t="s">
        <v>1051</v>
      </c>
    </row>
    <row r="155" spans="1:57" s="8" customFormat="1" ht="87" x14ac:dyDescent="0.35">
      <c r="A155" s="7" t="s">
        <v>20</v>
      </c>
      <c r="B155" s="7" t="s">
        <v>21</v>
      </c>
      <c r="C155" s="3" t="s">
        <v>322</v>
      </c>
      <c r="D155" s="3" t="s">
        <v>52</v>
      </c>
      <c r="E155" s="3"/>
      <c r="F155" s="3" t="s">
        <v>53</v>
      </c>
      <c r="G155" s="3" t="s">
        <v>50</v>
      </c>
      <c r="H155" s="4">
        <v>645</v>
      </c>
      <c r="I155" s="4">
        <v>500</v>
      </c>
      <c r="J155" s="3" t="s">
        <v>26</v>
      </c>
      <c r="K155" s="4" t="b">
        <v>0</v>
      </c>
      <c r="L155" s="6">
        <v>0.33333333333333298</v>
      </c>
      <c r="M155" s="6">
        <v>0.33333333333333298</v>
      </c>
      <c r="N155" s="3" t="s">
        <v>54</v>
      </c>
      <c r="O155" s="3" t="s">
        <v>55</v>
      </c>
      <c r="P155" s="3" t="s">
        <v>323</v>
      </c>
      <c r="Q155" s="3" t="s">
        <v>1747</v>
      </c>
      <c r="R155" s="3" t="s">
        <v>1029</v>
      </c>
      <c r="S155" s="3" t="s">
        <v>1006</v>
      </c>
      <c r="T155" s="3" t="s">
        <v>1007</v>
      </c>
      <c r="U155" s="11" t="s">
        <v>1748</v>
      </c>
      <c r="V155" s="11" t="s">
        <v>1096</v>
      </c>
      <c r="W155" s="11" t="s">
        <v>1097</v>
      </c>
      <c r="X155" s="13">
        <v>0.66</v>
      </c>
      <c r="Y155" s="12"/>
      <c r="Z155" s="11" t="s">
        <v>1749</v>
      </c>
      <c r="AA155" s="11"/>
      <c r="AB155" s="11"/>
      <c r="AC155" s="11">
        <v>6</v>
      </c>
      <c r="AD155" s="11" t="s">
        <v>1076</v>
      </c>
      <c r="AE155" s="11" t="s">
        <v>1750</v>
      </c>
      <c r="AF155" s="11" t="s">
        <v>1014</v>
      </c>
      <c r="AG155" s="11" t="s">
        <v>1015</v>
      </c>
      <c r="AH155" s="11" t="s">
        <v>1579</v>
      </c>
      <c r="AI155" s="11" t="s">
        <v>1016</v>
      </c>
      <c r="AJ155" s="11"/>
      <c r="AK155" s="11" t="s">
        <v>1079</v>
      </c>
      <c r="AL155" s="11" t="s">
        <v>1017</v>
      </c>
      <c r="AM155" s="11" t="s">
        <v>1080</v>
      </c>
      <c r="AN155" s="11" t="s">
        <v>1019</v>
      </c>
      <c r="AO155" s="11" t="s">
        <v>1751</v>
      </c>
      <c r="AP155" s="11" t="s">
        <v>1021</v>
      </c>
      <c r="AQ155" s="11" t="s">
        <v>1752</v>
      </c>
      <c r="AR155" s="11" t="s">
        <v>1048</v>
      </c>
      <c r="AS155" s="11" t="s">
        <v>1753</v>
      </c>
      <c r="AT155" s="11" t="s">
        <v>1050</v>
      </c>
      <c r="AU155" s="11" t="s">
        <v>1752</v>
      </c>
      <c r="AV155" s="11" t="s">
        <v>1753</v>
      </c>
      <c r="AW155" s="12">
        <v>1</v>
      </c>
      <c r="AX155" s="12">
        <v>1</v>
      </c>
      <c r="AY155" s="12">
        <v>1</v>
      </c>
      <c r="AZ155" s="12">
        <v>1</v>
      </c>
      <c r="BA155" s="12">
        <v>2</v>
      </c>
      <c r="BB155" s="12">
        <v>1</v>
      </c>
      <c r="BC155" s="12">
        <v>1</v>
      </c>
      <c r="BD155" s="11" t="s">
        <v>1026</v>
      </c>
      <c r="BE155" s="11" t="s">
        <v>1051</v>
      </c>
    </row>
    <row r="156" spans="1:57" s="8" customFormat="1" ht="58" x14ac:dyDescent="0.35">
      <c r="A156" s="7" t="s">
        <v>20</v>
      </c>
      <c r="B156" s="7" t="s">
        <v>21</v>
      </c>
      <c r="C156" s="3" t="s">
        <v>324</v>
      </c>
      <c r="D156" s="3" t="s">
        <v>57</v>
      </c>
      <c r="E156" s="3"/>
      <c r="F156" s="3" t="s">
        <v>53</v>
      </c>
      <c r="G156" s="3" t="s">
        <v>50</v>
      </c>
      <c r="H156" s="4">
        <v>674</v>
      </c>
      <c r="I156" s="4">
        <v>300</v>
      </c>
      <c r="J156" s="3" t="s">
        <v>26</v>
      </c>
      <c r="K156" s="4" t="b">
        <v>0</v>
      </c>
      <c r="L156" s="6">
        <v>0.33333333333333298</v>
      </c>
      <c r="M156" s="6">
        <v>0.33333333333333298</v>
      </c>
      <c r="N156" s="3" t="s">
        <v>58</v>
      </c>
      <c r="O156" s="3" t="s">
        <v>59</v>
      </c>
      <c r="P156" s="3" t="s">
        <v>325</v>
      </c>
      <c r="Q156" s="3" t="s">
        <v>1754</v>
      </c>
      <c r="R156" s="3" t="s">
        <v>1074</v>
      </c>
      <c r="S156" s="3" t="s">
        <v>1006</v>
      </c>
      <c r="T156" s="3" t="s">
        <v>1007</v>
      </c>
      <c r="U156" s="11" t="s">
        <v>1755</v>
      </c>
      <c r="V156" s="11" t="s">
        <v>1064</v>
      </c>
      <c r="W156" s="11" t="s">
        <v>1065</v>
      </c>
      <c r="X156" s="13">
        <v>1</v>
      </c>
      <c r="Y156" s="12"/>
      <c r="Z156" s="11"/>
      <c r="AA156" s="11"/>
      <c r="AB156" s="11"/>
      <c r="AC156" s="11">
        <v>0</v>
      </c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 t="s">
        <v>1019</v>
      </c>
      <c r="AO156" s="11" t="s">
        <v>1756</v>
      </c>
      <c r="AP156" s="11" t="s">
        <v>1021</v>
      </c>
      <c r="AQ156" s="11" t="s">
        <v>1757</v>
      </c>
      <c r="AR156" s="11" t="s">
        <v>1048</v>
      </c>
      <c r="AS156" s="11" t="s">
        <v>1758</v>
      </c>
      <c r="AT156" s="11" t="s">
        <v>1050</v>
      </c>
      <c r="AU156" s="11" t="s">
        <v>1757</v>
      </c>
      <c r="AV156" s="11" t="s">
        <v>1758</v>
      </c>
      <c r="AW156" s="12">
        <v>1</v>
      </c>
      <c r="AX156" s="12">
        <v>1</v>
      </c>
      <c r="AY156" s="12">
        <v>1</v>
      </c>
      <c r="AZ156" s="12">
        <v>1</v>
      </c>
      <c r="BA156" s="12">
        <v>3</v>
      </c>
      <c r="BB156" s="12">
        <v>1</v>
      </c>
      <c r="BC156" s="12">
        <v>1</v>
      </c>
      <c r="BD156" s="11" t="s">
        <v>1026</v>
      </c>
      <c r="BE156" s="11" t="s">
        <v>1051</v>
      </c>
    </row>
    <row r="157" spans="1:57" s="8" customFormat="1" ht="58" x14ac:dyDescent="0.35">
      <c r="A157" s="7" t="s">
        <v>20</v>
      </c>
      <c r="B157" s="7" t="s">
        <v>21</v>
      </c>
      <c r="C157" s="3" t="s">
        <v>326</v>
      </c>
      <c r="D157" s="3" t="s">
        <v>30</v>
      </c>
      <c r="E157" s="3" t="s">
        <v>30</v>
      </c>
      <c r="F157" s="3" t="s">
        <v>31</v>
      </c>
      <c r="G157" s="3" t="s">
        <v>25</v>
      </c>
      <c r="H157" s="4">
        <v>360</v>
      </c>
      <c r="I157" s="4">
        <v>250</v>
      </c>
      <c r="J157" s="3" t="s">
        <v>26</v>
      </c>
      <c r="K157" s="4" t="b">
        <v>1</v>
      </c>
      <c r="L157" s="6">
        <v>1</v>
      </c>
      <c r="M157" s="6">
        <v>1</v>
      </c>
      <c r="N157" s="3" t="s">
        <v>32</v>
      </c>
      <c r="O157" s="3"/>
      <c r="P157" s="3" t="s">
        <v>327</v>
      </c>
      <c r="Q157" s="3" t="s">
        <v>1759</v>
      </c>
      <c r="R157" s="3" t="s">
        <v>1074</v>
      </c>
      <c r="S157" s="3" t="s">
        <v>1006</v>
      </c>
      <c r="T157" s="3" t="s">
        <v>1007</v>
      </c>
      <c r="U157" s="11" t="s">
        <v>1760</v>
      </c>
      <c r="V157" s="11" t="s">
        <v>1031</v>
      </c>
      <c r="W157" s="11" t="s">
        <v>1032</v>
      </c>
      <c r="X157" s="13">
        <v>1</v>
      </c>
      <c r="Y157" s="12"/>
      <c r="Z157" s="11"/>
      <c r="AA157" s="11"/>
      <c r="AB157" s="11"/>
      <c r="AC157" s="11">
        <v>0</v>
      </c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 t="s">
        <v>1019</v>
      </c>
      <c r="AO157" s="11" t="s">
        <v>1372</v>
      </c>
      <c r="AP157" s="11" t="s">
        <v>1021</v>
      </c>
      <c r="AQ157" s="11" t="s">
        <v>1373</v>
      </c>
      <c r="AR157" s="11" t="s">
        <v>1023</v>
      </c>
      <c r="AS157" s="11" t="s">
        <v>1374</v>
      </c>
      <c r="AT157" s="11" t="s">
        <v>1023</v>
      </c>
      <c r="AU157" s="11" t="s">
        <v>1373</v>
      </c>
      <c r="AV157" s="11" t="s">
        <v>1374</v>
      </c>
      <c r="AW157" s="12">
        <v>5</v>
      </c>
      <c r="AX157" s="12">
        <v>4</v>
      </c>
      <c r="AY157" s="12">
        <v>6</v>
      </c>
      <c r="AZ157" s="12">
        <v>5</v>
      </c>
      <c r="BA157" s="12">
        <v>5</v>
      </c>
      <c r="BB157" s="12">
        <v>5</v>
      </c>
      <c r="BC157" s="12">
        <v>4</v>
      </c>
      <c r="BD157" s="11" t="s">
        <v>1026</v>
      </c>
      <c r="BE157" s="11" t="s">
        <v>1027</v>
      </c>
    </row>
    <row r="158" spans="1:57" s="8" customFormat="1" ht="58" x14ac:dyDescent="0.35">
      <c r="A158" s="7" t="s">
        <v>20</v>
      </c>
      <c r="B158" s="7" t="s">
        <v>21</v>
      </c>
      <c r="C158" s="3" t="s">
        <v>328</v>
      </c>
      <c r="D158" s="3" t="s">
        <v>30</v>
      </c>
      <c r="E158" s="3" t="s">
        <v>30</v>
      </c>
      <c r="F158" s="3" t="s">
        <v>31</v>
      </c>
      <c r="G158" s="3" t="s">
        <v>25</v>
      </c>
      <c r="H158" s="4">
        <v>376</v>
      </c>
      <c r="I158" s="4">
        <v>250</v>
      </c>
      <c r="J158" s="3" t="s">
        <v>26</v>
      </c>
      <c r="K158" s="4" t="b">
        <v>1</v>
      </c>
      <c r="L158" s="6">
        <v>1</v>
      </c>
      <c r="M158" s="6">
        <v>1</v>
      </c>
      <c r="N158" s="3" t="s">
        <v>32</v>
      </c>
      <c r="O158" s="3"/>
      <c r="P158" s="3" t="s">
        <v>182</v>
      </c>
      <c r="Q158" s="3" t="s">
        <v>1370</v>
      </c>
      <c r="R158" s="3" t="s">
        <v>1074</v>
      </c>
      <c r="S158" s="3" t="s">
        <v>1006</v>
      </c>
      <c r="T158" s="3" t="s">
        <v>1007</v>
      </c>
      <c r="U158" s="11" t="s">
        <v>1761</v>
      </c>
      <c r="V158" s="11" t="s">
        <v>1031</v>
      </c>
      <c r="W158" s="11" t="s">
        <v>1032</v>
      </c>
      <c r="X158" s="13">
        <v>1</v>
      </c>
      <c r="Y158" s="12"/>
      <c r="Z158" s="11"/>
      <c r="AA158" s="11"/>
      <c r="AB158" s="11"/>
      <c r="AC158" s="11">
        <v>0</v>
      </c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 t="s">
        <v>1019</v>
      </c>
      <c r="AO158" s="11" t="s">
        <v>1372</v>
      </c>
      <c r="AP158" s="11" t="s">
        <v>1021</v>
      </c>
      <c r="AQ158" s="11" t="s">
        <v>1373</v>
      </c>
      <c r="AR158" s="11" t="s">
        <v>1023</v>
      </c>
      <c r="AS158" s="11" t="s">
        <v>1374</v>
      </c>
      <c r="AT158" s="11" t="s">
        <v>1023</v>
      </c>
      <c r="AU158" s="11" t="s">
        <v>1373</v>
      </c>
      <c r="AV158" s="11" t="s">
        <v>1374</v>
      </c>
      <c r="AW158" s="12">
        <v>5</v>
      </c>
      <c r="AX158" s="12">
        <v>4</v>
      </c>
      <c r="AY158" s="12">
        <v>6</v>
      </c>
      <c r="AZ158" s="12">
        <v>5</v>
      </c>
      <c r="BA158" s="12">
        <v>5</v>
      </c>
      <c r="BB158" s="12">
        <v>5</v>
      </c>
      <c r="BC158" s="12">
        <v>4</v>
      </c>
      <c r="BD158" s="11" t="s">
        <v>1026</v>
      </c>
      <c r="BE158" s="11" t="s">
        <v>1027</v>
      </c>
    </row>
    <row r="159" spans="1:57" s="8" customFormat="1" ht="101.5" x14ac:dyDescent="0.35">
      <c r="A159" s="7" t="s">
        <v>20</v>
      </c>
      <c r="B159" s="7" t="s">
        <v>21</v>
      </c>
      <c r="C159" s="3" t="s">
        <v>329</v>
      </c>
      <c r="D159" s="3" t="s">
        <v>57</v>
      </c>
      <c r="E159" s="3"/>
      <c r="F159" s="3" t="s">
        <v>53</v>
      </c>
      <c r="G159" s="3" t="s">
        <v>50</v>
      </c>
      <c r="H159" s="4">
        <v>507</v>
      </c>
      <c r="I159" s="4">
        <v>300</v>
      </c>
      <c r="J159" s="3" t="s">
        <v>26</v>
      </c>
      <c r="K159" s="4" t="b">
        <v>0</v>
      </c>
      <c r="L159" s="6">
        <v>0.33333333333333298</v>
      </c>
      <c r="M159" s="6">
        <v>0.33333333333333298</v>
      </c>
      <c r="N159" s="3" t="s">
        <v>58</v>
      </c>
      <c r="O159" s="3" t="s">
        <v>59</v>
      </c>
      <c r="P159" s="3" t="s">
        <v>330</v>
      </c>
      <c r="Q159" s="3" t="s">
        <v>1762</v>
      </c>
      <c r="R159" s="3" t="s">
        <v>1029</v>
      </c>
      <c r="S159" s="3" t="s">
        <v>1006</v>
      </c>
      <c r="T159" s="3" t="s">
        <v>1007</v>
      </c>
      <c r="U159" s="11" t="s">
        <v>1763</v>
      </c>
      <c r="V159" s="11" t="s">
        <v>1031</v>
      </c>
      <c r="W159" s="11" t="s">
        <v>1032</v>
      </c>
      <c r="X159" s="13">
        <v>0.7</v>
      </c>
      <c r="Y159" s="12"/>
      <c r="Z159" s="11"/>
      <c r="AA159" s="11"/>
      <c r="AB159" s="11"/>
      <c r="AC159" s="11">
        <v>0</v>
      </c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 t="s">
        <v>1019</v>
      </c>
      <c r="AO159" s="11" t="s">
        <v>1764</v>
      </c>
      <c r="AP159" s="11" t="s">
        <v>1021</v>
      </c>
      <c r="AQ159" s="11" t="s">
        <v>1765</v>
      </c>
      <c r="AR159" s="11" t="s">
        <v>1023</v>
      </c>
      <c r="AS159" s="11" t="s">
        <v>1766</v>
      </c>
      <c r="AT159" s="11" t="s">
        <v>1023</v>
      </c>
      <c r="AU159" s="11" t="s">
        <v>1765</v>
      </c>
      <c r="AV159" s="11" t="s">
        <v>1766</v>
      </c>
      <c r="AW159" s="12">
        <v>2</v>
      </c>
      <c r="AX159" s="12">
        <v>2</v>
      </c>
      <c r="AY159" s="12">
        <v>2</v>
      </c>
      <c r="AZ159" s="12">
        <v>2</v>
      </c>
      <c r="BA159" s="12">
        <v>2</v>
      </c>
      <c r="BB159" s="12">
        <v>2</v>
      </c>
      <c r="BC159" s="12">
        <v>7</v>
      </c>
      <c r="BD159" s="11" t="s">
        <v>1026</v>
      </c>
      <c r="BE159" s="11" t="s">
        <v>1027</v>
      </c>
    </row>
    <row r="160" spans="1:57" s="8" customFormat="1" ht="58" x14ac:dyDescent="0.35">
      <c r="A160" s="7" t="s">
        <v>20</v>
      </c>
      <c r="B160" s="7" t="s">
        <v>21</v>
      </c>
      <c r="C160" s="3" t="s">
        <v>331</v>
      </c>
      <c r="D160" s="3" t="s">
        <v>57</v>
      </c>
      <c r="E160" s="3"/>
      <c r="F160" s="3" t="s">
        <v>53</v>
      </c>
      <c r="G160" s="3" t="s">
        <v>50</v>
      </c>
      <c r="H160" s="4">
        <v>348</v>
      </c>
      <c r="I160" s="4">
        <v>300</v>
      </c>
      <c r="J160" s="3" t="s">
        <v>26</v>
      </c>
      <c r="K160" s="4" t="b">
        <v>0</v>
      </c>
      <c r="L160" s="6">
        <v>0.33333333333333298</v>
      </c>
      <c r="M160" s="6">
        <v>0.33333333333333298</v>
      </c>
      <c r="N160" s="3" t="s">
        <v>58</v>
      </c>
      <c r="O160" s="3" t="s">
        <v>59</v>
      </c>
      <c r="P160" s="3" t="s">
        <v>332</v>
      </c>
      <c r="Q160" s="3" t="s">
        <v>1767</v>
      </c>
      <c r="R160" s="3" t="s">
        <v>1029</v>
      </c>
      <c r="S160" s="3" t="s">
        <v>1006</v>
      </c>
      <c r="T160" s="3" t="s">
        <v>1007</v>
      </c>
      <c r="U160" s="11" t="s">
        <v>1768</v>
      </c>
      <c r="V160" s="11" t="s">
        <v>1031</v>
      </c>
      <c r="W160" s="11" t="s">
        <v>1032</v>
      </c>
      <c r="X160" s="13">
        <v>0.7</v>
      </c>
      <c r="Y160" s="12"/>
      <c r="Z160" s="11"/>
      <c r="AA160" s="11"/>
      <c r="AB160" s="11"/>
      <c r="AC160" s="11">
        <v>0</v>
      </c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 t="s">
        <v>1019</v>
      </c>
      <c r="AO160" s="11" t="s">
        <v>1186</v>
      </c>
      <c r="AP160" s="11" t="s">
        <v>1021</v>
      </c>
      <c r="AQ160" s="11" t="s">
        <v>1187</v>
      </c>
      <c r="AR160" s="11" t="s">
        <v>1023</v>
      </c>
      <c r="AS160" s="11" t="s">
        <v>1188</v>
      </c>
      <c r="AT160" s="11" t="s">
        <v>1025</v>
      </c>
      <c r="AU160" s="11" t="s">
        <v>1187</v>
      </c>
      <c r="AV160" s="11" t="s">
        <v>1188</v>
      </c>
      <c r="AW160" s="12">
        <v>4</v>
      </c>
      <c r="AX160" s="12">
        <v>4</v>
      </c>
      <c r="AY160" s="12">
        <v>5</v>
      </c>
      <c r="AZ160" s="12">
        <v>4</v>
      </c>
      <c r="BA160" s="12">
        <v>3</v>
      </c>
      <c r="BB160" s="12">
        <v>4</v>
      </c>
      <c r="BC160" s="12">
        <v>1</v>
      </c>
      <c r="BD160" s="11" t="s">
        <v>1026</v>
      </c>
      <c r="BE160" s="11" t="s">
        <v>1027</v>
      </c>
    </row>
    <row r="161" spans="1:57" s="8" customFormat="1" ht="58" x14ac:dyDescent="0.35">
      <c r="A161" s="7" t="s">
        <v>20</v>
      </c>
      <c r="B161" s="7" t="s">
        <v>21</v>
      </c>
      <c r="C161" s="3" t="s">
        <v>333</v>
      </c>
      <c r="D161" s="3" t="s">
        <v>57</v>
      </c>
      <c r="E161" s="3"/>
      <c r="F161" s="3" t="s">
        <v>53</v>
      </c>
      <c r="G161" s="3" t="s">
        <v>50</v>
      </c>
      <c r="H161" s="4">
        <v>410</v>
      </c>
      <c r="I161" s="4">
        <v>300</v>
      </c>
      <c r="J161" s="3" t="s">
        <v>26</v>
      </c>
      <c r="K161" s="4" t="b">
        <v>0</v>
      </c>
      <c r="L161" s="6">
        <v>0.33333333333333298</v>
      </c>
      <c r="M161" s="6">
        <v>0.33333333333333298</v>
      </c>
      <c r="N161" s="3" t="s">
        <v>58</v>
      </c>
      <c r="O161" s="3" t="s">
        <v>59</v>
      </c>
      <c r="P161" s="3" t="s">
        <v>334</v>
      </c>
      <c r="Q161" s="3" t="s">
        <v>1769</v>
      </c>
      <c r="R161" s="3" t="s">
        <v>1074</v>
      </c>
      <c r="S161" s="3" t="s">
        <v>1006</v>
      </c>
      <c r="T161" s="3" t="s">
        <v>1007</v>
      </c>
      <c r="U161" s="11" t="s">
        <v>1770</v>
      </c>
      <c r="V161" s="11" t="s">
        <v>1064</v>
      </c>
      <c r="W161" s="11" t="s">
        <v>1065</v>
      </c>
      <c r="X161" s="13">
        <v>1</v>
      </c>
      <c r="Y161" s="12"/>
      <c r="Z161" s="11"/>
      <c r="AA161" s="11"/>
      <c r="AB161" s="11"/>
      <c r="AC161" s="11">
        <v>0</v>
      </c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 t="s">
        <v>1019</v>
      </c>
      <c r="AO161" s="11" t="s">
        <v>1771</v>
      </c>
      <c r="AP161" s="11" t="s">
        <v>1021</v>
      </c>
      <c r="AQ161" s="11" t="s">
        <v>1772</v>
      </c>
      <c r="AR161" s="11" t="s">
        <v>1048</v>
      </c>
      <c r="AS161" s="11" t="s">
        <v>1773</v>
      </c>
      <c r="AT161" s="11" t="s">
        <v>1050</v>
      </c>
      <c r="AU161" s="11" t="s">
        <v>1772</v>
      </c>
      <c r="AV161" s="11" t="s">
        <v>1773</v>
      </c>
      <c r="AW161" s="12">
        <v>1</v>
      </c>
      <c r="AX161" s="12">
        <v>1</v>
      </c>
      <c r="AY161" s="12">
        <v>1</v>
      </c>
      <c r="AZ161" s="12">
        <v>1</v>
      </c>
      <c r="BA161" s="12">
        <v>2</v>
      </c>
      <c r="BB161" s="12">
        <v>1</v>
      </c>
      <c r="BC161" s="12">
        <v>1</v>
      </c>
      <c r="BD161" s="11" t="s">
        <v>1026</v>
      </c>
      <c r="BE161" s="11" t="s">
        <v>1051</v>
      </c>
    </row>
    <row r="162" spans="1:57" s="8" customFormat="1" ht="58" x14ac:dyDescent="0.35">
      <c r="A162" s="7" t="s">
        <v>20</v>
      </c>
      <c r="B162" s="7" t="s">
        <v>21</v>
      </c>
      <c r="C162" s="3" t="s">
        <v>335</v>
      </c>
      <c r="D162" s="3" t="s">
        <v>57</v>
      </c>
      <c r="E162" s="3"/>
      <c r="F162" s="3" t="s">
        <v>53</v>
      </c>
      <c r="G162" s="3" t="s">
        <v>50</v>
      </c>
      <c r="H162" s="4">
        <v>405</v>
      </c>
      <c r="I162" s="4">
        <v>300</v>
      </c>
      <c r="J162" s="3" t="s">
        <v>26</v>
      </c>
      <c r="K162" s="4" t="b">
        <v>0</v>
      </c>
      <c r="L162" s="6">
        <v>0.33333333333333298</v>
      </c>
      <c r="M162" s="6">
        <v>0.33333333333333298</v>
      </c>
      <c r="N162" s="3" t="s">
        <v>58</v>
      </c>
      <c r="O162" s="3" t="s">
        <v>59</v>
      </c>
      <c r="P162" s="3" t="s">
        <v>336</v>
      </c>
      <c r="Q162" s="3" t="s">
        <v>1774</v>
      </c>
      <c r="R162" s="3" t="s">
        <v>1074</v>
      </c>
      <c r="S162" s="3" t="s">
        <v>1006</v>
      </c>
      <c r="T162" s="3" t="s">
        <v>1007</v>
      </c>
      <c r="U162" s="11" t="s">
        <v>1775</v>
      </c>
      <c r="V162" s="11" t="s">
        <v>1031</v>
      </c>
      <c r="W162" s="11" t="s">
        <v>1032</v>
      </c>
      <c r="X162" s="13">
        <v>0.7</v>
      </c>
      <c r="Y162" s="12"/>
      <c r="Z162" s="11"/>
      <c r="AA162" s="11"/>
      <c r="AB162" s="11"/>
      <c r="AC162" s="11">
        <v>0</v>
      </c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 t="s">
        <v>1019</v>
      </c>
      <c r="AO162" s="11" t="s">
        <v>1186</v>
      </c>
      <c r="AP162" s="11" t="s">
        <v>1021</v>
      </c>
      <c r="AQ162" s="11" t="s">
        <v>1187</v>
      </c>
      <c r="AR162" s="11" t="s">
        <v>1023</v>
      </c>
      <c r="AS162" s="11" t="s">
        <v>1188</v>
      </c>
      <c r="AT162" s="11" t="s">
        <v>1025</v>
      </c>
      <c r="AU162" s="11" t="s">
        <v>1187</v>
      </c>
      <c r="AV162" s="11" t="s">
        <v>1188</v>
      </c>
      <c r="AW162" s="12">
        <v>4</v>
      </c>
      <c r="AX162" s="12">
        <v>4</v>
      </c>
      <c r="AY162" s="12">
        <v>5</v>
      </c>
      <c r="AZ162" s="12">
        <v>4</v>
      </c>
      <c r="BA162" s="12">
        <v>3</v>
      </c>
      <c r="BB162" s="12">
        <v>4</v>
      </c>
      <c r="BC162" s="12">
        <v>1</v>
      </c>
      <c r="BD162" s="11" t="s">
        <v>1026</v>
      </c>
      <c r="BE162" s="11" t="s">
        <v>1027</v>
      </c>
    </row>
    <row r="163" spans="1:57" s="8" customFormat="1" ht="72.5" x14ac:dyDescent="0.35">
      <c r="A163" s="7" t="s">
        <v>20</v>
      </c>
      <c r="B163" s="7" t="s">
        <v>21</v>
      </c>
      <c r="C163" s="3" t="s">
        <v>337</v>
      </c>
      <c r="D163" s="3" t="s">
        <v>52</v>
      </c>
      <c r="E163" s="3"/>
      <c r="F163" s="3" t="s">
        <v>53</v>
      </c>
      <c r="G163" s="3" t="s">
        <v>50</v>
      </c>
      <c r="H163" s="4">
        <v>715</v>
      </c>
      <c r="I163" s="4">
        <v>500</v>
      </c>
      <c r="J163" s="3" t="s">
        <v>26</v>
      </c>
      <c r="K163" s="4" t="b">
        <v>0</v>
      </c>
      <c r="L163" s="6">
        <v>0.33333333333333298</v>
      </c>
      <c r="M163" s="6">
        <v>0.33333333333333298</v>
      </c>
      <c r="N163" s="3" t="s">
        <v>54</v>
      </c>
      <c r="O163" s="3" t="s">
        <v>55</v>
      </c>
      <c r="P163" s="3" t="s">
        <v>338</v>
      </c>
      <c r="Q163" s="3" t="s">
        <v>1776</v>
      </c>
      <c r="R163" s="3" t="s">
        <v>1029</v>
      </c>
      <c r="S163" s="3" t="s">
        <v>1006</v>
      </c>
      <c r="T163" s="3" t="s">
        <v>1435</v>
      </c>
      <c r="U163" s="11" t="s">
        <v>1777</v>
      </c>
      <c r="V163" s="11" t="s">
        <v>1031</v>
      </c>
      <c r="W163" s="11" t="s">
        <v>1032</v>
      </c>
      <c r="X163" s="13">
        <v>0.7</v>
      </c>
      <c r="Y163" s="12"/>
      <c r="Z163" s="11"/>
      <c r="AA163" s="11"/>
      <c r="AB163" s="11"/>
      <c r="AC163" s="11">
        <v>5</v>
      </c>
      <c r="AD163" s="11" t="s">
        <v>1076</v>
      </c>
      <c r="AE163" s="11" t="s">
        <v>1778</v>
      </c>
      <c r="AF163" s="11" t="s">
        <v>1014</v>
      </c>
      <c r="AG163" s="11" t="s">
        <v>1015</v>
      </c>
      <c r="AH163" s="11" t="s">
        <v>1078</v>
      </c>
      <c r="AI163" s="11" t="s">
        <v>1016</v>
      </c>
      <c r="AJ163" s="11"/>
      <c r="AK163" s="11" t="s">
        <v>1079</v>
      </c>
      <c r="AL163" s="11" t="s">
        <v>1017</v>
      </c>
      <c r="AM163" s="11" t="s">
        <v>1080</v>
      </c>
      <c r="AN163" s="11" t="s">
        <v>1019</v>
      </c>
      <c r="AO163" s="11" t="s">
        <v>1356</v>
      </c>
      <c r="AP163" s="11" t="s">
        <v>1021</v>
      </c>
      <c r="AQ163" s="11" t="s">
        <v>1779</v>
      </c>
      <c r="AR163" s="11" t="s">
        <v>1025</v>
      </c>
      <c r="AS163" s="11" t="s">
        <v>1358</v>
      </c>
      <c r="AT163" s="11" t="s">
        <v>1025</v>
      </c>
      <c r="AU163" s="11" t="s">
        <v>1359</v>
      </c>
      <c r="AV163" s="11" t="s">
        <v>1358</v>
      </c>
      <c r="AW163" s="12">
        <v>4</v>
      </c>
      <c r="AX163" s="12">
        <v>4</v>
      </c>
      <c r="AY163" s="12">
        <v>4</v>
      </c>
      <c r="AZ163" s="12">
        <v>2</v>
      </c>
      <c r="BA163" s="12">
        <v>1</v>
      </c>
      <c r="BB163" s="12">
        <v>4</v>
      </c>
      <c r="BC163" s="12">
        <v>1</v>
      </c>
      <c r="BD163" s="11" t="s">
        <v>1026</v>
      </c>
      <c r="BE163" s="11" t="s">
        <v>1027</v>
      </c>
    </row>
    <row r="164" spans="1:57" s="8" customFormat="1" ht="58" x14ac:dyDescent="0.35">
      <c r="A164" s="7" t="s">
        <v>20</v>
      </c>
      <c r="B164" s="7" t="s">
        <v>21</v>
      </c>
      <c r="C164" s="3" t="s">
        <v>337</v>
      </c>
      <c r="D164" s="3" t="s">
        <v>57</v>
      </c>
      <c r="E164" s="3"/>
      <c r="F164" s="3" t="s">
        <v>53</v>
      </c>
      <c r="G164" s="3" t="s">
        <v>50</v>
      </c>
      <c r="H164" s="4">
        <v>715</v>
      </c>
      <c r="I164" s="4">
        <v>300</v>
      </c>
      <c r="J164" s="3" t="s">
        <v>26</v>
      </c>
      <c r="K164" s="4" t="b">
        <v>0</v>
      </c>
      <c r="L164" s="6">
        <v>0.33333333333333298</v>
      </c>
      <c r="M164" s="6">
        <v>0.33333333333333298</v>
      </c>
      <c r="N164" s="3" t="s">
        <v>58</v>
      </c>
      <c r="O164" s="3" t="s">
        <v>59</v>
      </c>
      <c r="P164" s="3" t="s">
        <v>338</v>
      </c>
      <c r="Q164" s="3" t="s">
        <v>1776</v>
      </c>
      <c r="R164" s="3" t="s">
        <v>1029</v>
      </c>
      <c r="S164" s="3" t="s">
        <v>1006</v>
      </c>
      <c r="T164" s="3" t="s">
        <v>1435</v>
      </c>
      <c r="U164" s="11" t="s">
        <v>1777</v>
      </c>
      <c r="V164" s="11" t="s">
        <v>1031</v>
      </c>
      <c r="W164" s="11" t="s">
        <v>1032</v>
      </c>
      <c r="X164" s="13">
        <v>0.7</v>
      </c>
      <c r="Y164" s="12"/>
      <c r="Z164" s="11"/>
      <c r="AA164" s="11"/>
      <c r="AB164" s="11"/>
      <c r="AC164" s="11">
        <v>1</v>
      </c>
      <c r="AD164" s="11" t="s">
        <v>1227</v>
      </c>
      <c r="AE164" s="11" t="s">
        <v>1780</v>
      </c>
      <c r="AF164" s="11" t="s">
        <v>1014</v>
      </c>
      <c r="AG164" s="11" t="s">
        <v>1015</v>
      </c>
      <c r="AH164" s="11"/>
      <c r="AI164" s="11" t="s">
        <v>1016</v>
      </c>
      <c r="AJ164" s="11"/>
      <c r="AK164" s="11" t="s">
        <v>1229</v>
      </c>
      <c r="AL164" s="11" t="s">
        <v>1017</v>
      </c>
      <c r="AM164" s="11" t="s">
        <v>1230</v>
      </c>
      <c r="AN164" s="11" t="s">
        <v>1019</v>
      </c>
      <c r="AO164" s="11" t="s">
        <v>1356</v>
      </c>
      <c r="AP164" s="11" t="s">
        <v>1021</v>
      </c>
      <c r="AQ164" s="11" t="s">
        <v>1779</v>
      </c>
      <c r="AR164" s="11" t="s">
        <v>1025</v>
      </c>
      <c r="AS164" s="11" t="s">
        <v>1358</v>
      </c>
      <c r="AT164" s="11" t="s">
        <v>1025</v>
      </c>
      <c r="AU164" s="11" t="s">
        <v>1359</v>
      </c>
      <c r="AV164" s="11" t="s">
        <v>1358</v>
      </c>
      <c r="AW164" s="12">
        <v>4</v>
      </c>
      <c r="AX164" s="12">
        <v>4</v>
      </c>
      <c r="AY164" s="12">
        <v>4</v>
      </c>
      <c r="AZ164" s="12">
        <v>2</v>
      </c>
      <c r="BA164" s="12">
        <v>1</v>
      </c>
      <c r="BB164" s="12">
        <v>4</v>
      </c>
      <c r="BC164" s="12">
        <v>1</v>
      </c>
      <c r="BD164" s="11" t="s">
        <v>1026</v>
      </c>
      <c r="BE164" s="11" t="s">
        <v>1027</v>
      </c>
    </row>
    <row r="165" spans="1:57" s="8" customFormat="1" ht="72.5" x14ac:dyDescent="0.35">
      <c r="A165" s="7" t="s">
        <v>20</v>
      </c>
      <c r="B165" s="7" t="s">
        <v>21</v>
      </c>
      <c r="C165" s="3" t="s">
        <v>339</v>
      </c>
      <c r="D165" s="3" t="s">
        <v>57</v>
      </c>
      <c r="E165" s="3" t="s">
        <v>57</v>
      </c>
      <c r="F165" s="3" t="s">
        <v>53</v>
      </c>
      <c r="G165" s="3" t="s">
        <v>25</v>
      </c>
      <c r="H165" s="4">
        <v>904</v>
      </c>
      <c r="I165" s="4">
        <v>300</v>
      </c>
      <c r="J165" s="3" t="s">
        <v>26</v>
      </c>
      <c r="K165" s="4" t="b">
        <v>1</v>
      </c>
      <c r="L165" s="6">
        <v>1</v>
      </c>
      <c r="M165" s="6">
        <v>1</v>
      </c>
      <c r="N165" s="3" t="s">
        <v>62</v>
      </c>
      <c r="O165" s="3"/>
      <c r="P165" s="3" t="s">
        <v>340</v>
      </c>
      <c r="Q165" s="3" t="s">
        <v>1781</v>
      </c>
      <c r="R165" s="3" t="s">
        <v>1005</v>
      </c>
      <c r="S165" s="3" t="s">
        <v>1006</v>
      </c>
      <c r="T165" s="3" t="s">
        <v>1007</v>
      </c>
      <c r="U165" s="11" t="s">
        <v>1782</v>
      </c>
      <c r="V165" s="11" t="s">
        <v>1031</v>
      </c>
      <c r="W165" s="11" t="s">
        <v>1032</v>
      </c>
      <c r="X165" s="13">
        <v>0.7</v>
      </c>
      <c r="Y165" s="12"/>
      <c r="Z165" s="11"/>
      <c r="AA165" s="11"/>
      <c r="AB165" s="11"/>
      <c r="AC165" s="11">
        <v>1</v>
      </c>
      <c r="AD165" s="11" t="s">
        <v>1201</v>
      </c>
      <c r="AE165" s="11" t="s">
        <v>1783</v>
      </c>
      <c r="AF165" s="11" t="s">
        <v>1014</v>
      </c>
      <c r="AG165" s="11" t="s">
        <v>1203</v>
      </c>
      <c r="AH165" s="11"/>
      <c r="AI165" s="11" t="s">
        <v>1016</v>
      </c>
      <c r="AJ165" s="11"/>
      <c r="AK165" s="11" t="s">
        <v>1204</v>
      </c>
      <c r="AL165" s="11" t="s">
        <v>1017</v>
      </c>
      <c r="AM165" s="11" t="s">
        <v>1205</v>
      </c>
      <c r="AN165" s="11" t="s">
        <v>1019</v>
      </c>
      <c r="AO165" s="11" t="s">
        <v>1784</v>
      </c>
      <c r="AP165" s="11" t="s">
        <v>1021</v>
      </c>
      <c r="AQ165" s="11" t="s">
        <v>1785</v>
      </c>
      <c r="AR165" s="11" t="s">
        <v>1023</v>
      </c>
      <c r="AS165" s="11" t="s">
        <v>1786</v>
      </c>
      <c r="AT165" s="11" t="s">
        <v>1025</v>
      </c>
      <c r="AU165" s="11" t="s">
        <v>1785</v>
      </c>
      <c r="AV165" s="11" t="s">
        <v>1786</v>
      </c>
      <c r="AW165" s="12">
        <v>2</v>
      </c>
      <c r="AX165" s="12">
        <v>2</v>
      </c>
      <c r="AY165" s="12">
        <v>2</v>
      </c>
      <c r="AZ165" s="12">
        <v>2</v>
      </c>
      <c r="BA165" s="12">
        <v>6</v>
      </c>
      <c r="BB165" s="12">
        <v>2</v>
      </c>
      <c r="BC165" s="12">
        <v>1</v>
      </c>
      <c r="BD165" s="11" t="s">
        <v>1026</v>
      </c>
      <c r="BE165" s="11" t="s">
        <v>1027</v>
      </c>
    </row>
    <row r="166" spans="1:57" s="8" customFormat="1" ht="58" x14ac:dyDescent="0.35">
      <c r="A166" s="7" t="s">
        <v>20</v>
      </c>
      <c r="B166" s="7" t="s">
        <v>21</v>
      </c>
      <c r="C166" s="3" t="s">
        <v>341</v>
      </c>
      <c r="D166" s="3" t="s">
        <v>30</v>
      </c>
      <c r="E166" s="3" t="s">
        <v>30</v>
      </c>
      <c r="F166" s="3" t="s">
        <v>31</v>
      </c>
      <c r="G166" s="3" t="s">
        <v>25</v>
      </c>
      <c r="H166" s="4">
        <v>376</v>
      </c>
      <c r="I166" s="4">
        <v>250</v>
      </c>
      <c r="J166" s="3" t="s">
        <v>26</v>
      </c>
      <c r="K166" s="4" t="b">
        <v>1</v>
      </c>
      <c r="L166" s="6">
        <v>1</v>
      </c>
      <c r="M166" s="6">
        <v>1</v>
      </c>
      <c r="N166" s="3" t="s">
        <v>32</v>
      </c>
      <c r="O166" s="3"/>
      <c r="P166" s="3" t="s">
        <v>182</v>
      </c>
      <c r="Q166" s="3" t="s">
        <v>1370</v>
      </c>
      <c r="R166" s="3" t="s">
        <v>1074</v>
      </c>
      <c r="S166" s="3" t="s">
        <v>1006</v>
      </c>
      <c r="T166" s="3" t="s">
        <v>1007</v>
      </c>
      <c r="U166" s="11" t="s">
        <v>1787</v>
      </c>
      <c r="V166" s="11" t="s">
        <v>1031</v>
      </c>
      <c r="W166" s="11" t="s">
        <v>1032</v>
      </c>
      <c r="X166" s="13">
        <v>0.7</v>
      </c>
      <c r="Y166" s="12"/>
      <c r="Z166" s="11"/>
      <c r="AA166" s="11"/>
      <c r="AB166" s="11"/>
      <c r="AC166" s="11">
        <v>0</v>
      </c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 t="s">
        <v>1019</v>
      </c>
      <c r="AO166" s="11" t="s">
        <v>1372</v>
      </c>
      <c r="AP166" s="11" t="s">
        <v>1021</v>
      </c>
      <c r="AQ166" s="11" t="s">
        <v>1373</v>
      </c>
      <c r="AR166" s="11" t="s">
        <v>1023</v>
      </c>
      <c r="AS166" s="11" t="s">
        <v>1374</v>
      </c>
      <c r="AT166" s="11" t="s">
        <v>1023</v>
      </c>
      <c r="AU166" s="11" t="s">
        <v>1373</v>
      </c>
      <c r="AV166" s="11" t="s">
        <v>1374</v>
      </c>
      <c r="AW166" s="12">
        <v>5</v>
      </c>
      <c r="AX166" s="12">
        <v>4</v>
      </c>
      <c r="AY166" s="12">
        <v>6</v>
      </c>
      <c r="AZ166" s="12">
        <v>5</v>
      </c>
      <c r="BA166" s="12">
        <v>5</v>
      </c>
      <c r="BB166" s="12">
        <v>5</v>
      </c>
      <c r="BC166" s="12">
        <v>4</v>
      </c>
      <c r="BD166" s="11" t="s">
        <v>1026</v>
      </c>
      <c r="BE166" s="11" t="s">
        <v>1027</v>
      </c>
    </row>
    <row r="167" spans="1:57" s="8" customFormat="1" ht="58" x14ac:dyDescent="0.35">
      <c r="A167" s="7" t="s">
        <v>20</v>
      </c>
      <c r="B167" s="7" t="s">
        <v>21</v>
      </c>
      <c r="C167" s="3" t="s">
        <v>342</v>
      </c>
      <c r="D167" s="3" t="s">
        <v>30</v>
      </c>
      <c r="E167" s="3" t="s">
        <v>30</v>
      </c>
      <c r="F167" s="3" t="s">
        <v>31</v>
      </c>
      <c r="G167" s="3" t="s">
        <v>25</v>
      </c>
      <c r="H167" s="4">
        <v>378</v>
      </c>
      <c r="I167" s="4">
        <v>250</v>
      </c>
      <c r="J167" s="3" t="s">
        <v>26</v>
      </c>
      <c r="K167" s="4" t="b">
        <v>1</v>
      </c>
      <c r="L167" s="6">
        <v>1</v>
      </c>
      <c r="M167" s="6">
        <v>1</v>
      </c>
      <c r="N167" s="3" t="s">
        <v>32</v>
      </c>
      <c r="O167" s="3"/>
      <c r="P167" s="3" t="s">
        <v>343</v>
      </c>
      <c r="Q167" s="3" t="s">
        <v>1788</v>
      </c>
      <c r="R167" s="3" t="s">
        <v>1074</v>
      </c>
      <c r="S167" s="3" t="s">
        <v>1006</v>
      </c>
      <c r="T167" s="3" t="s">
        <v>1007</v>
      </c>
      <c r="U167" s="11" t="s">
        <v>1789</v>
      </c>
      <c r="V167" s="11" t="s">
        <v>1031</v>
      </c>
      <c r="W167" s="11" t="s">
        <v>1032</v>
      </c>
      <c r="X167" s="13">
        <v>0.84</v>
      </c>
      <c r="Y167" s="12"/>
      <c r="Z167" s="11"/>
      <c r="AA167" s="11"/>
      <c r="AB167" s="11"/>
      <c r="AC167" s="11">
        <v>0</v>
      </c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 t="s">
        <v>1019</v>
      </c>
      <c r="AO167" s="11" t="s">
        <v>1372</v>
      </c>
      <c r="AP167" s="11" t="s">
        <v>1021</v>
      </c>
      <c r="AQ167" s="11" t="s">
        <v>1373</v>
      </c>
      <c r="AR167" s="11" t="s">
        <v>1023</v>
      </c>
      <c r="AS167" s="11" t="s">
        <v>1374</v>
      </c>
      <c r="AT167" s="11" t="s">
        <v>1023</v>
      </c>
      <c r="AU167" s="11" t="s">
        <v>1373</v>
      </c>
      <c r="AV167" s="11" t="s">
        <v>1374</v>
      </c>
      <c r="AW167" s="12">
        <v>5</v>
      </c>
      <c r="AX167" s="12">
        <v>4</v>
      </c>
      <c r="AY167" s="12">
        <v>6</v>
      </c>
      <c r="AZ167" s="12">
        <v>5</v>
      </c>
      <c r="BA167" s="12">
        <v>5</v>
      </c>
      <c r="BB167" s="12">
        <v>5</v>
      </c>
      <c r="BC167" s="12">
        <v>4</v>
      </c>
      <c r="BD167" s="11" t="s">
        <v>1026</v>
      </c>
      <c r="BE167" s="11" t="s">
        <v>1027</v>
      </c>
    </row>
    <row r="168" spans="1:57" s="8" customFormat="1" ht="217.5" x14ac:dyDescent="0.35">
      <c r="A168" s="7" t="s">
        <v>20</v>
      </c>
      <c r="B168" s="7" t="s">
        <v>21</v>
      </c>
      <c r="C168" s="3" t="s">
        <v>344</v>
      </c>
      <c r="D168" s="3" t="s">
        <v>35</v>
      </c>
      <c r="E168" s="3" t="s">
        <v>35</v>
      </c>
      <c r="F168" s="3" t="s">
        <v>36</v>
      </c>
      <c r="G168" s="3" t="s">
        <v>25</v>
      </c>
      <c r="H168" s="4">
        <v>2623</v>
      </c>
      <c r="I168" s="4">
        <v>400</v>
      </c>
      <c r="J168" s="3" t="s">
        <v>26</v>
      </c>
      <c r="K168" s="4" t="b">
        <v>1</v>
      </c>
      <c r="L168" s="6">
        <v>1</v>
      </c>
      <c r="M168" s="6">
        <v>1</v>
      </c>
      <c r="N168" s="3" t="s">
        <v>345</v>
      </c>
      <c r="O168" s="3"/>
      <c r="P168" s="3" t="s">
        <v>346</v>
      </c>
      <c r="Q168" s="3" t="s">
        <v>1790</v>
      </c>
      <c r="R168" s="3" t="s">
        <v>1139</v>
      </c>
      <c r="S168" s="3" t="s">
        <v>1791</v>
      </c>
      <c r="T168" s="3" t="s">
        <v>1792</v>
      </c>
      <c r="U168" s="11" t="s">
        <v>1793</v>
      </c>
      <c r="V168" s="11" t="s">
        <v>1043</v>
      </c>
      <c r="W168" s="11" t="s">
        <v>1044</v>
      </c>
      <c r="X168" s="13">
        <v>0.97</v>
      </c>
      <c r="Y168" s="12" t="s">
        <v>1794</v>
      </c>
      <c r="Z168" s="11"/>
      <c r="AA168" s="11"/>
      <c r="AB168" s="11"/>
      <c r="AC168" s="11">
        <v>0</v>
      </c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 t="s">
        <v>1019</v>
      </c>
      <c r="AO168" s="11" t="s">
        <v>1795</v>
      </c>
      <c r="AP168" s="11" t="s">
        <v>1021</v>
      </c>
      <c r="AQ168" s="11" t="s">
        <v>1796</v>
      </c>
      <c r="AR168" s="11" t="s">
        <v>1023</v>
      </c>
      <c r="AS168" s="11" t="s">
        <v>1797</v>
      </c>
      <c r="AT168" s="11" t="s">
        <v>1025</v>
      </c>
      <c r="AU168" s="11" t="s">
        <v>1796</v>
      </c>
      <c r="AV168" s="11" t="s">
        <v>1797</v>
      </c>
      <c r="AW168" s="12">
        <v>3</v>
      </c>
      <c r="AX168" s="12">
        <v>1</v>
      </c>
      <c r="AY168" s="12">
        <v>1</v>
      </c>
      <c r="AZ168" s="12">
        <v>3</v>
      </c>
      <c r="BA168" s="12">
        <v>2</v>
      </c>
      <c r="BB168" s="12">
        <v>3</v>
      </c>
      <c r="BC168" s="12">
        <v>1</v>
      </c>
      <c r="BD168" s="11" t="s">
        <v>1026</v>
      </c>
      <c r="BE168" s="11" t="s">
        <v>1027</v>
      </c>
    </row>
    <row r="169" spans="1:57" s="8" customFormat="1" ht="58" x14ac:dyDescent="0.35">
      <c r="A169" s="7" t="s">
        <v>20</v>
      </c>
      <c r="B169" s="7" t="s">
        <v>21</v>
      </c>
      <c r="C169" s="3" t="s">
        <v>347</v>
      </c>
      <c r="D169" s="3" t="s">
        <v>57</v>
      </c>
      <c r="E169" s="3"/>
      <c r="F169" s="3" t="s">
        <v>53</v>
      </c>
      <c r="G169" s="3" t="s">
        <v>50</v>
      </c>
      <c r="H169" s="4">
        <v>387</v>
      </c>
      <c r="I169" s="4">
        <v>300</v>
      </c>
      <c r="J169" s="3" t="s">
        <v>26</v>
      </c>
      <c r="K169" s="4" t="b">
        <v>0</v>
      </c>
      <c r="L169" s="6">
        <v>0.33333333333333298</v>
      </c>
      <c r="M169" s="6">
        <v>0.33333333333333298</v>
      </c>
      <c r="N169" s="3" t="s">
        <v>58</v>
      </c>
      <c r="O169" s="3" t="s">
        <v>59</v>
      </c>
      <c r="P169" s="3" t="s">
        <v>348</v>
      </c>
      <c r="Q169" s="3" t="s">
        <v>1798</v>
      </c>
      <c r="R169" s="3" t="s">
        <v>1074</v>
      </c>
      <c r="S169" s="3" t="s">
        <v>1006</v>
      </c>
      <c r="T169" s="3" t="s">
        <v>1007</v>
      </c>
      <c r="U169" s="11" t="s">
        <v>1799</v>
      </c>
      <c r="V169" s="11" t="s">
        <v>1031</v>
      </c>
      <c r="W169" s="11" t="s">
        <v>1032</v>
      </c>
      <c r="X169" s="13">
        <v>0.7</v>
      </c>
      <c r="Y169" s="12"/>
      <c r="Z169" s="11"/>
      <c r="AA169" s="11"/>
      <c r="AB169" s="11"/>
      <c r="AC169" s="11">
        <v>0</v>
      </c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 t="s">
        <v>1019</v>
      </c>
      <c r="AO169" s="11" t="s">
        <v>1800</v>
      </c>
      <c r="AP169" s="11" t="s">
        <v>1021</v>
      </c>
      <c r="AQ169" s="11" t="s">
        <v>1801</v>
      </c>
      <c r="AR169" s="11" t="s">
        <v>1050</v>
      </c>
      <c r="AS169" s="11" t="s">
        <v>1802</v>
      </c>
      <c r="AT169" s="11" t="s">
        <v>1048</v>
      </c>
      <c r="AU169" s="11" t="s">
        <v>1801</v>
      </c>
      <c r="AV169" s="11" t="s">
        <v>1802</v>
      </c>
      <c r="AW169" s="12">
        <v>1</v>
      </c>
      <c r="AX169" s="12">
        <v>1</v>
      </c>
      <c r="AY169" s="12">
        <v>1</v>
      </c>
      <c r="AZ169" s="12">
        <v>1</v>
      </c>
      <c r="BA169" s="12">
        <v>1</v>
      </c>
      <c r="BB169" s="12">
        <v>1</v>
      </c>
      <c r="BC169" s="12">
        <v>2</v>
      </c>
      <c r="BD169" s="11" t="s">
        <v>1026</v>
      </c>
      <c r="BE169" s="11" t="s">
        <v>1051</v>
      </c>
    </row>
    <row r="170" spans="1:57" s="8" customFormat="1" ht="72.5" x14ac:dyDescent="0.35">
      <c r="A170" s="7" t="s">
        <v>20</v>
      </c>
      <c r="B170" s="7" t="s">
        <v>21</v>
      </c>
      <c r="C170" s="3" t="s">
        <v>349</v>
      </c>
      <c r="D170" s="3" t="s">
        <v>98</v>
      </c>
      <c r="E170" s="3"/>
      <c r="F170" s="3" t="s">
        <v>53</v>
      </c>
      <c r="G170" s="3" t="s">
        <v>50</v>
      </c>
      <c r="H170" s="4">
        <v>418</v>
      </c>
      <c r="I170" s="4">
        <v>300</v>
      </c>
      <c r="J170" s="3" t="s">
        <v>26</v>
      </c>
      <c r="K170" s="4" t="b">
        <v>0</v>
      </c>
      <c r="L170" s="6">
        <v>0.5</v>
      </c>
      <c r="M170" s="6">
        <v>0.66666666666666596</v>
      </c>
      <c r="N170" s="3" t="s">
        <v>303</v>
      </c>
      <c r="O170" s="3" t="s">
        <v>304</v>
      </c>
      <c r="P170" s="3" t="s">
        <v>350</v>
      </c>
      <c r="Q170" s="3" t="s">
        <v>1803</v>
      </c>
      <c r="R170" s="3" t="s">
        <v>1074</v>
      </c>
      <c r="S170" s="3" t="s">
        <v>1006</v>
      </c>
      <c r="T170" s="3" t="s">
        <v>1007</v>
      </c>
      <c r="U170" s="11" t="s">
        <v>1804</v>
      </c>
      <c r="V170" s="11" t="s">
        <v>1031</v>
      </c>
      <c r="W170" s="11" t="s">
        <v>1032</v>
      </c>
      <c r="X170" s="13">
        <v>0.7</v>
      </c>
      <c r="Y170" s="12"/>
      <c r="Z170" s="11"/>
      <c r="AA170" s="11"/>
      <c r="AB170" s="11"/>
      <c r="AC170" s="11">
        <v>0</v>
      </c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 t="s">
        <v>1019</v>
      </c>
      <c r="AO170" s="11" t="s">
        <v>1805</v>
      </c>
      <c r="AP170" s="11" t="s">
        <v>1114</v>
      </c>
      <c r="AQ170" s="11"/>
      <c r="AR170" s="11" t="s">
        <v>1034</v>
      </c>
      <c r="AS170" s="11"/>
      <c r="AT170" s="11" t="s">
        <v>1034</v>
      </c>
      <c r="AU170" s="11"/>
      <c r="AV170" s="11"/>
      <c r="AW170" s="12">
        <v>1</v>
      </c>
      <c r="AX170" s="12">
        <v>1</v>
      </c>
      <c r="AY170" s="12">
        <v>1</v>
      </c>
      <c r="AZ170" s="12"/>
      <c r="BA170" s="12"/>
      <c r="BB170" s="12"/>
      <c r="BC170" s="12"/>
      <c r="BD170" s="11" t="s">
        <v>1115</v>
      </c>
      <c r="BE170" s="11" t="s">
        <v>1116</v>
      </c>
    </row>
    <row r="171" spans="1:57" s="8" customFormat="1" ht="43.5" x14ac:dyDescent="0.35">
      <c r="A171" s="7" t="s">
        <v>20</v>
      </c>
      <c r="B171" s="7" t="s">
        <v>21</v>
      </c>
      <c r="C171" s="3" t="s">
        <v>351</v>
      </c>
      <c r="D171" s="3" t="s">
        <v>122</v>
      </c>
      <c r="E171" s="3"/>
      <c r="F171" s="3" t="s">
        <v>53</v>
      </c>
      <c r="G171" s="3" t="s">
        <v>50</v>
      </c>
      <c r="H171" s="4">
        <v>189</v>
      </c>
      <c r="I171" s="4">
        <v>150</v>
      </c>
      <c r="J171" s="3" t="s">
        <v>26</v>
      </c>
      <c r="K171" s="4" t="b">
        <v>1</v>
      </c>
      <c r="L171" s="6">
        <v>1</v>
      </c>
      <c r="M171" s="6">
        <v>1</v>
      </c>
      <c r="N171" s="3" t="s">
        <v>123</v>
      </c>
      <c r="O171" s="3"/>
      <c r="P171" s="3" t="s">
        <v>352</v>
      </c>
      <c r="Q171" s="3" t="s">
        <v>1806</v>
      </c>
      <c r="R171" s="3" t="s">
        <v>1807</v>
      </c>
      <c r="S171" s="3" t="s">
        <v>1006</v>
      </c>
      <c r="T171" s="3" t="s">
        <v>1052</v>
      </c>
      <c r="U171" s="11" t="s">
        <v>1808</v>
      </c>
      <c r="V171" s="11" t="s">
        <v>1031</v>
      </c>
      <c r="W171" s="11" t="s">
        <v>1032</v>
      </c>
      <c r="X171" s="13">
        <v>0.7</v>
      </c>
      <c r="Y171" s="12"/>
      <c r="Z171" s="11"/>
      <c r="AA171" s="11"/>
      <c r="AB171" s="11"/>
      <c r="AC171" s="11">
        <v>0</v>
      </c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 t="s">
        <v>1019</v>
      </c>
      <c r="AO171" s="11" t="s">
        <v>1809</v>
      </c>
      <c r="AP171" s="11" t="s">
        <v>1021</v>
      </c>
      <c r="AQ171" s="11" t="s">
        <v>1810</v>
      </c>
      <c r="AR171" s="11" t="s">
        <v>1050</v>
      </c>
      <c r="AS171" s="11" t="s">
        <v>1811</v>
      </c>
      <c r="AT171" s="11" t="s">
        <v>1050</v>
      </c>
      <c r="AU171" s="11" t="s">
        <v>1810</v>
      </c>
      <c r="AV171" s="11" t="s">
        <v>1811</v>
      </c>
      <c r="AW171" s="12">
        <v>1</v>
      </c>
      <c r="AX171" s="12">
        <v>1</v>
      </c>
      <c r="AY171" s="12">
        <v>1</v>
      </c>
      <c r="AZ171" s="12">
        <v>1</v>
      </c>
      <c r="BA171" s="12">
        <v>1</v>
      </c>
      <c r="BB171" s="12">
        <v>1</v>
      </c>
      <c r="BC171" s="12">
        <v>1</v>
      </c>
      <c r="BD171" s="11" t="s">
        <v>1026</v>
      </c>
      <c r="BE171" s="11" t="s">
        <v>1103</v>
      </c>
    </row>
    <row r="172" spans="1:57" s="8" customFormat="1" ht="58" x14ac:dyDescent="0.35">
      <c r="A172" s="7" t="s">
        <v>20</v>
      </c>
      <c r="B172" s="7" t="s">
        <v>21</v>
      </c>
      <c r="C172" s="3" t="s">
        <v>353</v>
      </c>
      <c r="D172" s="3" t="s">
        <v>98</v>
      </c>
      <c r="E172" s="3"/>
      <c r="F172" s="3" t="s">
        <v>53</v>
      </c>
      <c r="G172" s="3" t="s">
        <v>50</v>
      </c>
      <c r="H172" s="4">
        <v>226</v>
      </c>
      <c r="I172" s="4">
        <v>300</v>
      </c>
      <c r="J172" s="3" t="s">
        <v>74</v>
      </c>
      <c r="K172" s="4" t="b">
        <v>0</v>
      </c>
      <c r="L172" s="6">
        <v>0.5</v>
      </c>
      <c r="M172" s="6">
        <v>0.66666666666666596</v>
      </c>
      <c r="N172" s="3" t="s">
        <v>303</v>
      </c>
      <c r="O172" s="3" t="s">
        <v>304</v>
      </c>
      <c r="P172" s="3" t="s">
        <v>354</v>
      </c>
      <c r="Q172" s="3" t="s">
        <v>1812</v>
      </c>
      <c r="R172" s="3" t="s">
        <v>1074</v>
      </c>
      <c r="S172" s="3" t="s">
        <v>1006</v>
      </c>
      <c r="T172" s="3" t="s">
        <v>1007</v>
      </c>
      <c r="U172" s="11" t="s">
        <v>1813</v>
      </c>
      <c r="V172" s="11" t="s">
        <v>1031</v>
      </c>
      <c r="W172" s="11" t="s">
        <v>1032</v>
      </c>
      <c r="X172" s="13">
        <v>0.7</v>
      </c>
      <c r="Y172" s="12"/>
      <c r="Z172" s="11"/>
      <c r="AA172" s="11"/>
      <c r="AB172" s="11"/>
      <c r="AC172" s="11">
        <v>0</v>
      </c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 t="s">
        <v>1019</v>
      </c>
      <c r="AO172" s="11" t="s">
        <v>1814</v>
      </c>
      <c r="AP172" s="11" t="s">
        <v>1021</v>
      </c>
      <c r="AQ172" s="11" t="s">
        <v>1815</v>
      </c>
      <c r="AR172" s="11" t="s">
        <v>1050</v>
      </c>
      <c r="AS172" s="11" t="s">
        <v>1816</v>
      </c>
      <c r="AT172" s="11" t="s">
        <v>1048</v>
      </c>
      <c r="AU172" s="11" t="s">
        <v>1815</v>
      </c>
      <c r="AV172" s="11" t="s">
        <v>1816</v>
      </c>
      <c r="AW172" s="12">
        <v>1</v>
      </c>
      <c r="AX172" s="12">
        <v>1</v>
      </c>
      <c r="AY172" s="12">
        <v>1</v>
      </c>
      <c r="AZ172" s="12">
        <v>1</v>
      </c>
      <c r="BA172" s="12">
        <v>1</v>
      </c>
      <c r="BB172" s="12">
        <v>1</v>
      </c>
      <c r="BC172" s="12">
        <v>2</v>
      </c>
      <c r="BD172" s="11" t="s">
        <v>1026</v>
      </c>
      <c r="BE172" s="11" t="s">
        <v>1051</v>
      </c>
    </row>
    <row r="173" spans="1:57" s="8" customFormat="1" ht="72.5" x14ac:dyDescent="0.35">
      <c r="A173" s="7" t="s">
        <v>20</v>
      </c>
      <c r="B173" s="7" t="s">
        <v>21</v>
      </c>
      <c r="C173" s="3" t="s">
        <v>355</v>
      </c>
      <c r="D173" s="3" t="s">
        <v>57</v>
      </c>
      <c r="E173" s="3" t="s">
        <v>57</v>
      </c>
      <c r="F173" s="3" t="s">
        <v>53</v>
      </c>
      <c r="G173" s="3" t="s">
        <v>25</v>
      </c>
      <c r="H173" s="4">
        <v>572</v>
      </c>
      <c r="I173" s="4">
        <v>300</v>
      </c>
      <c r="J173" s="3" t="s">
        <v>26</v>
      </c>
      <c r="K173" s="4" t="b">
        <v>1</v>
      </c>
      <c r="L173" s="6">
        <v>1</v>
      </c>
      <c r="M173" s="6">
        <v>1</v>
      </c>
      <c r="N173" s="3" t="s">
        <v>62</v>
      </c>
      <c r="O173" s="3"/>
      <c r="P173" s="3" t="s">
        <v>356</v>
      </c>
      <c r="Q173" s="3" t="s">
        <v>1817</v>
      </c>
      <c r="R173" s="3" t="s">
        <v>1029</v>
      </c>
      <c r="S173" s="3" t="s">
        <v>1006</v>
      </c>
      <c r="T173" s="3" t="s">
        <v>1007</v>
      </c>
      <c r="U173" s="11" t="s">
        <v>1818</v>
      </c>
      <c r="V173" s="11" t="s">
        <v>1064</v>
      </c>
      <c r="W173" s="11" t="s">
        <v>1065</v>
      </c>
      <c r="X173" s="13">
        <v>1</v>
      </c>
      <c r="Y173" s="12"/>
      <c r="Z173" s="11"/>
      <c r="AA173" s="11"/>
      <c r="AB173" s="11"/>
      <c r="AC173" s="11">
        <v>0</v>
      </c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 t="s">
        <v>1019</v>
      </c>
      <c r="AO173" s="11" t="s">
        <v>1784</v>
      </c>
      <c r="AP173" s="11" t="s">
        <v>1021</v>
      </c>
      <c r="AQ173" s="11" t="s">
        <v>1785</v>
      </c>
      <c r="AR173" s="11" t="s">
        <v>1023</v>
      </c>
      <c r="AS173" s="11" t="s">
        <v>1786</v>
      </c>
      <c r="AT173" s="11" t="s">
        <v>1025</v>
      </c>
      <c r="AU173" s="11" t="s">
        <v>1785</v>
      </c>
      <c r="AV173" s="11" t="s">
        <v>1786</v>
      </c>
      <c r="AW173" s="12">
        <v>2</v>
      </c>
      <c r="AX173" s="12">
        <v>2</v>
      </c>
      <c r="AY173" s="12">
        <v>2</v>
      </c>
      <c r="AZ173" s="12">
        <v>2</v>
      </c>
      <c r="BA173" s="12">
        <v>6</v>
      </c>
      <c r="BB173" s="12">
        <v>2</v>
      </c>
      <c r="BC173" s="12">
        <v>1</v>
      </c>
      <c r="BD173" s="11" t="s">
        <v>1026</v>
      </c>
      <c r="BE173" s="11" t="s">
        <v>1027</v>
      </c>
    </row>
    <row r="174" spans="1:57" s="8" customFormat="1" ht="72.5" x14ac:dyDescent="0.35">
      <c r="A174" s="7" t="s">
        <v>20</v>
      </c>
      <c r="B174" s="7" t="s">
        <v>21</v>
      </c>
      <c r="C174" s="3" t="s">
        <v>355</v>
      </c>
      <c r="D174" s="3" t="s">
        <v>98</v>
      </c>
      <c r="E174" s="3"/>
      <c r="F174" s="3" t="s">
        <v>53</v>
      </c>
      <c r="G174" s="3" t="s">
        <v>50</v>
      </c>
      <c r="H174" s="4">
        <v>572</v>
      </c>
      <c r="I174" s="4">
        <v>300</v>
      </c>
      <c r="J174" s="3" t="s">
        <v>26</v>
      </c>
      <c r="K174" s="4" t="b">
        <v>0</v>
      </c>
      <c r="L174" s="6">
        <v>0.5</v>
      </c>
      <c r="M174" s="6">
        <v>0.5</v>
      </c>
      <c r="N174" s="3" t="s">
        <v>58</v>
      </c>
      <c r="O174" s="3" t="s">
        <v>99</v>
      </c>
      <c r="P174" s="3" t="s">
        <v>356</v>
      </c>
      <c r="Q174" s="3" t="s">
        <v>1817</v>
      </c>
      <c r="R174" s="3" t="s">
        <v>1029</v>
      </c>
      <c r="S174" s="3" t="s">
        <v>1006</v>
      </c>
      <c r="T174" s="3" t="s">
        <v>1007</v>
      </c>
      <c r="U174" s="11" t="s">
        <v>1818</v>
      </c>
      <c r="V174" s="11" t="s">
        <v>1064</v>
      </c>
      <c r="W174" s="11" t="s">
        <v>1065</v>
      </c>
      <c r="X174" s="13">
        <v>1</v>
      </c>
      <c r="Y174" s="12"/>
      <c r="Z174" s="11"/>
      <c r="AA174" s="11"/>
      <c r="AB174" s="11"/>
      <c r="AC174" s="11">
        <v>0</v>
      </c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 t="s">
        <v>1019</v>
      </c>
      <c r="AO174" s="11" t="s">
        <v>1784</v>
      </c>
      <c r="AP174" s="11" t="s">
        <v>1021</v>
      </c>
      <c r="AQ174" s="11" t="s">
        <v>1785</v>
      </c>
      <c r="AR174" s="11" t="s">
        <v>1023</v>
      </c>
      <c r="AS174" s="11" t="s">
        <v>1786</v>
      </c>
      <c r="AT174" s="11" t="s">
        <v>1025</v>
      </c>
      <c r="AU174" s="11" t="s">
        <v>1785</v>
      </c>
      <c r="AV174" s="11" t="s">
        <v>1786</v>
      </c>
      <c r="AW174" s="12">
        <v>2</v>
      </c>
      <c r="AX174" s="12">
        <v>2</v>
      </c>
      <c r="AY174" s="12">
        <v>2</v>
      </c>
      <c r="AZ174" s="12">
        <v>2</v>
      </c>
      <c r="BA174" s="12">
        <v>6</v>
      </c>
      <c r="BB174" s="12">
        <v>2</v>
      </c>
      <c r="BC174" s="12">
        <v>1</v>
      </c>
      <c r="BD174" s="11" t="s">
        <v>1026</v>
      </c>
      <c r="BE174" s="11" t="s">
        <v>1027</v>
      </c>
    </row>
    <row r="175" spans="1:57" s="8" customFormat="1" ht="72.5" x14ac:dyDescent="0.35">
      <c r="A175" s="7" t="s">
        <v>20</v>
      </c>
      <c r="B175" s="7" t="s">
        <v>21</v>
      </c>
      <c r="C175" s="3" t="s">
        <v>357</v>
      </c>
      <c r="D175" s="3" t="s">
        <v>130</v>
      </c>
      <c r="E175" s="3" t="s">
        <v>130</v>
      </c>
      <c r="F175" s="3" t="s">
        <v>24</v>
      </c>
      <c r="G175" s="3" t="s">
        <v>25</v>
      </c>
      <c r="H175" s="4">
        <v>1169</v>
      </c>
      <c r="I175" s="4">
        <v>400</v>
      </c>
      <c r="J175" s="3" t="s">
        <v>26</v>
      </c>
      <c r="K175" s="4" t="b">
        <v>1</v>
      </c>
      <c r="L175" s="6">
        <v>1</v>
      </c>
      <c r="M175" s="6">
        <v>1</v>
      </c>
      <c r="N175" s="3" t="s">
        <v>131</v>
      </c>
      <c r="O175" s="3"/>
      <c r="P175" s="3" t="s">
        <v>358</v>
      </c>
      <c r="Q175" s="3" t="s">
        <v>1819</v>
      </c>
      <c r="R175" s="3" t="s">
        <v>1029</v>
      </c>
      <c r="S175" s="3" t="s">
        <v>1006</v>
      </c>
      <c r="T175" s="3" t="s">
        <v>1007</v>
      </c>
      <c r="U175" s="11" t="s">
        <v>1820</v>
      </c>
      <c r="V175" s="11" t="s">
        <v>1031</v>
      </c>
      <c r="W175" s="11" t="s">
        <v>1032</v>
      </c>
      <c r="X175" s="13">
        <v>0.7</v>
      </c>
      <c r="Y175" s="12"/>
      <c r="Z175" s="11"/>
      <c r="AA175" s="11"/>
      <c r="AB175" s="11"/>
      <c r="AC175" s="11">
        <v>0</v>
      </c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 t="s">
        <v>1019</v>
      </c>
      <c r="AO175" s="11" t="s">
        <v>1821</v>
      </c>
      <c r="AP175" s="11" t="s">
        <v>1114</v>
      </c>
      <c r="AQ175" s="11"/>
      <c r="AR175" s="11" t="s">
        <v>1034</v>
      </c>
      <c r="AS175" s="11"/>
      <c r="AT175" s="11" t="s">
        <v>1034</v>
      </c>
      <c r="AU175" s="11"/>
      <c r="AV175" s="11"/>
      <c r="AW175" s="12">
        <v>1</v>
      </c>
      <c r="AX175" s="12">
        <v>1</v>
      </c>
      <c r="AY175" s="12">
        <v>1</v>
      </c>
      <c r="AZ175" s="12"/>
      <c r="BA175" s="12"/>
      <c r="BB175" s="12"/>
      <c r="BC175" s="12"/>
      <c r="BD175" s="11" t="s">
        <v>1115</v>
      </c>
      <c r="BE175" s="11" t="s">
        <v>1116</v>
      </c>
    </row>
    <row r="176" spans="1:57" s="8" customFormat="1" ht="72.5" x14ac:dyDescent="0.35">
      <c r="A176" s="7" t="s">
        <v>20</v>
      </c>
      <c r="B176" s="7" t="s">
        <v>21</v>
      </c>
      <c r="C176" s="3" t="s">
        <v>359</v>
      </c>
      <c r="D176" s="3" t="s">
        <v>41</v>
      </c>
      <c r="E176" s="3"/>
      <c r="F176" s="3" t="s">
        <v>36</v>
      </c>
      <c r="G176" s="3" t="s">
        <v>50</v>
      </c>
      <c r="H176" s="4">
        <v>424</v>
      </c>
      <c r="I176" s="4">
        <v>150</v>
      </c>
      <c r="J176" s="3" t="s">
        <v>26</v>
      </c>
      <c r="K176" s="4" t="b">
        <v>1</v>
      </c>
      <c r="L176" s="6">
        <v>1</v>
      </c>
      <c r="M176" s="6">
        <v>1</v>
      </c>
      <c r="N176" s="3" t="s">
        <v>42</v>
      </c>
      <c r="O176" s="3"/>
      <c r="P176" s="3" t="s">
        <v>360</v>
      </c>
      <c r="Q176" s="3" t="s">
        <v>1493</v>
      </c>
      <c r="R176" s="3" t="s">
        <v>1139</v>
      </c>
      <c r="S176" s="3" t="s">
        <v>1822</v>
      </c>
      <c r="T176" s="3" t="s">
        <v>1007</v>
      </c>
      <c r="U176" s="11" t="s">
        <v>1823</v>
      </c>
      <c r="V176" s="11" t="s">
        <v>1497</v>
      </c>
      <c r="W176" s="11" t="s">
        <v>1498</v>
      </c>
      <c r="X176" s="13">
        <v>0.8</v>
      </c>
      <c r="Y176" s="12"/>
      <c r="Z176" s="11" t="s">
        <v>1824</v>
      </c>
      <c r="AA176" s="11"/>
      <c r="AB176" s="11"/>
      <c r="AC176" s="11">
        <v>0</v>
      </c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 t="s">
        <v>1019</v>
      </c>
      <c r="AO176" s="11" t="s">
        <v>1825</v>
      </c>
      <c r="AP176" s="11" t="s">
        <v>1114</v>
      </c>
      <c r="AQ176" s="11"/>
      <c r="AR176" s="11" t="s">
        <v>1034</v>
      </c>
      <c r="AS176" s="11"/>
      <c r="AT176" s="11" t="s">
        <v>1034</v>
      </c>
      <c r="AU176" s="11"/>
      <c r="AV176" s="11"/>
      <c r="AW176" s="12">
        <v>1</v>
      </c>
      <c r="AX176" s="12">
        <v>1</v>
      </c>
      <c r="AY176" s="12">
        <v>1</v>
      </c>
      <c r="AZ176" s="12"/>
      <c r="BA176" s="12"/>
      <c r="BB176" s="12"/>
      <c r="BC176" s="12"/>
      <c r="BD176" s="11" t="s">
        <v>1115</v>
      </c>
      <c r="BE176" s="11" t="s">
        <v>1116</v>
      </c>
    </row>
    <row r="177" spans="1:57" s="8" customFormat="1" ht="58" x14ac:dyDescent="0.35">
      <c r="A177" s="7" t="s">
        <v>20</v>
      </c>
      <c r="B177" s="7" t="s">
        <v>21</v>
      </c>
      <c r="C177" s="3" t="s">
        <v>361</v>
      </c>
      <c r="D177" s="3" t="s">
        <v>57</v>
      </c>
      <c r="E177" s="3"/>
      <c r="F177" s="3" t="s">
        <v>53</v>
      </c>
      <c r="G177" s="3" t="s">
        <v>50</v>
      </c>
      <c r="H177" s="4">
        <v>739</v>
      </c>
      <c r="I177" s="4">
        <v>300</v>
      </c>
      <c r="J177" s="3" t="s">
        <v>26</v>
      </c>
      <c r="K177" s="4" t="b">
        <v>1</v>
      </c>
      <c r="L177" s="6">
        <v>1</v>
      </c>
      <c r="M177" s="6">
        <v>1</v>
      </c>
      <c r="N177" s="3" t="s">
        <v>62</v>
      </c>
      <c r="O177" s="3"/>
      <c r="P177" s="3" t="s">
        <v>362</v>
      </c>
      <c r="Q177" s="3" t="s">
        <v>1826</v>
      </c>
      <c r="R177" s="3" t="s">
        <v>1029</v>
      </c>
      <c r="S177" s="3" t="s">
        <v>1006</v>
      </c>
      <c r="T177" s="3" t="s">
        <v>1007</v>
      </c>
      <c r="U177" s="11" t="s">
        <v>1827</v>
      </c>
      <c r="V177" s="11" t="s">
        <v>1031</v>
      </c>
      <c r="W177" s="11" t="s">
        <v>1032</v>
      </c>
      <c r="X177" s="13">
        <v>0.7</v>
      </c>
      <c r="Y177" s="12"/>
      <c r="Z177" s="11"/>
      <c r="AA177" s="11"/>
      <c r="AB177" s="11"/>
      <c r="AC177" s="11">
        <v>0</v>
      </c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 t="s">
        <v>1019</v>
      </c>
      <c r="AO177" s="11" t="s">
        <v>1828</v>
      </c>
      <c r="AP177" s="11" t="s">
        <v>1021</v>
      </c>
      <c r="AQ177" s="11" t="s">
        <v>1829</v>
      </c>
      <c r="AR177" s="11" t="s">
        <v>1048</v>
      </c>
      <c r="AS177" s="11" t="s">
        <v>1830</v>
      </c>
      <c r="AT177" s="11" t="s">
        <v>1050</v>
      </c>
      <c r="AU177" s="11" t="s">
        <v>1829</v>
      </c>
      <c r="AV177" s="11" t="s">
        <v>1830</v>
      </c>
      <c r="AW177" s="12">
        <v>1</v>
      </c>
      <c r="AX177" s="12">
        <v>1</v>
      </c>
      <c r="AY177" s="12">
        <v>1</v>
      </c>
      <c r="AZ177" s="12">
        <v>1</v>
      </c>
      <c r="BA177" s="12">
        <v>2</v>
      </c>
      <c r="BB177" s="12">
        <v>1</v>
      </c>
      <c r="BC177" s="12">
        <v>1</v>
      </c>
      <c r="BD177" s="11" t="s">
        <v>1026</v>
      </c>
      <c r="BE177" s="11" t="s">
        <v>1051</v>
      </c>
    </row>
    <row r="178" spans="1:57" s="8" customFormat="1" ht="87" x14ac:dyDescent="0.35">
      <c r="A178" s="7" t="s">
        <v>20</v>
      </c>
      <c r="B178" s="7" t="s">
        <v>21</v>
      </c>
      <c r="C178" s="3" t="s">
        <v>363</v>
      </c>
      <c r="D178" s="3" t="s">
        <v>52</v>
      </c>
      <c r="E178" s="3"/>
      <c r="F178" s="3" t="s">
        <v>53</v>
      </c>
      <c r="G178" s="3" t="s">
        <v>50</v>
      </c>
      <c r="H178" s="4">
        <v>672</v>
      </c>
      <c r="I178" s="4">
        <v>500</v>
      </c>
      <c r="J178" s="3" t="s">
        <v>26</v>
      </c>
      <c r="K178" s="4" t="b">
        <v>0</v>
      </c>
      <c r="L178" s="6">
        <v>0.33333333333333298</v>
      </c>
      <c r="M178" s="6">
        <v>0.33333333333333298</v>
      </c>
      <c r="N178" s="3" t="s">
        <v>54</v>
      </c>
      <c r="O178" s="3" t="s">
        <v>55</v>
      </c>
      <c r="P178" s="3" t="s">
        <v>364</v>
      </c>
      <c r="Q178" s="3" t="s">
        <v>1831</v>
      </c>
      <c r="R178" s="3" t="s">
        <v>1029</v>
      </c>
      <c r="S178" s="3" t="s">
        <v>1006</v>
      </c>
      <c r="T178" s="3" t="s">
        <v>1007</v>
      </c>
      <c r="U178" s="11" t="s">
        <v>1832</v>
      </c>
      <c r="V178" s="11" t="s">
        <v>1031</v>
      </c>
      <c r="W178" s="11" t="s">
        <v>1032</v>
      </c>
      <c r="X178" s="13">
        <v>0.7</v>
      </c>
      <c r="Y178" s="12"/>
      <c r="Z178" s="11"/>
      <c r="AA178" s="11"/>
      <c r="AB178" s="11"/>
      <c r="AC178" s="11">
        <v>6</v>
      </c>
      <c r="AD178" s="11" t="s">
        <v>1076</v>
      </c>
      <c r="AE178" s="11" t="s">
        <v>1833</v>
      </c>
      <c r="AF178" s="11" t="s">
        <v>1014</v>
      </c>
      <c r="AG178" s="11" t="s">
        <v>1015</v>
      </c>
      <c r="AH178" s="11" t="s">
        <v>1579</v>
      </c>
      <c r="AI178" s="11" t="s">
        <v>1016</v>
      </c>
      <c r="AJ178" s="11"/>
      <c r="AK178" s="11" t="s">
        <v>1079</v>
      </c>
      <c r="AL178" s="11" t="s">
        <v>1017</v>
      </c>
      <c r="AM178" s="11" t="s">
        <v>1080</v>
      </c>
      <c r="AN178" s="11" t="s">
        <v>1019</v>
      </c>
      <c r="AO178" s="11" t="s">
        <v>1106</v>
      </c>
      <c r="AP178" s="11" t="s">
        <v>1021</v>
      </c>
      <c r="AQ178" s="11" t="s">
        <v>1107</v>
      </c>
      <c r="AR178" s="11" t="s">
        <v>1023</v>
      </c>
      <c r="AS178" s="11" t="s">
        <v>1108</v>
      </c>
      <c r="AT178" s="11" t="s">
        <v>1025</v>
      </c>
      <c r="AU178" s="11" t="s">
        <v>1107</v>
      </c>
      <c r="AV178" s="11" t="s">
        <v>1108</v>
      </c>
      <c r="AW178" s="12">
        <v>2</v>
      </c>
      <c r="AX178" s="12">
        <v>1</v>
      </c>
      <c r="AY178" s="12">
        <v>2</v>
      </c>
      <c r="AZ178" s="12">
        <v>2</v>
      </c>
      <c r="BA178" s="12">
        <v>2</v>
      </c>
      <c r="BB178" s="12">
        <v>2</v>
      </c>
      <c r="BC178" s="12">
        <v>1</v>
      </c>
      <c r="BD178" s="11" t="s">
        <v>1026</v>
      </c>
      <c r="BE178" s="11" t="s">
        <v>1027</v>
      </c>
    </row>
    <row r="179" spans="1:57" s="8" customFormat="1" ht="58" x14ac:dyDescent="0.35">
      <c r="A179" s="7" t="s">
        <v>20</v>
      </c>
      <c r="B179" s="7" t="s">
        <v>21</v>
      </c>
      <c r="C179" s="3" t="s">
        <v>365</v>
      </c>
      <c r="D179" s="3" t="s">
        <v>57</v>
      </c>
      <c r="E179" s="3"/>
      <c r="F179" s="3" t="s">
        <v>53</v>
      </c>
      <c r="G179" s="3" t="s">
        <v>50</v>
      </c>
      <c r="H179" s="4">
        <v>1278</v>
      </c>
      <c r="I179" s="4">
        <v>300</v>
      </c>
      <c r="J179" s="3" t="s">
        <v>26</v>
      </c>
      <c r="K179" s="4" t="b">
        <v>0</v>
      </c>
      <c r="L179" s="6">
        <v>0.66666666666666596</v>
      </c>
      <c r="M179" s="6">
        <v>0.66666666666666596</v>
      </c>
      <c r="N179" s="3" t="s">
        <v>136</v>
      </c>
      <c r="O179" s="3" t="s">
        <v>137</v>
      </c>
      <c r="P179" s="3" t="s">
        <v>366</v>
      </c>
      <c r="Q179" s="3" t="s">
        <v>1834</v>
      </c>
      <c r="R179" s="3" t="s">
        <v>1029</v>
      </c>
      <c r="S179" s="3" t="s">
        <v>1006</v>
      </c>
      <c r="T179" s="3" t="s">
        <v>1007</v>
      </c>
      <c r="U179" s="11" t="s">
        <v>1835</v>
      </c>
      <c r="V179" s="11" t="s">
        <v>1096</v>
      </c>
      <c r="W179" s="11" t="s">
        <v>1097</v>
      </c>
      <c r="X179" s="13">
        <v>0.91</v>
      </c>
      <c r="Y179" s="12"/>
      <c r="Z179" s="11" t="s">
        <v>1836</v>
      </c>
      <c r="AA179" s="11"/>
      <c r="AB179" s="11"/>
      <c r="AC179" s="11">
        <v>0</v>
      </c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 t="s">
        <v>1019</v>
      </c>
      <c r="AO179" s="11" t="s">
        <v>1837</v>
      </c>
      <c r="AP179" s="11" t="s">
        <v>1021</v>
      </c>
      <c r="AQ179" s="11" t="s">
        <v>1838</v>
      </c>
      <c r="AR179" s="11" t="s">
        <v>1048</v>
      </c>
      <c r="AS179" s="11" t="s">
        <v>1839</v>
      </c>
      <c r="AT179" s="11" t="s">
        <v>1048</v>
      </c>
      <c r="AU179" s="11" t="s">
        <v>1838</v>
      </c>
      <c r="AV179" s="11" t="s">
        <v>1839</v>
      </c>
      <c r="AW179" s="12">
        <v>1</v>
      </c>
      <c r="AX179" s="12">
        <v>1</v>
      </c>
      <c r="AY179" s="12">
        <v>3</v>
      </c>
      <c r="AZ179" s="12">
        <v>1</v>
      </c>
      <c r="BA179" s="12">
        <v>2</v>
      </c>
      <c r="BB179" s="12">
        <v>1</v>
      </c>
      <c r="BC179" s="12">
        <v>3</v>
      </c>
      <c r="BD179" s="11" t="s">
        <v>1026</v>
      </c>
      <c r="BE179" s="11" t="s">
        <v>1027</v>
      </c>
    </row>
    <row r="180" spans="1:57" s="8" customFormat="1" ht="87" x14ac:dyDescent="0.35">
      <c r="A180" s="7" t="s">
        <v>20</v>
      </c>
      <c r="B180" s="7" t="s">
        <v>21</v>
      </c>
      <c r="C180" s="3" t="s">
        <v>367</v>
      </c>
      <c r="D180" s="3" t="s">
        <v>368</v>
      </c>
      <c r="E180" s="3" t="s">
        <v>368</v>
      </c>
      <c r="F180" s="3" t="s">
        <v>84</v>
      </c>
      <c r="G180" s="3" t="s">
        <v>25</v>
      </c>
      <c r="H180" s="4">
        <v>865</v>
      </c>
      <c r="I180" s="4">
        <v>400</v>
      </c>
      <c r="J180" s="3" t="s">
        <v>26</v>
      </c>
      <c r="K180" s="4" t="b">
        <v>1</v>
      </c>
      <c r="L180" s="6">
        <v>1</v>
      </c>
      <c r="M180" s="6">
        <v>1</v>
      </c>
      <c r="N180" s="3" t="s">
        <v>369</v>
      </c>
      <c r="O180" s="3"/>
      <c r="P180" s="3" t="s">
        <v>370</v>
      </c>
      <c r="Q180" s="3" t="s">
        <v>1840</v>
      </c>
      <c r="R180" s="3" t="s">
        <v>1139</v>
      </c>
      <c r="S180" s="3" t="s">
        <v>1841</v>
      </c>
      <c r="T180" s="3" t="s">
        <v>1842</v>
      </c>
      <c r="U180" s="11" t="s">
        <v>1843</v>
      </c>
      <c r="V180" s="11" t="s">
        <v>1009</v>
      </c>
      <c r="W180" s="11" t="s">
        <v>1010</v>
      </c>
      <c r="X180" s="13">
        <v>0.94</v>
      </c>
      <c r="Y180" s="12" t="s">
        <v>1058</v>
      </c>
      <c r="Z180" s="11" t="s">
        <v>1844</v>
      </c>
      <c r="AA180" s="11"/>
      <c r="AB180" s="11"/>
      <c r="AC180" s="11">
        <v>5</v>
      </c>
      <c r="AD180" s="11" t="s">
        <v>1845</v>
      </c>
      <c r="AE180" s="11" t="s">
        <v>1846</v>
      </c>
      <c r="AF180" s="11" t="s">
        <v>1014</v>
      </c>
      <c r="AG180" s="11" t="s">
        <v>1847</v>
      </c>
      <c r="AH180" s="11" t="s">
        <v>1848</v>
      </c>
      <c r="AI180" s="11" t="s">
        <v>1016</v>
      </c>
      <c r="AJ180" s="11"/>
      <c r="AK180" s="11" t="s">
        <v>1849</v>
      </c>
      <c r="AL180" s="11" t="s">
        <v>1017</v>
      </c>
      <c r="AM180" s="11" t="s">
        <v>1850</v>
      </c>
      <c r="AN180" s="11" t="s">
        <v>1019</v>
      </c>
      <c r="AO180" s="11" t="s">
        <v>1851</v>
      </c>
      <c r="AP180" s="11" t="s">
        <v>1021</v>
      </c>
      <c r="AQ180" s="11" t="s">
        <v>1852</v>
      </c>
      <c r="AR180" s="11" t="s">
        <v>1048</v>
      </c>
      <c r="AS180" s="11" t="s">
        <v>1853</v>
      </c>
      <c r="AT180" s="11" t="s">
        <v>1050</v>
      </c>
      <c r="AU180" s="11" t="s">
        <v>1852</v>
      </c>
      <c r="AV180" s="11" t="s">
        <v>1853</v>
      </c>
      <c r="AW180" s="12">
        <v>1</v>
      </c>
      <c r="AX180" s="12">
        <v>1</v>
      </c>
      <c r="AY180" s="12">
        <v>1</v>
      </c>
      <c r="AZ180" s="12">
        <v>1</v>
      </c>
      <c r="BA180" s="12">
        <v>7</v>
      </c>
      <c r="BB180" s="12">
        <v>1</v>
      </c>
      <c r="BC180" s="12">
        <v>1</v>
      </c>
      <c r="BD180" s="11" t="s">
        <v>1026</v>
      </c>
      <c r="BE180" s="11" t="s">
        <v>1051</v>
      </c>
    </row>
    <row r="181" spans="1:57" s="8" customFormat="1" ht="58" x14ac:dyDescent="0.35">
      <c r="A181" s="7" t="s">
        <v>20</v>
      </c>
      <c r="B181" s="7" t="s">
        <v>21</v>
      </c>
      <c r="C181" s="3" t="s">
        <v>371</v>
      </c>
      <c r="D181" s="3" t="s">
        <v>83</v>
      </c>
      <c r="E181" s="3" t="s">
        <v>83</v>
      </c>
      <c r="F181" s="3" t="s">
        <v>84</v>
      </c>
      <c r="G181" s="3" t="s">
        <v>25</v>
      </c>
      <c r="H181" s="4">
        <v>1378</v>
      </c>
      <c r="I181" s="4">
        <v>500</v>
      </c>
      <c r="J181" s="3" t="s">
        <v>26</v>
      </c>
      <c r="K181" s="4" t="b">
        <v>1</v>
      </c>
      <c r="L181" s="6">
        <v>1</v>
      </c>
      <c r="M181" s="6">
        <v>1</v>
      </c>
      <c r="N181" s="3" t="s">
        <v>372</v>
      </c>
      <c r="O181" s="3"/>
      <c r="P181" s="3" t="s">
        <v>373</v>
      </c>
      <c r="Q181" s="3" t="s">
        <v>1854</v>
      </c>
      <c r="R181" s="3" t="s">
        <v>1139</v>
      </c>
      <c r="S181" s="3" t="s">
        <v>1855</v>
      </c>
      <c r="T181" s="3" t="s">
        <v>1856</v>
      </c>
      <c r="U181" s="11" t="s">
        <v>1857</v>
      </c>
      <c r="V181" s="11" t="s">
        <v>1009</v>
      </c>
      <c r="W181" s="11" t="s">
        <v>1010</v>
      </c>
      <c r="X181" s="13">
        <v>0.78</v>
      </c>
      <c r="Y181" s="12" t="s">
        <v>1045</v>
      </c>
      <c r="Z181" s="11" t="s">
        <v>1858</v>
      </c>
      <c r="AA181" s="11"/>
      <c r="AB181" s="11"/>
      <c r="AC181" s="11">
        <v>0</v>
      </c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 t="s">
        <v>1019</v>
      </c>
      <c r="AO181" s="11" t="s">
        <v>1859</v>
      </c>
      <c r="AP181" s="11" t="s">
        <v>1021</v>
      </c>
      <c r="AQ181" s="11" t="s">
        <v>1860</v>
      </c>
      <c r="AR181" s="11" t="s">
        <v>1048</v>
      </c>
      <c r="AS181" s="11" t="s">
        <v>1861</v>
      </c>
      <c r="AT181" s="11" t="s">
        <v>1050</v>
      </c>
      <c r="AU181" s="11" t="s">
        <v>1860</v>
      </c>
      <c r="AV181" s="11" t="s">
        <v>1861</v>
      </c>
      <c r="AW181" s="12">
        <v>1</v>
      </c>
      <c r="AX181" s="12">
        <v>1</v>
      </c>
      <c r="AY181" s="12">
        <v>1</v>
      </c>
      <c r="AZ181" s="12">
        <v>1</v>
      </c>
      <c r="BA181" s="12">
        <v>4</v>
      </c>
      <c r="BB181" s="12">
        <v>1</v>
      </c>
      <c r="BC181" s="12">
        <v>1</v>
      </c>
      <c r="BD181" s="11" t="s">
        <v>1026</v>
      </c>
      <c r="BE181" s="11" t="s">
        <v>1051</v>
      </c>
    </row>
    <row r="182" spans="1:57" s="8" customFormat="1" ht="72.5" x14ac:dyDescent="0.35">
      <c r="A182" s="7" t="s">
        <v>20</v>
      </c>
      <c r="B182" s="7" t="s">
        <v>21</v>
      </c>
      <c r="C182" s="3" t="s">
        <v>374</v>
      </c>
      <c r="D182" s="3" t="s">
        <v>41</v>
      </c>
      <c r="E182" s="3" t="s">
        <v>41</v>
      </c>
      <c r="F182" s="3" t="s">
        <v>36</v>
      </c>
      <c r="G182" s="3" t="s">
        <v>25</v>
      </c>
      <c r="H182" s="4">
        <v>1668</v>
      </c>
      <c r="I182" s="4">
        <v>150</v>
      </c>
      <c r="J182" s="3" t="s">
        <v>26</v>
      </c>
      <c r="K182" s="4" t="b">
        <v>1</v>
      </c>
      <c r="L182" s="6">
        <v>1</v>
      </c>
      <c r="M182" s="6">
        <v>1</v>
      </c>
      <c r="N182" s="3" t="s">
        <v>42</v>
      </c>
      <c r="O182" s="3"/>
      <c r="P182" s="3" t="s">
        <v>375</v>
      </c>
      <c r="Q182" s="3" t="s">
        <v>1862</v>
      </c>
      <c r="R182" s="3" t="s">
        <v>1039</v>
      </c>
      <c r="S182" s="3" t="s">
        <v>1863</v>
      </c>
      <c r="T182" s="3" t="s">
        <v>1864</v>
      </c>
      <c r="U182" s="11" t="s">
        <v>1865</v>
      </c>
      <c r="V182" s="11" t="s">
        <v>1009</v>
      </c>
      <c r="W182" s="11" t="s">
        <v>1010</v>
      </c>
      <c r="X182" s="13">
        <v>0.94</v>
      </c>
      <c r="Y182" s="12"/>
      <c r="Z182" s="11" t="s">
        <v>1866</v>
      </c>
      <c r="AA182" s="11"/>
      <c r="AB182" s="11"/>
      <c r="AC182" s="11">
        <v>1</v>
      </c>
      <c r="AD182" s="11" t="s">
        <v>1148</v>
      </c>
      <c r="AE182" s="11" t="s">
        <v>1867</v>
      </c>
      <c r="AF182" s="11" t="s">
        <v>1014</v>
      </c>
      <c r="AG182" s="11" t="s">
        <v>1150</v>
      </c>
      <c r="AH182" s="11"/>
      <c r="AI182" s="11" t="s">
        <v>1016</v>
      </c>
      <c r="AJ182" s="11"/>
      <c r="AK182" s="11" t="s">
        <v>1151</v>
      </c>
      <c r="AL182" s="11" t="s">
        <v>1017</v>
      </c>
      <c r="AM182" s="11" t="s">
        <v>1152</v>
      </c>
      <c r="AN182" s="11" t="s">
        <v>1019</v>
      </c>
      <c r="AO182" s="11" t="s">
        <v>1868</v>
      </c>
      <c r="AP182" s="11" t="s">
        <v>1114</v>
      </c>
      <c r="AQ182" s="11"/>
      <c r="AR182" s="11" t="s">
        <v>1034</v>
      </c>
      <c r="AS182" s="11"/>
      <c r="AT182" s="11" t="s">
        <v>1034</v>
      </c>
      <c r="AU182" s="11"/>
      <c r="AV182" s="11"/>
      <c r="AW182" s="12">
        <v>1</v>
      </c>
      <c r="AX182" s="12">
        <v>1</v>
      </c>
      <c r="AY182" s="12">
        <v>1</v>
      </c>
      <c r="AZ182" s="12"/>
      <c r="BA182" s="12"/>
      <c r="BB182" s="12"/>
      <c r="BC182" s="12"/>
      <c r="BD182" s="11" t="s">
        <v>1115</v>
      </c>
      <c r="BE182" s="11" t="s">
        <v>1116</v>
      </c>
    </row>
    <row r="183" spans="1:57" s="8" customFormat="1" ht="101.5" x14ac:dyDescent="0.35">
      <c r="A183" s="7" t="s">
        <v>20</v>
      </c>
      <c r="B183" s="7" t="s">
        <v>21</v>
      </c>
      <c r="C183" s="3" t="s">
        <v>376</v>
      </c>
      <c r="D183" s="3" t="s">
        <v>41</v>
      </c>
      <c r="E183" s="3" t="s">
        <v>41</v>
      </c>
      <c r="F183" s="3" t="s">
        <v>36</v>
      </c>
      <c r="G183" s="3" t="s">
        <v>25</v>
      </c>
      <c r="H183" s="4">
        <v>1780</v>
      </c>
      <c r="I183" s="4">
        <v>150</v>
      </c>
      <c r="J183" s="3" t="s">
        <v>26</v>
      </c>
      <c r="K183" s="4" t="b">
        <v>1</v>
      </c>
      <c r="L183" s="6">
        <v>1</v>
      </c>
      <c r="M183" s="6">
        <v>1</v>
      </c>
      <c r="N183" s="3" t="s">
        <v>42</v>
      </c>
      <c r="O183" s="3"/>
      <c r="P183" s="3" t="s">
        <v>377</v>
      </c>
      <c r="Q183" s="3" t="s">
        <v>1869</v>
      </c>
      <c r="R183" s="3" t="s">
        <v>1039</v>
      </c>
      <c r="S183" s="3" t="s">
        <v>1863</v>
      </c>
      <c r="T183" s="3" t="s">
        <v>1870</v>
      </c>
      <c r="U183" s="11" t="s">
        <v>1871</v>
      </c>
      <c r="V183" s="11" t="s">
        <v>1043</v>
      </c>
      <c r="W183" s="11" t="s">
        <v>1044</v>
      </c>
      <c r="X183" s="13">
        <v>1</v>
      </c>
      <c r="Y183" s="12"/>
      <c r="Z183" s="11"/>
      <c r="AA183" s="11"/>
      <c r="AB183" s="11"/>
      <c r="AC183" s="11">
        <v>1</v>
      </c>
      <c r="AD183" s="11" t="s">
        <v>1148</v>
      </c>
      <c r="AE183" s="11" t="s">
        <v>1872</v>
      </c>
      <c r="AF183" s="11" t="s">
        <v>1014</v>
      </c>
      <c r="AG183" s="11" t="s">
        <v>1873</v>
      </c>
      <c r="AH183" s="11" t="s">
        <v>42</v>
      </c>
      <c r="AI183" s="11" t="s">
        <v>1016</v>
      </c>
      <c r="AJ183" s="11"/>
      <c r="AK183" s="11" t="s">
        <v>1151</v>
      </c>
      <c r="AL183" s="11" t="s">
        <v>1017</v>
      </c>
      <c r="AM183" s="11" t="s">
        <v>1152</v>
      </c>
      <c r="AN183" s="11" t="s">
        <v>1019</v>
      </c>
      <c r="AO183" s="11" t="s">
        <v>1059</v>
      </c>
      <c r="AP183" s="11" t="s">
        <v>1021</v>
      </c>
      <c r="AQ183" s="11" t="s">
        <v>1060</v>
      </c>
      <c r="AR183" s="11" t="s">
        <v>1023</v>
      </c>
      <c r="AS183" s="11" t="s">
        <v>1061</v>
      </c>
      <c r="AT183" s="11" t="s">
        <v>1023</v>
      </c>
      <c r="AU183" s="11" t="s">
        <v>1060</v>
      </c>
      <c r="AV183" s="11" t="s">
        <v>1061</v>
      </c>
      <c r="AW183" s="12">
        <v>3</v>
      </c>
      <c r="AX183" s="12">
        <v>4</v>
      </c>
      <c r="AY183" s="12">
        <v>4</v>
      </c>
      <c r="AZ183" s="12">
        <v>3</v>
      </c>
      <c r="BA183" s="12">
        <v>6</v>
      </c>
      <c r="BB183" s="12">
        <v>3</v>
      </c>
      <c r="BC183" s="12">
        <v>2</v>
      </c>
      <c r="BD183" s="11" t="s">
        <v>1026</v>
      </c>
      <c r="BE183" s="11" t="s">
        <v>1027</v>
      </c>
    </row>
    <row r="184" spans="1:57" s="8" customFormat="1" ht="87" x14ac:dyDescent="0.35">
      <c r="A184" s="7" t="s">
        <v>20</v>
      </c>
      <c r="B184" s="7" t="s">
        <v>21</v>
      </c>
      <c r="C184" s="3" t="s">
        <v>378</v>
      </c>
      <c r="D184" s="3" t="s">
        <v>52</v>
      </c>
      <c r="E184" s="3"/>
      <c r="F184" s="3" t="s">
        <v>53</v>
      </c>
      <c r="G184" s="3" t="s">
        <v>50</v>
      </c>
      <c r="H184" s="4">
        <v>830</v>
      </c>
      <c r="I184" s="4">
        <v>500</v>
      </c>
      <c r="J184" s="3" t="s">
        <v>26</v>
      </c>
      <c r="K184" s="4" t="b">
        <v>0</v>
      </c>
      <c r="L184" s="6">
        <v>0.33333333333333298</v>
      </c>
      <c r="M184" s="6">
        <v>0.33333333333333298</v>
      </c>
      <c r="N184" s="3" t="s">
        <v>54</v>
      </c>
      <c r="O184" s="3" t="s">
        <v>55</v>
      </c>
      <c r="P184" s="3" t="s">
        <v>379</v>
      </c>
      <c r="Q184" s="3" t="s">
        <v>1874</v>
      </c>
      <c r="R184" s="3" t="s">
        <v>1139</v>
      </c>
      <c r="S184" s="3" t="s">
        <v>1875</v>
      </c>
      <c r="T184" s="3" t="s">
        <v>1007</v>
      </c>
      <c r="U184" s="11" t="s">
        <v>1876</v>
      </c>
      <c r="V184" s="11" t="s">
        <v>1096</v>
      </c>
      <c r="W184" s="11" t="s">
        <v>1097</v>
      </c>
      <c r="X184" s="13">
        <v>0.71</v>
      </c>
      <c r="Y184" s="12"/>
      <c r="Z184" s="11" t="s">
        <v>1877</v>
      </c>
      <c r="AA184" s="11"/>
      <c r="AB184" s="11"/>
      <c r="AC184" s="11">
        <v>4</v>
      </c>
      <c r="AD184" s="11" t="s">
        <v>1878</v>
      </c>
      <c r="AE184" s="11" t="s">
        <v>1879</v>
      </c>
      <c r="AF184" s="11" t="s">
        <v>1014</v>
      </c>
      <c r="AG184" s="11" t="s">
        <v>1015</v>
      </c>
      <c r="AH184" s="11" t="s">
        <v>1078</v>
      </c>
      <c r="AI184" s="11" t="s">
        <v>1016</v>
      </c>
      <c r="AJ184" s="11"/>
      <c r="AK184" s="11" t="s">
        <v>1880</v>
      </c>
      <c r="AL184" s="11" t="s">
        <v>1017</v>
      </c>
      <c r="AM184" s="11" t="s">
        <v>1881</v>
      </c>
      <c r="AN184" s="11" t="s">
        <v>1019</v>
      </c>
      <c r="AO184" s="11" t="s">
        <v>1882</v>
      </c>
      <c r="AP184" s="11" t="s">
        <v>1021</v>
      </c>
      <c r="AQ184" s="11" t="s">
        <v>1883</v>
      </c>
      <c r="AR184" s="11" t="s">
        <v>1048</v>
      </c>
      <c r="AS184" s="11"/>
      <c r="AT184" s="11" t="s">
        <v>1034</v>
      </c>
      <c r="AU184" s="11" t="s">
        <v>1883</v>
      </c>
      <c r="AV184" s="11"/>
      <c r="AW184" s="12">
        <v>1</v>
      </c>
      <c r="AX184" s="12">
        <v>1</v>
      </c>
      <c r="AY184" s="12">
        <v>1</v>
      </c>
      <c r="AZ184" s="12">
        <v>1</v>
      </c>
      <c r="BA184" s="12">
        <v>2</v>
      </c>
      <c r="BB184" s="12"/>
      <c r="BC184" s="12"/>
      <c r="BD184" s="11" t="s">
        <v>1093</v>
      </c>
      <c r="BE184" s="11" t="s">
        <v>1037</v>
      </c>
    </row>
    <row r="185" spans="1:57" s="8" customFormat="1" ht="58" x14ac:dyDescent="0.35">
      <c r="A185" s="7" t="s">
        <v>20</v>
      </c>
      <c r="B185" s="7" t="s">
        <v>21</v>
      </c>
      <c r="C185" s="3" t="s">
        <v>378</v>
      </c>
      <c r="D185" s="3" t="s">
        <v>57</v>
      </c>
      <c r="E185" s="3"/>
      <c r="F185" s="3" t="s">
        <v>53</v>
      </c>
      <c r="G185" s="3" t="s">
        <v>50</v>
      </c>
      <c r="H185" s="4">
        <v>830</v>
      </c>
      <c r="I185" s="4">
        <v>300</v>
      </c>
      <c r="J185" s="3" t="s">
        <v>26</v>
      </c>
      <c r="K185" s="4" t="b">
        <v>0</v>
      </c>
      <c r="L185" s="6">
        <v>0.33333333333333298</v>
      </c>
      <c r="M185" s="6">
        <v>0.33333333333333298</v>
      </c>
      <c r="N185" s="3" t="s">
        <v>58</v>
      </c>
      <c r="O185" s="3" t="s">
        <v>59</v>
      </c>
      <c r="P185" s="3" t="s">
        <v>379</v>
      </c>
      <c r="Q185" s="3" t="s">
        <v>1874</v>
      </c>
      <c r="R185" s="3" t="s">
        <v>1139</v>
      </c>
      <c r="S185" s="3" t="s">
        <v>1875</v>
      </c>
      <c r="T185" s="3" t="s">
        <v>1007</v>
      </c>
      <c r="U185" s="11" t="s">
        <v>1876</v>
      </c>
      <c r="V185" s="11" t="s">
        <v>1096</v>
      </c>
      <c r="W185" s="11" t="s">
        <v>1097</v>
      </c>
      <c r="X185" s="13">
        <v>0.71</v>
      </c>
      <c r="Y185" s="12"/>
      <c r="Z185" s="11" t="s">
        <v>1877</v>
      </c>
      <c r="AA185" s="11"/>
      <c r="AB185" s="11"/>
      <c r="AC185" s="11">
        <v>0</v>
      </c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 t="s">
        <v>1019</v>
      </c>
      <c r="AO185" s="11" t="s">
        <v>1882</v>
      </c>
      <c r="AP185" s="11" t="s">
        <v>1021</v>
      </c>
      <c r="AQ185" s="11" t="s">
        <v>1883</v>
      </c>
      <c r="AR185" s="11" t="s">
        <v>1048</v>
      </c>
      <c r="AS185" s="11"/>
      <c r="AT185" s="11" t="s">
        <v>1034</v>
      </c>
      <c r="AU185" s="11" t="s">
        <v>1883</v>
      </c>
      <c r="AV185" s="11"/>
      <c r="AW185" s="12">
        <v>1</v>
      </c>
      <c r="AX185" s="12">
        <v>1</v>
      </c>
      <c r="AY185" s="12">
        <v>1</v>
      </c>
      <c r="AZ185" s="12">
        <v>1</v>
      </c>
      <c r="BA185" s="12">
        <v>2</v>
      </c>
      <c r="BB185" s="12"/>
      <c r="BC185" s="12"/>
      <c r="BD185" s="11" t="s">
        <v>1093</v>
      </c>
      <c r="BE185" s="11" t="s">
        <v>1037</v>
      </c>
    </row>
    <row r="186" spans="1:57" s="8" customFormat="1" ht="72.5" x14ac:dyDescent="0.35">
      <c r="A186" s="7" t="s">
        <v>20</v>
      </c>
      <c r="B186" s="7" t="s">
        <v>21</v>
      </c>
      <c r="C186" s="3" t="s">
        <v>380</v>
      </c>
      <c r="D186" s="3" t="s">
        <v>57</v>
      </c>
      <c r="E186" s="3"/>
      <c r="F186" s="3" t="s">
        <v>53</v>
      </c>
      <c r="G186" s="3" t="s">
        <v>50</v>
      </c>
      <c r="H186" s="4">
        <v>693</v>
      </c>
      <c r="I186" s="4">
        <v>300</v>
      </c>
      <c r="J186" s="3" t="s">
        <v>26</v>
      </c>
      <c r="K186" s="4" t="b">
        <v>0</v>
      </c>
      <c r="L186" s="6">
        <v>0.33333333333333298</v>
      </c>
      <c r="M186" s="6">
        <v>0.33333333333333298</v>
      </c>
      <c r="N186" s="3" t="s">
        <v>58</v>
      </c>
      <c r="O186" s="3" t="s">
        <v>59</v>
      </c>
      <c r="P186" s="3" t="s">
        <v>381</v>
      </c>
      <c r="Q186" s="3" t="s">
        <v>1884</v>
      </c>
      <c r="R186" s="3" t="s">
        <v>1074</v>
      </c>
      <c r="S186" s="3" t="s">
        <v>1006</v>
      </c>
      <c r="T186" s="3" t="s">
        <v>1007</v>
      </c>
      <c r="U186" s="11" t="s">
        <v>1885</v>
      </c>
      <c r="V186" s="11" t="s">
        <v>1031</v>
      </c>
      <c r="W186" s="11" t="s">
        <v>1032</v>
      </c>
      <c r="X186" s="13">
        <v>0.7</v>
      </c>
      <c r="Y186" s="12"/>
      <c r="Z186" s="11"/>
      <c r="AA186" s="11"/>
      <c r="AB186" s="11"/>
      <c r="AC186" s="11">
        <v>0</v>
      </c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 t="s">
        <v>1019</v>
      </c>
      <c r="AO186" s="11" t="s">
        <v>1886</v>
      </c>
      <c r="AP186" s="11" t="s">
        <v>1114</v>
      </c>
      <c r="AQ186" s="11"/>
      <c r="AR186" s="11" t="s">
        <v>1034</v>
      </c>
      <c r="AS186" s="11"/>
      <c r="AT186" s="11" t="s">
        <v>1034</v>
      </c>
      <c r="AU186" s="11"/>
      <c r="AV186" s="11"/>
      <c r="AW186" s="12">
        <v>1</v>
      </c>
      <c r="AX186" s="12">
        <v>1</v>
      </c>
      <c r="AY186" s="12">
        <v>1</v>
      </c>
      <c r="AZ186" s="12"/>
      <c r="BA186" s="12"/>
      <c r="BB186" s="12"/>
      <c r="BC186" s="12"/>
      <c r="BD186" s="11" t="s">
        <v>1115</v>
      </c>
      <c r="BE186" s="11" t="s">
        <v>1116</v>
      </c>
    </row>
    <row r="187" spans="1:57" s="8" customFormat="1" ht="72.5" x14ac:dyDescent="0.35">
      <c r="A187" s="7" t="s">
        <v>20</v>
      </c>
      <c r="B187" s="7" t="s">
        <v>21</v>
      </c>
      <c r="C187" s="3" t="s">
        <v>380</v>
      </c>
      <c r="D187" s="3" t="s">
        <v>98</v>
      </c>
      <c r="E187" s="3"/>
      <c r="F187" s="3" t="s">
        <v>53</v>
      </c>
      <c r="G187" s="3" t="s">
        <v>50</v>
      </c>
      <c r="H187" s="4">
        <v>693</v>
      </c>
      <c r="I187" s="4">
        <v>300</v>
      </c>
      <c r="J187" s="3" t="s">
        <v>26</v>
      </c>
      <c r="K187" s="4" t="b">
        <v>0</v>
      </c>
      <c r="L187" s="6">
        <v>0.5</v>
      </c>
      <c r="M187" s="6">
        <v>0.5</v>
      </c>
      <c r="N187" s="3" t="s">
        <v>58</v>
      </c>
      <c r="O187" s="3" t="s">
        <v>99</v>
      </c>
      <c r="P187" s="3" t="s">
        <v>381</v>
      </c>
      <c r="Q187" s="3" t="s">
        <v>1884</v>
      </c>
      <c r="R187" s="3" t="s">
        <v>1074</v>
      </c>
      <c r="S187" s="3" t="s">
        <v>1006</v>
      </c>
      <c r="T187" s="3" t="s">
        <v>1007</v>
      </c>
      <c r="U187" s="11" t="s">
        <v>1885</v>
      </c>
      <c r="V187" s="11" t="s">
        <v>1031</v>
      </c>
      <c r="W187" s="11" t="s">
        <v>1032</v>
      </c>
      <c r="X187" s="13">
        <v>0.7</v>
      </c>
      <c r="Y187" s="12"/>
      <c r="Z187" s="11"/>
      <c r="AA187" s="11"/>
      <c r="AB187" s="11"/>
      <c r="AC187" s="11">
        <v>0</v>
      </c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 t="s">
        <v>1019</v>
      </c>
      <c r="AO187" s="11" t="s">
        <v>1886</v>
      </c>
      <c r="AP187" s="11" t="s">
        <v>1114</v>
      </c>
      <c r="AQ187" s="11"/>
      <c r="AR187" s="11" t="s">
        <v>1034</v>
      </c>
      <c r="AS187" s="11"/>
      <c r="AT187" s="11" t="s">
        <v>1034</v>
      </c>
      <c r="AU187" s="11"/>
      <c r="AV187" s="11"/>
      <c r="AW187" s="12">
        <v>1</v>
      </c>
      <c r="AX187" s="12">
        <v>1</v>
      </c>
      <c r="AY187" s="12">
        <v>1</v>
      </c>
      <c r="AZ187" s="12"/>
      <c r="BA187" s="12"/>
      <c r="BB187" s="12"/>
      <c r="BC187" s="12"/>
      <c r="BD187" s="11" t="s">
        <v>1115</v>
      </c>
      <c r="BE187" s="11" t="s">
        <v>1116</v>
      </c>
    </row>
    <row r="188" spans="1:57" s="8" customFormat="1" ht="72.5" x14ac:dyDescent="0.35">
      <c r="A188" s="7" t="s">
        <v>20</v>
      </c>
      <c r="B188" s="7" t="s">
        <v>21</v>
      </c>
      <c r="C188" s="3" t="s">
        <v>382</v>
      </c>
      <c r="D188" s="3" t="s">
        <v>45</v>
      </c>
      <c r="E188" s="3" t="s">
        <v>45</v>
      </c>
      <c r="F188" s="3" t="s">
        <v>46</v>
      </c>
      <c r="G188" s="3" t="s">
        <v>25</v>
      </c>
      <c r="H188" s="4">
        <v>363</v>
      </c>
      <c r="I188" s="4">
        <v>200</v>
      </c>
      <c r="J188" s="3" t="s">
        <v>26</v>
      </c>
      <c r="K188" s="4" t="b">
        <v>1</v>
      </c>
      <c r="L188" s="6">
        <v>1</v>
      </c>
      <c r="M188" s="6">
        <v>1</v>
      </c>
      <c r="N188" s="3" t="s">
        <v>47</v>
      </c>
      <c r="O188" s="3"/>
      <c r="P188" s="3" t="s">
        <v>383</v>
      </c>
      <c r="Q188" s="3" t="s">
        <v>1887</v>
      </c>
      <c r="R188" s="3" t="s">
        <v>1029</v>
      </c>
      <c r="S188" s="3" t="s">
        <v>1006</v>
      </c>
      <c r="T188" s="3" t="s">
        <v>1007</v>
      </c>
      <c r="U188" s="11" t="s">
        <v>1888</v>
      </c>
      <c r="V188" s="11" t="s">
        <v>1031</v>
      </c>
      <c r="W188" s="11" t="s">
        <v>1032</v>
      </c>
      <c r="X188" s="13">
        <v>0.7</v>
      </c>
      <c r="Y188" s="12"/>
      <c r="Z188" s="11"/>
      <c r="AA188" s="11"/>
      <c r="AB188" s="11"/>
      <c r="AC188" s="11">
        <v>0</v>
      </c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 t="s">
        <v>1019</v>
      </c>
      <c r="AO188" s="11" t="s">
        <v>1889</v>
      </c>
      <c r="AP188" s="11" t="s">
        <v>1114</v>
      </c>
      <c r="AQ188" s="11"/>
      <c r="AR188" s="11" t="s">
        <v>1034</v>
      </c>
      <c r="AS188" s="11"/>
      <c r="AT188" s="11" t="s">
        <v>1034</v>
      </c>
      <c r="AU188" s="11"/>
      <c r="AV188" s="11"/>
      <c r="AW188" s="12">
        <v>1</v>
      </c>
      <c r="AX188" s="12">
        <v>1</v>
      </c>
      <c r="AY188" s="12">
        <v>1</v>
      </c>
      <c r="AZ188" s="12"/>
      <c r="BA188" s="12"/>
      <c r="BB188" s="12"/>
      <c r="BC188" s="12"/>
      <c r="BD188" s="11" t="s">
        <v>1115</v>
      </c>
      <c r="BE188" s="11" t="s">
        <v>1116</v>
      </c>
    </row>
    <row r="189" spans="1:57" s="8" customFormat="1" ht="72.5" x14ac:dyDescent="0.35">
      <c r="A189" s="7" t="s">
        <v>20</v>
      </c>
      <c r="B189" s="7" t="s">
        <v>21</v>
      </c>
      <c r="C189" s="3" t="s">
        <v>382</v>
      </c>
      <c r="D189" s="3" t="s">
        <v>49</v>
      </c>
      <c r="E189" s="3"/>
      <c r="F189" s="3" t="s">
        <v>46</v>
      </c>
      <c r="G189" s="3" t="s">
        <v>50</v>
      </c>
      <c r="H189" s="4">
        <v>363</v>
      </c>
      <c r="I189" s="4">
        <v>200</v>
      </c>
      <c r="J189" s="3" t="s">
        <v>26</v>
      </c>
      <c r="K189" s="4" t="b">
        <v>1</v>
      </c>
      <c r="L189" s="6">
        <v>1</v>
      </c>
      <c r="M189" s="6">
        <v>1</v>
      </c>
      <c r="N189" s="3" t="s">
        <v>47</v>
      </c>
      <c r="O189" s="3"/>
      <c r="P189" s="3" t="s">
        <v>383</v>
      </c>
      <c r="Q189" s="3" t="s">
        <v>1887</v>
      </c>
      <c r="R189" s="3" t="s">
        <v>1029</v>
      </c>
      <c r="S189" s="3" t="s">
        <v>1006</v>
      </c>
      <c r="T189" s="3" t="s">
        <v>1007</v>
      </c>
      <c r="U189" s="11" t="s">
        <v>1888</v>
      </c>
      <c r="V189" s="11" t="s">
        <v>1031</v>
      </c>
      <c r="W189" s="11" t="s">
        <v>1032</v>
      </c>
      <c r="X189" s="13">
        <v>0.7</v>
      </c>
      <c r="Y189" s="12"/>
      <c r="Z189" s="11"/>
      <c r="AA189" s="11"/>
      <c r="AB189" s="11"/>
      <c r="AC189" s="11">
        <v>0</v>
      </c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 t="s">
        <v>1019</v>
      </c>
      <c r="AO189" s="11" t="s">
        <v>1889</v>
      </c>
      <c r="AP189" s="11" t="s">
        <v>1114</v>
      </c>
      <c r="AQ189" s="11"/>
      <c r="AR189" s="11" t="s">
        <v>1034</v>
      </c>
      <c r="AS189" s="11"/>
      <c r="AT189" s="11" t="s">
        <v>1034</v>
      </c>
      <c r="AU189" s="11"/>
      <c r="AV189" s="11"/>
      <c r="AW189" s="12">
        <v>1</v>
      </c>
      <c r="AX189" s="12">
        <v>1</v>
      </c>
      <c r="AY189" s="12">
        <v>1</v>
      </c>
      <c r="AZ189" s="12"/>
      <c r="BA189" s="12"/>
      <c r="BB189" s="12"/>
      <c r="BC189" s="12"/>
      <c r="BD189" s="11" t="s">
        <v>1115</v>
      </c>
      <c r="BE189" s="11" t="s">
        <v>1116</v>
      </c>
    </row>
    <row r="190" spans="1:57" s="8" customFormat="1" ht="145" x14ac:dyDescent="0.35">
      <c r="A190" s="7" t="s">
        <v>20</v>
      </c>
      <c r="B190" s="7" t="s">
        <v>21</v>
      </c>
      <c r="C190" s="3" t="s">
        <v>384</v>
      </c>
      <c r="D190" s="3" t="s">
        <v>231</v>
      </c>
      <c r="E190" s="3"/>
      <c r="F190" s="3" t="s">
        <v>31</v>
      </c>
      <c r="G190" s="3" t="s">
        <v>50</v>
      </c>
      <c r="H190" s="4">
        <v>13321</v>
      </c>
      <c r="I190" s="4">
        <v>400</v>
      </c>
      <c r="J190" s="3" t="s">
        <v>26</v>
      </c>
      <c r="K190" s="4" t="b">
        <v>1</v>
      </c>
      <c r="L190" s="6">
        <v>1</v>
      </c>
      <c r="M190" s="6">
        <v>1</v>
      </c>
      <c r="N190" s="3" t="s">
        <v>232</v>
      </c>
      <c r="O190" s="3"/>
      <c r="P190" s="3" t="s">
        <v>385</v>
      </c>
      <c r="Q190" s="3" t="s">
        <v>1890</v>
      </c>
      <c r="R190" s="3" t="s">
        <v>1029</v>
      </c>
      <c r="S190" s="3" t="s">
        <v>1006</v>
      </c>
      <c r="T190" s="3" t="s">
        <v>1007</v>
      </c>
      <c r="U190" s="11" t="s">
        <v>1891</v>
      </c>
      <c r="V190" s="11" t="s">
        <v>1497</v>
      </c>
      <c r="W190" s="11" t="s">
        <v>1498</v>
      </c>
      <c r="X190" s="13">
        <v>0.62</v>
      </c>
      <c r="Y190" s="12"/>
      <c r="Z190" s="11" t="s">
        <v>1892</v>
      </c>
      <c r="AA190" s="11"/>
      <c r="AB190" s="11"/>
      <c r="AC190" s="11">
        <v>0</v>
      </c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 t="s">
        <v>1019</v>
      </c>
      <c r="AO190" s="11" t="s">
        <v>1893</v>
      </c>
      <c r="AP190" s="11" t="s">
        <v>1021</v>
      </c>
      <c r="AQ190" s="11" t="s">
        <v>1894</v>
      </c>
      <c r="AR190" s="11" t="s">
        <v>1048</v>
      </c>
      <c r="AS190" s="11" t="s">
        <v>1895</v>
      </c>
      <c r="AT190" s="11" t="s">
        <v>1048</v>
      </c>
      <c r="AU190" s="11" t="s">
        <v>1894</v>
      </c>
      <c r="AV190" s="11" t="s">
        <v>1895</v>
      </c>
      <c r="AW190" s="12">
        <v>1</v>
      </c>
      <c r="AX190" s="12">
        <v>2</v>
      </c>
      <c r="AY190" s="12">
        <v>1</v>
      </c>
      <c r="AZ190" s="12">
        <v>1</v>
      </c>
      <c r="BA190" s="12">
        <v>5</v>
      </c>
      <c r="BB190" s="12">
        <v>1</v>
      </c>
      <c r="BC190" s="12">
        <v>5</v>
      </c>
      <c r="BD190" s="11" t="s">
        <v>1026</v>
      </c>
      <c r="BE190" s="11" t="s">
        <v>1027</v>
      </c>
    </row>
    <row r="191" spans="1:57" s="8" customFormat="1" ht="58" x14ac:dyDescent="0.35">
      <c r="A191" s="7" t="s">
        <v>20</v>
      </c>
      <c r="B191" s="7" t="s">
        <v>21</v>
      </c>
      <c r="C191" s="3" t="s">
        <v>386</v>
      </c>
      <c r="D191" s="3" t="s">
        <v>57</v>
      </c>
      <c r="E191" s="3"/>
      <c r="F191" s="3" t="s">
        <v>53</v>
      </c>
      <c r="G191" s="3" t="s">
        <v>50</v>
      </c>
      <c r="H191" s="4">
        <v>654</v>
      </c>
      <c r="I191" s="4">
        <v>300</v>
      </c>
      <c r="J191" s="3" t="s">
        <v>26</v>
      </c>
      <c r="K191" s="4" t="b">
        <v>0</v>
      </c>
      <c r="L191" s="6">
        <v>0.33333333333333298</v>
      </c>
      <c r="M191" s="6">
        <v>0.33333333333333298</v>
      </c>
      <c r="N191" s="3" t="s">
        <v>58</v>
      </c>
      <c r="O191" s="3" t="s">
        <v>59</v>
      </c>
      <c r="P191" s="3" t="s">
        <v>387</v>
      </c>
      <c r="Q191" s="3" t="s">
        <v>1896</v>
      </c>
      <c r="R191" s="3" t="s">
        <v>1029</v>
      </c>
      <c r="S191" s="3" t="s">
        <v>1006</v>
      </c>
      <c r="T191" s="3" t="s">
        <v>1007</v>
      </c>
      <c r="U191" s="11" t="s">
        <v>1897</v>
      </c>
      <c r="V191" s="11" t="s">
        <v>1064</v>
      </c>
      <c r="W191" s="11" t="s">
        <v>1065</v>
      </c>
      <c r="X191" s="13">
        <v>1</v>
      </c>
      <c r="Y191" s="12"/>
      <c r="Z191" s="11"/>
      <c r="AA191" s="11"/>
      <c r="AB191" s="11"/>
      <c r="AC191" s="11">
        <v>0</v>
      </c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 t="s">
        <v>1019</v>
      </c>
      <c r="AO191" s="11" t="s">
        <v>1898</v>
      </c>
      <c r="AP191" s="11" t="s">
        <v>1021</v>
      </c>
      <c r="AQ191" s="11" t="s">
        <v>1899</v>
      </c>
      <c r="AR191" s="11" t="s">
        <v>1048</v>
      </c>
      <c r="AS191" s="11" t="s">
        <v>1900</v>
      </c>
      <c r="AT191" s="11" t="s">
        <v>1050</v>
      </c>
      <c r="AU191" s="11" t="s">
        <v>1899</v>
      </c>
      <c r="AV191" s="11" t="s">
        <v>1900</v>
      </c>
      <c r="AW191" s="12">
        <v>1</v>
      </c>
      <c r="AX191" s="12">
        <v>1</v>
      </c>
      <c r="AY191" s="12">
        <v>1</v>
      </c>
      <c r="AZ191" s="12">
        <v>1</v>
      </c>
      <c r="BA191" s="12">
        <v>4</v>
      </c>
      <c r="BB191" s="12">
        <v>1</v>
      </c>
      <c r="BC191" s="12">
        <v>1</v>
      </c>
      <c r="BD191" s="11" t="s">
        <v>1026</v>
      </c>
      <c r="BE191" s="11" t="s">
        <v>1051</v>
      </c>
    </row>
    <row r="192" spans="1:57" s="8" customFormat="1" ht="58" x14ac:dyDescent="0.35">
      <c r="A192" s="7" t="s">
        <v>20</v>
      </c>
      <c r="B192" s="7" t="s">
        <v>21</v>
      </c>
      <c r="C192" s="3" t="s">
        <v>388</v>
      </c>
      <c r="D192" s="3" t="s">
        <v>57</v>
      </c>
      <c r="E192" s="3"/>
      <c r="F192" s="3" t="s">
        <v>53</v>
      </c>
      <c r="G192" s="3" t="s">
        <v>50</v>
      </c>
      <c r="H192" s="4">
        <v>390</v>
      </c>
      <c r="I192" s="4">
        <v>300</v>
      </c>
      <c r="J192" s="3" t="s">
        <v>26</v>
      </c>
      <c r="K192" s="4" t="b">
        <v>0</v>
      </c>
      <c r="L192" s="6">
        <v>0.33333333333333298</v>
      </c>
      <c r="M192" s="6">
        <v>0.33333333333333298</v>
      </c>
      <c r="N192" s="3" t="s">
        <v>58</v>
      </c>
      <c r="O192" s="3" t="s">
        <v>59</v>
      </c>
      <c r="P192" s="3" t="s">
        <v>389</v>
      </c>
      <c r="Q192" s="3" t="s">
        <v>1901</v>
      </c>
      <c r="R192" s="3" t="s">
        <v>1074</v>
      </c>
      <c r="S192" s="3" t="s">
        <v>1006</v>
      </c>
      <c r="T192" s="3" t="s">
        <v>1007</v>
      </c>
      <c r="U192" s="11" t="s">
        <v>1902</v>
      </c>
      <c r="V192" s="11" t="s">
        <v>1096</v>
      </c>
      <c r="W192" s="11" t="s">
        <v>1097</v>
      </c>
      <c r="X192" s="13">
        <v>0.82</v>
      </c>
      <c r="Y192" s="12"/>
      <c r="Z192" s="11" t="s">
        <v>1903</v>
      </c>
      <c r="AA192" s="11"/>
      <c r="AB192" s="11"/>
      <c r="AC192" s="11">
        <v>0</v>
      </c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 t="s">
        <v>1019</v>
      </c>
      <c r="AO192" s="11" t="s">
        <v>1904</v>
      </c>
      <c r="AP192" s="11" t="s">
        <v>1021</v>
      </c>
      <c r="AQ192" s="11" t="s">
        <v>1905</v>
      </c>
      <c r="AR192" s="11" t="s">
        <v>1048</v>
      </c>
      <c r="AS192" s="11" t="s">
        <v>1906</v>
      </c>
      <c r="AT192" s="11" t="s">
        <v>1050</v>
      </c>
      <c r="AU192" s="11" t="s">
        <v>1905</v>
      </c>
      <c r="AV192" s="11" t="s">
        <v>1906</v>
      </c>
      <c r="AW192" s="12">
        <v>1</v>
      </c>
      <c r="AX192" s="12">
        <v>1</v>
      </c>
      <c r="AY192" s="12">
        <v>1</v>
      </c>
      <c r="AZ192" s="12">
        <v>1</v>
      </c>
      <c r="BA192" s="12">
        <v>2</v>
      </c>
      <c r="BB192" s="12">
        <v>1</v>
      </c>
      <c r="BC192" s="12">
        <v>1</v>
      </c>
      <c r="BD192" s="11" t="s">
        <v>1026</v>
      </c>
      <c r="BE192" s="11" t="s">
        <v>1051</v>
      </c>
    </row>
    <row r="193" spans="1:57" s="8" customFormat="1" ht="43.5" x14ac:dyDescent="0.35">
      <c r="A193" s="7" t="s">
        <v>20</v>
      </c>
      <c r="B193" s="7" t="s">
        <v>21</v>
      </c>
      <c r="C193" s="3" t="s">
        <v>390</v>
      </c>
      <c r="D193" s="3" t="s">
        <v>30</v>
      </c>
      <c r="E193" s="3" t="s">
        <v>30</v>
      </c>
      <c r="F193" s="3" t="s">
        <v>31</v>
      </c>
      <c r="G193" s="3" t="s">
        <v>25</v>
      </c>
      <c r="H193" s="4">
        <v>396</v>
      </c>
      <c r="I193" s="4">
        <v>250</v>
      </c>
      <c r="J193" s="3" t="s">
        <v>26</v>
      </c>
      <c r="K193" s="4" t="b">
        <v>1</v>
      </c>
      <c r="L193" s="6">
        <v>1</v>
      </c>
      <c r="M193" s="6">
        <v>1</v>
      </c>
      <c r="N193" s="3" t="s">
        <v>32</v>
      </c>
      <c r="O193" s="3"/>
      <c r="P193" s="3" t="s">
        <v>391</v>
      </c>
      <c r="Q193" s="3" t="s">
        <v>1907</v>
      </c>
      <c r="R193" s="3" t="s">
        <v>1074</v>
      </c>
      <c r="S193" s="3" t="s">
        <v>1006</v>
      </c>
      <c r="T193" s="3" t="s">
        <v>1007</v>
      </c>
      <c r="U193" s="11" t="s">
        <v>1908</v>
      </c>
      <c r="V193" s="11" t="s">
        <v>1031</v>
      </c>
      <c r="W193" s="11" t="s">
        <v>1032</v>
      </c>
      <c r="X193" s="13">
        <v>0.7</v>
      </c>
      <c r="Y193" s="12"/>
      <c r="Z193" s="11"/>
      <c r="AA193" s="11"/>
      <c r="AB193" s="11"/>
      <c r="AC193" s="11">
        <v>0</v>
      </c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 t="s">
        <v>1019</v>
      </c>
      <c r="AO193" s="11" t="s">
        <v>1909</v>
      </c>
      <c r="AP193" s="11" t="s">
        <v>1021</v>
      </c>
      <c r="AQ193" s="11" t="s">
        <v>1910</v>
      </c>
      <c r="AR193" s="11" t="s">
        <v>1050</v>
      </c>
      <c r="AS193" s="11" t="s">
        <v>1911</v>
      </c>
      <c r="AT193" s="11" t="s">
        <v>1050</v>
      </c>
      <c r="AU193" s="11" t="s">
        <v>1910</v>
      </c>
      <c r="AV193" s="11" t="s">
        <v>1911</v>
      </c>
      <c r="AW193" s="12">
        <v>1</v>
      </c>
      <c r="AX193" s="12">
        <v>1</v>
      </c>
      <c r="AY193" s="12">
        <v>1</v>
      </c>
      <c r="AZ193" s="12">
        <v>1</v>
      </c>
      <c r="BA193" s="12">
        <v>1</v>
      </c>
      <c r="BB193" s="12">
        <v>1</v>
      </c>
      <c r="BC193" s="12">
        <v>1</v>
      </c>
      <c r="BD193" s="11" t="s">
        <v>1026</v>
      </c>
      <c r="BE193" s="11" t="s">
        <v>1103</v>
      </c>
    </row>
    <row r="194" spans="1:57" s="8" customFormat="1" ht="58" x14ac:dyDescent="0.35">
      <c r="A194" s="7" t="s">
        <v>20</v>
      </c>
      <c r="B194" s="7" t="s">
        <v>21</v>
      </c>
      <c r="C194" s="3" t="s">
        <v>392</v>
      </c>
      <c r="D194" s="3" t="s">
        <v>57</v>
      </c>
      <c r="E194" s="3"/>
      <c r="F194" s="3" t="s">
        <v>53</v>
      </c>
      <c r="G194" s="3" t="s">
        <v>50</v>
      </c>
      <c r="H194" s="4">
        <v>467</v>
      </c>
      <c r="I194" s="4">
        <v>300</v>
      </c>
      <c r="J194" s="3" t="s">
        <v>26</v>
      </c>
      <c r="K194" s="4" t="b">
        <v>0</v>
      </c>
      <c r="L194" s="6">
        <v>0.33333333333333298</v>
      </c>
      <c r="M194" s="6">
        <v>0.33333333333333298</v>
      </c>
      <c r="N194" s="3" t="s">
        <v>58</v>
      </c>
      <c r="O194" s="3" t="s">
        <v>59</v>
      </c>
      <c r="P194" s="3" t="s">
        <v>393</v>
      </c>
      <c r="Q194" s="3" t="s">
        <v>1912</v>
      </c>
      <c r="R194" s="3" t="s">
        <v>1029</v>
      </c>
      <c r="S194" s="3" t="s">
        <v>1006</v>
      </c>
      <c r="T194" s="3" t="s">
        <v>1007</v>
      </c>
      <c r="U194" s="11" t="s">
        <v>1913</v>
      </c>
      <c r="V194" s="11" t="s">
        <v>1064</v>
      </c>
      <c r="W194" s="11" t="s">
        <v>1065</v>
      </c>
      <c r="X194" s="13">
        <v>1</v>
      </c>
      <c r="Y194" s="12"/>
      <c r="Z194" s="11"/>
      <c r="AA194" s="11"/>
      <c r="AB194" s="11"/>
      <c r="AC194" s="11">
        <v>1</v>
      </c>
      <c r="AD194" s="11" t="s">
        <v>1227</v>
      </c>
      <c r="AE194" s="11" t="s">
        <v>1914</v>
      </c>
      <c r="AF194" s="11" t="s">
        <v>1014</v>
      </c>
      <c r="AG194" s="11" t="s">
        <v>1015</v>
      </c>
      <c r="AH194" s="11" t="s">
        <v>1078</v>
      </c>
      <c r="AI194" s="11" t="s">
        <v>1016</v>
      </c>
      <c r="AJ194" s="11"/>
      <c r="AK194" s="11" t="s">
        <v>1229</v>
      </c>
      <c r="AL194" s="11" t="s">
        <v>1017</v>
      </c>
      <c r="AM194" s="11" t="s">
        <v>1230</v>
      </c>
      <c r="AN194" s="11" t="s">
        <v>1019</v>
      </c>
      <c r="AO194" s="11" t="s">
        <v>1915</v>
      </c>
      <c r="AP194" s="11" t="s">
        <v>1021</v>
      </c>
      <c r="AQ194" s="11" t="s">
        <v>1916</v>
      </c>
      <c r="AR194" s="11" t="s">
        <v>1023</v>
      </c>
      <c r="AS194" s="11" t="s">
        <v>1917</v>
      </c>
      <c r="AT194" s="11" t="s">
        <v>1025</v>
      </c>
      <c r="AU194" s="11" t="s">
        <v>1916</v>
      </c>
      <c r="AV194" s="11" t="s">
        <v>1917</v>
      </c>
      <c r="AW194" s="12">
        <v>2</v>
      </c>
      <c r="AX194" s="12">
        <v>2</v>
      </c>
      <c r="AY194" s="12">
        <v>2</v>
      </c>
      <c r="AZ194" s="12">
        <v>2</v>
      </c>
      <c r="BA194" s="12">
        <v>4</v>
      </c>
      <c r="BB194" s="12">
        <v>2</v>
      </c>
      <c r="BC194" s="12">
        <v>1</v>
      </c>
      <c r="BD194" s="11" t="s">
        <v>1026</v>
      </c>
      <c r="BE194" s="11" t="s">
        <v>1027</v>
      </c>
    </row>
    <row r="195" spans="1:57" s="8" customFormat="1" ht="319" x14ac:dyDescent="0.35">
      <c r="A195" s="7" t="s">
        <v>20</v>
      </c>
      <c r="B195" s="7" t="s">
        <v>21</v>
      </c>
      <c r="C195" s="3" t="s">
        <v>394</v>
      </c>
      <c r="D195" s="3" t="s">
        <v>122</v>
      </c>
      <c r="E195" s="3"/>
      <c r="F195" s="3" t="s">
        <v>53</v>
      </c>
      <c r="G195" s="3" t="s">
        <v>50</v>
      </c>
      <c r="H195" s="4">
        <v>307</v>
      </c>
      <c r="I195" s="4">
        <v>150</v>
      </c>
      <c r="J195" s="3" t="s">
        <v>26</v>
      </c>
      <c r="K195" s="4" t="b">
        <v>1</v>
      </c>
      <c r="L195" s="6">
        <v>1</v>
      </c>
      <c r="M195" s="6">
        <v>1</v>
      </c>
      <c r="N195" s="3" t="s">
        <v>123</v>
      </c>
      <c r="O195" s="3"/>
      <c r="P195" s="3" t="s">
        <v>395</v>
      </c>
      <c r="Q195" s="3" t="s">
        <v>1918</v>
      </c>
      <c r="R195" s="3" t="s">
        <v>1029</v>
      </c>
      <c r="S195" s="3" t="s">
        <v>1006</v>
      </c>
      <c r="T195" s="3" t="s">
        <v>1404</v>
      </c>
      <c r="U195" s="11" t="s">
        <v>1919</v>
      </c>
      <c r="V195" s="11" t="s">
        <v>1031</v>
      </c>
      <c r="W195" s="11" t="s">
        <v>1032</v>
      </c>
      <c r="X195" s="13">
        <v>0.7</v>
      </c>
      <c r="Y195" s="12"/>
      <c r="Z195" s="11"/>
      <c r="AA195" s="11"/>
      <c r="AB195" s="11"/>
      <c r="AC195" s="11">
        <v>0</v>
      </c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 t="s">
        <v>1019</v>
      </c>
      <c r="AO195" s="11" t="s">
        <v>1242</v>
      </c>
      <c r="AP195" s="11" t="s">
        <v>1021</v>
      </c>
      <c r="AQ195" s="11" t="s">
        <v>1920</v>
      </c>
      <c r="AR195" s="11" t="s">
        <v>1050</v>
      </c>
      <c r="AS195" s="11" t="s">
        <v>1244</v>
      </c>
      <c r="AT195" s="11" t="s">
        <v>1023</v>
      </c>
      <c r="AU195" s="11" t="s">
        <v>1245</v>
      </c>
      <c r="AV195" s="11" t="s">
        <v>1244</v>
      </c>
      <c r="AW195" s="12">
        <v>3</v>
      </c>
      <c r="AX195" s="12">
        <v>2</v>
      </c>
      <c r="AY195" s="12">
        <v>2</v>
      </c>
      <c r="AZ195" s="12">
        <v>1</v>
      </c>
      <c r="BA195" s="12">
        <v>1</v>
      </c>
      <c r="BB195" s="12">
        <v>3</v>
      </c>
      <c r="BC195" s="12">
        <v>22</v>
      </c>
      <c r="BD195" s="11" t="s">
        <v>1026</v>
      </c>
      <c r="BE195" s="11" t="s">
        <v>1051</v>
      </c>
    </row>
    <row r="196" spans="1:57" s="8" customFormat="1" ht="58" x14ac:dyDescent="0.35">
      <c r="A196" s="7" t="s">
        <v>20</v>
      </c>
      <c r="B196" s="7" t="s">
        <v>21</v>
      </c>
      <c r="C196" s="3" t="s">
        <v>396</v>
      </c>
      <c r="D196" s="3" t="s">
        <v>30</v>
      </c>
      <c r="E196" s="3" t="s">
        <v>30</v>
      </c>
      <c r="F196" s="3" t="s">
        <v>31</v>
      </c>
      <c r="G196" s="3" t="s">
        <v>25</v>
      </c>
      <c r="H196" s="4">
        <v>421</v>
      </c>
      <c r="I196" s="4">
        <v>250</v>
      </c>
      <c r="J196" s="3" t="s">
        <v>26</v>
      </c>
      <c r="K196" s="4" t="b">
        <v>1</v>
      </c>
      <c r="L196" s="6">
        <v>1</v>
      </c>
      <c r="M196" s="6">
        <v>1</v>
      </c>
      <c r="N196" s="3" t="s">
        <v>32</v>
      </c>
      <c r="O196" s="3"/>
      <c r="P196" s="3" t="s">
        <v>397</v>
      </c>
      <c r="Q196" s="3" t="s">
        <v>1921</v>
      </c>
      <c r="R196" s="3" t="s">
        <v>1074</v>
      </c>
      <c r="S196" s="3" t="s">
        <v>1006</v>
      </c>
      <c r="T196" s="3" t="s">
        <v>1007</v>
      </c>
      <c r="U196" s="11" t="s">
        <v>1922</v>
      </c>
      <c r="V196" s="11" t="s">
        <v>1031</v>
      </c>
      <c r="W196" s="11" t="s">
        <v>1032</v>
      </c>
      <c r="X196" s="13">
        <v>1</v>
      </c>
      <c r="Y196" s="12"/>
      <c r="Z196" s="11"/>
      <c r="AA196" s="11"/>
      <c r="AB196" s="11"/>
      <c r="AC196" s="11">
        <v>0</v>
      </c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 t="s">
        <v>1019</v>
      </c>
      <c r="AO196" s="11" t="s">
        <v>1923</v>
      </c>
      <c r="AP196" s="11" t="s">
        <v>1021</v>
      </c>
      <c r="AQ196" s="11" t="s">
        <v>1924</v>
      </c>
      <c r="AR196" s="11" t="s">
        <v>1048</v>
      </c>
      <c r="AS196" s="11" t="s">
        <v>1925</v>
      </c>
      <c r="AT196" s="11" t="s">
        <v>1050</v>
      </c>
      <c r="AU196" s="11" t="s">
        <v>1924</v>
      </c>
      <c r="AV196" s="11" t="s">
        <v>1925</v>
      </c>
      <c r="AW196" s="12">
        <v>1</v>
      </c>
      <c r="AX196" s="12">
        <v>1</v>
      </c>
      <c r="AY196" s="12">
        <v>1</v>
      </c>
      <c r="AZ196" s="12">
        <v>1</v>
      </c>
      <c r="BA196" s="12">
        <v>2</v>
      </c>
      <c r="BB196" s="12">
        <v>1</v>
      </c>
      <c r="BC196" s="12">
        <v>1</v>
      </c>
      <c r="BD196" s="11" t="s">
        <v>1026</v>
      </c>
      <c r="BE196" s="11" t="s">
        <v>1051</v>
      </c>
    </row>
    <row r="197" spans="1:57" s="8" customFormat="1" ht="72.5" x14ac:dyDescent="0.35">
      <c r="A197" s="7" t="s">
        <v>398</v>
      </c>
      <c r="B197" s="7" t="s">
        <v>399</v>
      </c>
      <c r="C197" s="3" t="s">
        <v>400</v>
      </c>
      <c r="D197" s="3" t="s">
        <v>41</v>
      </c>
      <c r="E197" s="3" t="s">
        <v>41</v>
      </c>
      <c r="F197" s="3" t="s">
        <v>36</v>
      </c>
      <c r="G197" s="3" t="s">
        <v>25</v>
      </c>
      <c r="H197" s="4">
        <v>1655</v>
      </c>
      <c r="I197" s="4">
        <v>150</v>
      </c>
      <c r="J197" s="3" t="s">
        <v>26</v>
      </c>
      <c r="K197" s="4" t="b">
        <v>1</v>
      </c>
      <c r="L197" s="6">
        <v>1</v>
      </c>
      <c r="M197" s="6">
        <v>1</v>
      </c>
      <c r="N197" s="3" t="s">
        <v>42</v>
      </c>
      <c r="O197" s="3"/>
      <c r="P197" s="3" t="s">
        <v>401</v>
      </c>
      <c r="Q197" s="3" t="s">
        <v>1926</v>
      </c>
      <c r="R197" s="3" t="s">
        <v>1039</v>
      </c>
      <c r="S197" s="3" t="s">
        <v>1927</v>
      </c>
      <c r="T197" s="3" t="s">
        <v>1928</v>
      </c>
      <c r="U197" s="11" t="s">
        <v>1929</v>
      </c>
      <c r="V197" s="11" t="s">
        <v>1043</v>
      </c>
      <c r="W197" s="11" t="s">
        <v>1044</v>
      </c>
      <c r="X197" s="13">
        <v>0.95</v>
      </c>
      <c r="Y197" s="12" t="s">
        <v>1058</v>
      </c>
      <c r="Z197" s="11"/>
      <c r="AA197" s="11"/>
      <c r="AB197" s="11"/>
      <c r="AC197" s="11">
        <v>0</v>
      </c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 t="s">
        <v>1019</v>
      </c>
      <c r="AO197" s="11" t="s">
        <v>1868</v>
      </c>
      <c r="AP197" s="11" t="s">
        <v>1114</v>
      </c>
      <c r="AQ197" s="11"/>
      <c r="AR197" s="11" t="s">
        <v>1034</v>
      </c>
      <c r="AS197" s="11"/>
      <c r="AT197" s="11" t="s">
        <v>1034</v>
      </c>
      <c r="AU197" s="11"/>
      <c r="AV197" s="11"/>
      <c r="AW197" s="12">
        <v>1</v>
      </c>
      <c r="AX197" s="12">
        <v>1</v>
      </c>
      <c r="AY197" s="12">
        <v>1</v>
      </c>
      <c r="AZ197" s="12"/>
      <c r="BA197" s="12"/>
      <c r="BB197" s="12"/>
      <c r="BC197" s="12"/>
      <c r="BD197" s="11" t="s">
        <v>1115</v>
      </c>
      <c r="BE197" s="11" t="s">
        <v>1116</v>
      </c>
    </row>
    <row r="198" spans="1:57" s="8" customFormat="1" ht="87" x14ac:dyDescent="0.35">
      <c r="A198" s="7" t="s">
        <v>398</v>
      </c>
      <c r="B198" s="7" t="s">
        <v>399</v>
      </c>
      <c r="C198" s="3" t="s">
        <v>402</v>
      </c>
      <c r="D198" s="3" t="s">
        <v>52</v>
      </c>
      <c r="E198" s="3"/>
      <c r="F198" s="3" t="s">
        <v>53</v>
      </c>
      <c r="G198" s="3" t="s">
        <v>50</v>
      </c>
      <c r="H198" s="4">
        <v>686</v>
      </c>
      <c r="I198" s="4">
        <v>500</v>
      </c>
      <c r="J198" s="3" t="s">
        <v>26</v>
      </c>
      <c r="K198" s="4" t="b">
        <v>0</v>
      </c>
      <c r="L198" s="6">
        <v>0.33333333333333298</v>
      </c>
      <c r="M198" s="6">
        <v>0.33333333333333298</v>
      </c>
      <c r="N198" s="3" t="s">
        <v>54</v>
      </c>
      <c r="O198" s="3" t="s">
        <v>55</v>
      </c>
      <c r="P198" s="3" t="s">
        <v>403</v>
      </c>
      <c r="Q198" s="3" t="s">
        <v>1930</v>
      </c>
      <c r="R198" s="3" t="s">
        <v>1029</v>
      </c>
      <c r="S198" s="3" t="s">
        <v>1006</v>
      </c>
      <c r="T198" s="3" t="s">
        <v>1007</v>
      </c>
      <c r="U198" s="11" t="s">
        <v>1931</v>
      </c>
      <c r="V198" s="11" t="s">
        <v>1031</v>
      </c>
      <c r="W198" s="11" t="s">
        <v>1032</v>
      </c>
      <c r="X198" s="13">
        <v>0.7</v>
      </c>
      <c r="Y198" s="12"/>
      <c r="Z198" s="11"/>
      <c r="AA198" s="11"/>
      <c r="AB198" s="11"/>
      <c r="AC198" s="11">
        <v>6</v>
      </c>
      <c r="AD198" s="11" t="s">
        <v>1076</v>
      </c>
      <c r="AE198" s="11" t="s">
        <v>1932</v>
      </c>
      <c r="AF198" s="11" t="s">
        <v>1014</v>
      </c>
      <c r="AG198" s="11" t="s">
        <v>1015</v>
      </c>
      <c r="AH198" s="11" t="s">
        <v>1078</v>
      </c>
      <c r="AI198" s="11" t="s">
        <v>1016</v>
      </c>
      <c r="AJ198" s="11"/>
      <c r="AK198" s="11" t="s">
        <v>1079</v>
      </c>
      <c r="AL198" s="11" t="s">
        <v>1017</v>
      </c>
      <c r="AM198" s="11" t="s">
        <v>1080</v>
      </c>
      <c r="AN198" s="11" t="s">
        <v>1019</v>
      </c>
      <c r="AO198" s="11" t="s">
        <v>1356</v>
      </c>
      <c r="AP198" s="11" t="s">
        <v>1021</v>
      </c>
      <c r="AQ198" s="11" t="s">
        <v>1779</v>
      </c>
      <c r="AR198" s="11" t="s">
        <v>1025</v>
      </c>
      <c r="AS198" s="11" t="s">
        <v>1358</v>
      </c>
      <c r="AT198" s="11" t="s">
        <v>1025</v>
      </c>
      <c r="AU198" s="11" t="s">
        <v>1359</v>
      </c>
      <c r="AV198" s="11" t="s">
        <v>1358</v>
      </c>
      <c r="AW198" s="12">
        <v>4</v>
      </c>
      <c r="AX198" s="12">
        <v>4</v>
      </c>
      <c r="AY198" s="12">
        <v>4</v>
      </c>
      <c r="AZ198" s="12">
        <v>2</v>
      </c>
      <c r="BA198" s="12">
        <v>1</v>
      </c>
      <c r="BB198" s="12">
        <v>4</v>
      </c>
      <c r="BC198" s="12">
        <v>1</v>
      </c>
      <c r="BD198" s="11" t="s">
        <v>1026</v>
      </c>
      <c r="BE198" s="11" t="s">
        <v>1027</v>
      </c>
    </row>
    <row r="199" spans="1:57" s="8" customFormat="1" ht="58" x14ac:dyDescent="0.35">
      <c r="A199" s="7" t="s">
        <v>398</v>
      </c>
      <c r="B199" s="7" t="s">
        <v>399</v>
      </c>
      <c r="C199" s="3" t="s">
        <v>402</v>
      </c>
      <c r="D199" s="3" t="s">
        <v>57</v>
      </c>
      <c r="E199" s="3"/>
      <c r="F199" s="3" t="s">
        <v>53</v>
      </c>
      <c r="G199" s="3" t="s">
        <v>50</v>
      </c>
      <c r="H199" s="4">
        <v>686</v>
      </c>
      <c r="I199" s="4">
        <v>300</v>
      </c>
      <c r="J199" s="3" t="s">
        <v>26</v>
      </c>
      <c r="K199" s="4" t="b">
        <v>0</v>
      </c>
      <c r="L199" s="6">
        <v>0.33333333333333298</v>
      </c>
      <c r="M199" s="6">
        <v>0.33333333333333298</v>
      </c>
      <c r="N199" s="3" t="s">
        <v>58</v>
      </c>
      <c r="O199" s="3" t="s">
        <v>59</v>
      </c>
      <c r="P199" s="3" t="s">
        <v>403</v>
      </c>
      <c r="Q199" s="3" t="s">
        <v>1930</v>
      </c>
      <c r="R199" s="3" t="s">
        <v>1029</v>
      </c>
      <c r="S199" s="3" t="s">
        <v>1006</v>
      </c>
      <c r="T199" s="3" t="s">
        <v>1007</v>
      </c>
      <c r="U199" s="11" t="s">
        <v>1931</v>
      </c>
      <c r="V199" s="11" t="s">
        <v>1031</v>
      </c>
      <c r="W199" s="11" t="s">
        <v>1032</v>
      </c>
      <c r="X199" s="13">
        <v>0.7</v>
      </c>
      <c r="Y199" s="12"/>
      <c r="Z199" s="11"/>
      <c r="AA199" s="11"/>
      <c r="AB199" s="11"/>
      <c r="AC199" s="11">
        <v>1</v>
      </c>
      <c r="AD199" s="11" t="s">
        <v>1227</v>
      </c>
      <c r="AE199" s="11" t="s">
        <v>1933</v>
      </c>
      <c r="AF199" s="11" t="s">
        <v>1014</v>
      </c>
      <c r="AG199" s="11" t="s">
        <v>1015</v>
      </c>
      <c r="AH199" s="11"/>
      <c r="AI199" s="11" t="s">
        <v>1016</v>
      </c>
      <c r="AJ199" s="11"/>
      <c r="AK199" s="11" t="s">
        <v>1229</v>
      </c>
      <c r="AL199" s="11" t="s">
        <v>1017</v>
      </c>
      <c r="AM199" s="11" t="s">
        <v>1230</v>
      </c>
      <c r="AN199" s="11" t="s">
        <v>1019</v>
      </c>
      <c r="AO199" s="11" t="s">
        <v>1356</v>
      </c>
      <c r="AP199" s="11" t="s">
        <v>1021</v>
      </c>
      <c r="AQ199" s="11" t="s">
        <v>1779</v>
      </c>
      <c r="AR199" s="11" t="s">
        <v>1025</v>
      </c>
      <c r="AS199" s="11" t="s">
        <v>1358</v>
      </c>
      <c r="AT199" s="11" t="s">
        <v>1025</v>
      </c>
      <c r="AU199" s="11" t="s">
        <v>1359</v>
      </c>
      <c r="AV199" s="11" t="s">
        <v>1358</v>
      </c>
      <c r="AW199" s="12">
        <v>4</v>
      </c>
      <c r="AX199" s="12">
        <v>4</v>
      </c>
      <c r="AY199" s="12">
        <v>4</v>
      </c>
      <c r="AZ199" s="12">
        <v>2</v>
      </c>
      <c r="BA199" s="12">
        <v>1</v>
      </c>
      <c r="BB199" s="12">
        <v>4</v>
      </c>
      <c r="BC199" s="12">
        <v>1</v>
      </c>
      <c r="BD199" s="11" t="s">
        <v>1026</v>
      </c>
      <c r="BE199" s="11" t="s">
        <v>1027</v>
      </c>
    </row>
    <row r="200" spans="1:57" s="8" customFormat="1" ht="58" x14ac:dyDescent="0.35">
      <c r="A200" s="7" t="s">
        <v>398</v>
      </c>
      <c r="B200" s="7" t="s">
        <v>399</v>
      </c>
      <c r="C200" s="3" t="s">
        <v>404</v>
      </c>
      <c r="D200" s="3" t="s">
        <v>57</v>
      </c>
      <c r="E200" s="3"/>
      <c r="F200" s="3" t="s">
        <v>53</v>
      </c>
      <c r="G200" s="3" t="s">
        <v>50</v>
      </c>
      <c r="H200" s="4">
        <v>355</v>
      </c>
      <c r="I200" s="4">
        <v>300</v>
      </c>
      <c r="J200" s="3" t="s">
        <v>26</v>
      </c>
      <c r="K200" s="4" t="b">
        <v>0</v>
      </c>
      <c r="L200" s="6">
        <v>0.33333333333333298</v>
      </c>
      <c r="M200" s="6">
        <v>0.33333333333333298</v>
      </c>
      <c r="N200" s="3" t="s">
        <v>58</v>
      </c>
      <c r="O200" s="3" t="s">
        <v>59</v>
      </c>
      <c r="P200" s="3" t="s">
        <v>405</v>
      </c>
      <c r="Q200" s="3" t="s">
        <v>1257</v>
      </c>
      <c r="R200" s="3" t="s">
        <v>1074</v>
      </c>
      <c r="S200" s="3" t="s">
        <v>1006</v>
      </c>
      <c r="T200" s="3" t="s">
        <v>1007</v>
      </c>
      <c r="U200" s="11" t="s">
        <v>1934</v>
      </c>
      <c r="V200" s="11" t="s">
        <v>1031</v>
      </c>
      <c r="W200" s="11" t="s">
        <v>1032</v>
      </c>
      <c r="X200" s="13">
        <v>0.7</v>
      </c>
      <c r="Y200" s="12"/>
      <c r="Z200" s="11"/>
      <c r="AA200" s="11"/>
      <c r="AB200" s="11"/>
      <c r="AC200" s="11">
        <v>0</v>
      </c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 t="s">
        <v>1019</v>
      </c>
      <c r="AO200" s="11" t="s">
        <v>1259</v>
      </c>
      <c r="AP200" s="11" t="s">
        <v>1021</v>
      </c>
      <c r="AQ200" s="11" t="s">
        <v>1260</v>
      </c>
      <c r="AR200" s="11" t="s">
        <v>1023</v>
      </c>
      <c r="AS200" s="11" t="s">
        <v>1261</v>
      </c>
      <c r="AT200" s="11" t="s">
        <v>1025</v>
      </c>
      <c r="AU200" s="11" t="s">
        <v>1260</v>
      </c>
      <c r="AV200" s="11" t="s">
        <v>1261</v>
      </c>
      <c r="AW200" s="12">
        <v>3</v>
      </c>
      <c r="AX200" s="12">
        <v>3</v>
      </c>
      <c r="AY200" s="12">
        <v>4</v>
      </c>
      <c r="AZ200" s="12">
        <v>3</v>
      </c>
      <c r="BA200" s="12">
        <v>2</v>
      </c>
      <c r="BB200" s="12">
        <v>3</v>
      </c>
      <c r="BC200" s="12">
        <v>1</v>
      </c>
      <c r="BD200" s="11" t="s">
        <v>1026</v>
      </c>
      <c r="BE200" s="11" t="s">
        <v>1027</v>
      </c>
    </row>
    <row r="201" spans="1:57" s="8" customFormat="1" ht="43.5" x14ac:dyDescent="0.35">
      <c r="A201" s="7" t="s">
        <v>398</v>
      </c>
      <c r="B201" s="7" t="s">
        <v>399</v>
      </c>
      <c r="C201" s="3" t="s">
        <v>406</v>
      </c>
      <c r="D201" s="3" t="s">
        <v>57</v>
      </c>
      <c r="E201" s="3"/>
      <c r="F201" s="3" t="s">
        <v>53</v>
      </c>
      <c r="G201" s="3" t="s">
        <v>50</v>
      </c>
      <c r="H201" s="4">
        <v>496</v>
      </c>
      <c r="I201" s="4">
        <v>300</v>
      </c>
      <c r="J201" s="3" t="s">
        <v>26</v>
      </c>
      <c r="K201" s="4" t="b">
        <v>0</v>
      </c>
      <c r="L201" s="6">
        <v>0.33333333333333298</v>
      </c>
      <c r="M201" s="6">
        <v>0.33333333333333298</v>
      </c>
      <c r="N201" s="3" t="s">
        <v>58</v>
      </c>
      <c r="O201" s="3" t="s">
        <v>59</v>
      </c>
      <c r="P201" s="3" t="s">
        <v>407</v>
      </c>
      <c r="Q201" s="3" t="s">
        <v>1935</v>
      </c>
      <c r="R201" s="3" t="s">
        <v>1029</v>
      </c>
      <c r="S201" s="3" t="s">
        <v>1006</v>
      </c>
      <c r="T201" s="3" t="s">
        <v>1007</v>
      </c>
      <c r="U201" s="11" t="s">
        <v>1936</v>
      </c>
      <c r="V201" s="11" t="s">
        <v>1031</v>
      </c>
      <c r="W201" s="11" t="s">
        <v>1032</v>
      </c>
      <c r="X201" s="13">
        <v>0.7</v>
      </c>
      <c r="Y201" s="12"/>
      <c r="Z201" s="11"/>
      <c r="AA201" s="11"/>
      <c r="AB201" s="11"/>
      <c r="AC201" s="11">
        <v>0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 t="s">
        <v>1019</v>
      </c>
      <c r="AO201" s="11" t="s">
        <v>1937</v>
      </c>
      <c r="AP201" s="11" t="s">
        <v>1021</v>
      </c>
      <c r="AQ201" s="11" t="s">
        <v>1938</v>
      </c>
      <c r="AR201" s="11" t="s">
        <v>1050</v>
      </c>
      <c r="AS201" s="11" t="s">
        <v>1939</v>
      </c>
      <c r="AT201" s="11" t="s">
        <v>1050</v>
      </c>
      <c r="AU201" s="11" t="s">
        <v>1938</v>
      </c>
      <c r="AV201" s="11" t="s">
        <v>1939</v>
      </c>
      <c r="AW201" s="12">
        <v>0</v>
      </c>
      <c r="AX201" s="12">
        <v>1</v>
      </c>
      <c r="AY201" s="12">
        <v>1</v>
      </c>
      <c r="AZ201" s="12">
        <v>1</v>
      </c>
      <c r="BA201" s="12">
        <v>1</v>
      </c>
      <c r="BB201" s="12">
        <v>1</v>
      </c>
      <c r="BC201" s="12">
        <v>1</v>
      </c>
      <c r="BD201" s="11" t="s">
        <v>1026</v>
      </c>
      <c r="BE201" s="11" t="s">
        <v>1103</v>
      </c>
    </row>
    <row r="202" spans="1:57" s="8" customFormat="1" ht="72.5" x14ac:dyDescent="0.35">
      <c r="A202" s="7" t="s">
        <v>398</v>
      </c>
      <c r="B202" s="7" t="s">
        <v>399</v>
      </c>
      <c r="C202" s="3" t="s">
        <v>408</v>
      </c>
      <c r="D202" s="3" t="s">
        <v>57</v>
      </c>
      <c r="E202" s="3"/>
      <c r="F202" s="3" t="s">
        <v>53</v>
      </c>
      <c r="G202" s="3" t="s">
        <v>50</v>
      </c>
      <c r="H202" s="4">
        <v>534</v>
      </c>
      <c r="I202" s="4">
        <v>300</v>
      </c>
      <c r="J202" s="3" t="s">
        <v>26</v>
      </c>
      <c r="K202" s="4" t="b">
        <v>0</v>
      </c>
      <c r="L202" s="6">
        <v>0.33333333333333298</v>
      </c>
      <c r="M202" s="6">
        <v>0.33333333333333298</v>
      </c>
      <c r="N202" s="3" t="s">
        <v>58</v>
      </c>
      <c r="O202" s="3" t="s">
        <v>59</v>
      </c>
      <c r="P202" s="3" t="s">
        <v>409</v>
      </c>
      <c r="Q202" s="3" t="s">
        <v>1940</v>
      </c>
      <c r="R202" s="3" t="s">
        <v>1074</v>
      </c>
      <c r="S202" s="3" t="s">
        <v>1006</v>
      </c>
      <c r="T202" s="3" t="s">
        <v>1007</v>
      </c>
      <c r="U202" s="11" t="s">
        <v>1941</v>
      </c>
      <c r="V202" s="11" t="s">
        <v>1031</v>
      </c>
      <c r="W202" s="11" t="s">
        <v>1032</v>
      </c>
      <c r="X202" s="13">
        <v>0.7</v>
      </c>
      <c r="Y202" s="12"/>
      <c r="Z202" s="11"/>
      <c r="AA202" s="11"/>
      <c r="AB202" s="11"/>
      <c r="AC202" s="11">
        <v>0</v>
      </c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 t="s">
        <v>1019</v>
      </c>
      <c r="AO202" s="11" t="s">
        <v>1942</v>
      </c>
      <c r="AP202" s="11" t="s">
        <v>1114</v>
      </c>
      <c r="AQ202" s="11"/>
      <c r="AR202" s="11" t="s">
        <v>1034</v>
      </c>
      <c r="AS202" s="11"/>
      <c r="AT202" s="11" t="s">
        <v>1034</v>
      </c>
      <c r="AU202" s="11"/>
      <c r="AV202" s="11"/>
      <c r="AW202" s="12">
        <v>0</v>
      </c>
      <c r="AX202" s="12">
        <v>1</v>
      </c>
      <c r="AY202" s="12">
        <v>1</v>
      </c>
      <c r="AZ202" s="12"/>
      <c r="BA202" s="12"/>
      <c r="BB202" s="12"/>
      <c r="BC202" s="12"/>
      <c r="BD202" s="11" t="s">
        <v>1115</v>
      </c>
      <c r="BE202" s="11" t="s">
        <v>1116</v>
      </c>
    </row>
    <row r="203" spans="1:57" s="8" customFormat="1" ht="58" x14ac:dyDescent="0.35">
      <c r="A203" s="7" t="s">
        <v>398</v>
      </c>
      <c r="B203" s="7" t="s">
        <v>399</v>
      </c>
      <c r="C203" s="3" t="s">
        <v>410</v>
      </c>
      <c r="D203" s="3" t="s">
        <v>57</v>
      </c>
      <c r="E203" s="3"/>
      <c r="F203" s="3" t="s">
        <v>53</v>
      </c>
      <c r="G203" s="3" t="s">
        <v>50</v>
      </c>
      <c r="H203" s="4">
        <v>427</v>
      </c>
      <c r="I203" s="4">
        <v>300</v>
      </c>
      <c r="J203" s="3" t="s">
        <v>26</v>
      </c>
      <c r="K203" s="4" t="b">
        <v>0</v>
      </c>
      <c r="L203" s="6">
        <v>0.33333333333333298</v>
      </c>
      <c r="M203" s="6">
        <v>0.33333333333333298</v>
      </c>
      <c r="N203" s="3" t="s">
        <v>58</v>
      </c>
      <c r="O203" s="3" t="s">
        <v>59</v>
      </c>
      <c r="P203" s="3" t="s">
        <v>411</v>
      </c>
      <c r="Q203" s="3" t="s">
        <v>1257</v>
      </c>
      <c r="R203" s="3" t="s">
        <v>1074</v>
      </c>
      <c r="S203" s="3" t="s">
        <v>1006</v>
      </c>
      <c r="T203" s="3" t="s">
        <v>1007</v>
      </c>
      <c r="U203" s="11" t="s">
        <v>1943</v>
      </c>
      <c r="V203" s="11" t="s">
        <v>1031</v>
      </c>
      <c r="W203" s="11" t="s">
        <v>1032</v>
      </c>
      <c r="X203" s="13">
        <v>0.7</v>
      </c>
      <c r="Y203" s="12"/>
      <c r="Z203" s="11"/>
      <c r="AA203" s="11"/>
      <c r="AB203" s="11"/>
      <c r="AC203" s="11">
        <v>0</v>
      </c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 t="s">
        <v>1019</v>
      </c>
      <c r="AO203" s="11" t="s">
        <v>1259</v>
      </c>
      <c r="AP203" s="11" t="s">
        <v>1021</v>
      </c>
      <c r="AQ203" s="11" t="s">
        <v>1260</v>
      </c>
      <c r="AR203" s="11" t="s">
        <v>1023</v>
      </c>
      <c r="AS203" s="11" t="s">
        <v>1261</v>
      </c>
      <c r="AT203" s="11" t="s">
        <v>1025</v>
      </c>
      <c r="AU203" s="11" t="s">
        <v>1260</v>
      </c>
      <c r="AV203" s="11" t="s">
        <v>1261</v>
      </c>
      <c r="AW203" s="12">
        <v>3</v>
      </c>
      <c r="AX203" s="12">
        <v>3</v>
      </c>
      <c r="AY203" s="12">
        <v>4</v>
      </c>
      <c r="AZ203" s="12">
        <v>3</v>
      </c>
      <c r="BA203" s="12">
        <v>2</v>
      </c>
      <c r="BB203" s="12">
        <v>3</v>
      </c>
      <c r="BC203" s="12">
        <v>1</v>
      </c>
      <c r="BD203" s="11" t="s">
        <v>1026</v>
      </c>
      <c r="BE203" s="11" t="s">
        <v>1027</v>
      </c>
    </row>
    <row r="204" spans="1:57" s="8" customFormat="1" ht="58" x14ac:dyDescent="0.35">
      <c r="A204" s="7" t="s">
        <v>398</v>
      </c>
      <c r="B204" s="7" t="s">
        <v>399</v>
      </c>
      <c r="C204" s="3" t="s">
        <v>412</v>
      </c>
      <c r="D204" s="3" t="s">
        <v>52</v>
      </c>
      <c r="E204" s="3"/>
      <c r="F204" s="3" t="s">
        <v>53</v>
      </c>
      <c r="G204" s="3" t="s">
        <v>50</v>
      </c>
      <c r="H204" s="4">
        <v>1253</v>
      </c>
      <c r="I204" s="4">
        <v>500</v>
      </c>
      <c r="J204" s="3" t="s">
        <v>26</v>
      </c>
      <c r="K204" s="4" t="b">
        <v>0</v>
      </c>
      <c r="L204" s="6">
        <v>0.33333333333333298</v>
      </c>
      <c r="M204" s="6">
        <v>0.33333333333333298</v>
      </c>
      <c r="N204" s="3" t="s">
        <v>54</v>
      </c>
      <c r="O204" s="3" t="s">
        <v>55</v>
      </c>
      <c r="P204" s="3" t="s">
        <v>413</v>
      </c>
      <c r="Q204" s="3" t="s">
        <v>1944</v>
      </c>
      <c r="R204" s="3" t="s">
        <v>1029</v>
      </c>
      <c r="S204" s="3" t="s">
        <v>1006</v>
      </c>
      <c r="T204" s="3" t="s">
        <v>1007</v>
      </c>
      <c r="U204" s="11" t="s">
        <v>1945</v>
      </c>
      <c r="V204" s="11" t="s">
        <v>1064</v>
      </c>
      <c r="W204" s="11" t="s">
        <v>1065</v>
      </c>
      <c r="X204" s="13">
        <v>1</v>
      </c>
      <c r="Y204" s="12"/>
      <c r="Z204" s="11"/>
      <c r="AA204" s="11"/>
      <c r="AB204" s="11"/>
      <c r="AC204" s="11">
        <v>3</v>
      </c>
      <c r="AD204" s="11" t="s">
        <v>1076</v>
      </c>
      <c r="AE204" s="11" t="s">
        <v>1946</v>
      </c>
      <c r="AF204" s="11" t="s">
        <v>1014</v>
      </c>
      <c r="AG204" s="11" t="s">
        <v>1015</v>
      </c>
      <c r="AH204" s="11" t="s">
        <v>1078</v>
      </c>
      <c r="AI204" s="11" t="s">
        <v>1016</v>
      </c>
      <c r="AJ204" s="11"/>
      <c r="AK204" s="11" t="s">
        <v>1079</v>
      </c>
      <c r="AL204" s="11" t="s">
        <v>1017</v>
      </c>
      <c r="AM204" s="11" t="s">
        <v>1080</v>
      </c>
      <c r="AN204" s="11" t="s">
        <v>1019</v>
      </c>
      <c r="AO204" s="11" t="s">
        <v>1947</v>
      </c>
      <c r="AP204" s="11" t="s">
        <v>1021</v>
      </c>
      <c r="AQ204" s="11" t="s">
        <v>1948</v>
      </c>
      <c r="AR204" s="11" t="s">
        <v>1048</v>
      </c>
      <c r="AS204" s="11" t="s">
        <v>1949</v>
      </c>
      <c r="AT204" s="11" t="s">
        <v>1050</v>
      </c>
      <c r="AU204" s="11" t="s">
        <v>1948</v>
      </c>
      <c r="AV204" s="11" t="s">
        <v>1949</v>
      </c>
      <c r="AW204" s="12">
        <v>1</v>
      </c>
      <c r="AX204" s="12">
        <v>1</v>
      </c>
      <c r="AY204" s="12">
        <v>1</v>
      </c>
      <c r="AZ204" s="12">
        <v>1</v>
      </c>
      <c r="BA204" s="12">
        <v>3</v>
      </c>
      <c r="BB204" s="12">
        <v>1</v>
      </c>
      <c r="BC204" s="12">
        <v>1</v>
      </c>
      <c r="BD204" s="11" t="s">
        <v>1026</v>
      </c>
      <c r="BE204" s="11" t="s">
        <v>1051</v>
      </c>
    </row>
    <row r="205" spans="1:57" s="8" customFormat="1" ht="58" x14ac:dyDescent="0.35">
      <c r="A205" s="7" t="s">
        <v>398</v>
      </c>
      <c r="B205" s="7" t="s">
        <v>399</v>
      </c>
      <c r="C205" s="3" t="s">
        <v>414</v>
      </c>
      <c r="D205" s="3" t="s">
        <v>57</v>
      </c>
      <c r="E205" s="3"/>
      <c r="F205" s="3" t="s">
        <v>53</v>
      </c>
      <c r="G205" s="3" t="s">
        <v>50</v>
      </c>
      <c r="H205" s="4">
        <v>354</v>
      </c>
      <c r="I205" s="4">
        <v>300</v>
      </c>
      <c r="J205" s="3" t="s">
        <v>26</v>
      </c>
      <c r="K205" s="4" t="b">
        <v>0</v>
      </c>
      <c r="L205" s="6">
        <v>0.33333333333333298</v>
      </c>
      <c r="M205" s="6">
        <v>0.33333333333333298</v>
      </c>
      <c r="N205" s="3" t="s">
        <v>58</v>
      </c>
      <c r="O205" s="3" t="s">
        <v>59</v>
      </c>
      <c r="P205" s="3" t="s">
        <v>415</v>
      </c>
      <c r="Q205" s="3" t="s">
        <v>1950</v>
      </c>
      <c r="R205" s="3" t="s">
        <v>1029</v>
      </c>
      <c r="S205" s="3" t="s">
        <v>1006</v>
      </c>
      <c r="T205" s="3" t="s">
        <v>1007</v>
      </c>
      <c r="U205" s="11" t="s">
        <v>1951</v>
      </c>
      <c r="V205" s="11" t="s">
        <v>1064</v>
      </c>
      <c r="W205" s="11" t="s">
        <v>1065</v>
      </c>
      <c r="X205" s="13">
        <v>1</v>
      </c>
      <c r="Y205" s="12"/>
      <c r="Z205" s="11"/>
      <c r="AA205" s="11"/>
      <c r="AB205" s="11"/>
      <c r="AC205" s="11">
        <v>0</v>
      </c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 t="s">
        <v>1019</v>
      </c>
      <c r="AO205" s="11" t="s">
        <v>1130</v>
      </c>
      <c r="AP205" s="11" t="s">
        <v>1021</v>
      </c>
      <c r="AQ205" s="11" t="s">
        <v>1131</v>
      </c>
      <c r="AR205" s="11" t="s">
        <v>1048</v>
      </c>
      <c r="AS205" s="11" t="s">
        <v>1132</v>
      </c>
      <c r="AT205" s="11" t="s">
        <v>1050</v>
      </c>
      <c r="AU205" s="11" t="s">
        <v>1131</v>
      </c>
      <c r="AV205" s="11" t="s">
        <v>1132</v>
      </c>
      <c r="AW205" s="12">
        <v>1</v>
      </c>
      <c r="AX205" s="12">
        <v>1</v>
      </c>
      <c r="AY205" s="12">
        <v>1</v>
      </c>
      <c r="AZ205" s="12">
        <v>1</v>
      </c>
      <c r="BA205" s="12">
        <v>3</v>
      </c>
      <c r="BB205" s="12">
        <v>1</v>
      </c>
      <c r="BC205" s="12">
        <v>1</v>
      </c>
      <c r="BD205" s="11" t="s">
        <v>1026</v>
      </c>
      <c r="BE205" s="11" t="s">
        <v>1051</v>
      </c>
    </row>
    <row r="206" spans="1:57" s="8" customFormat="1" ht="87" x14ac:dyDescent="0.35">
      <c r="A206" s="7" t="s">
        <v>398</v>
      </c>
      <c r="B206" s="7" t="s">
        <v>399</v>
      </c>
      <c r="C206" s="3" t="s">
        <v>416</v>
      </c>
      <c r="D206" s="3" t="s">
        <v>41</v>
      </c>
      <c r="E206" s="3" t="s">
        <v>41</v>
      </c>
      <c r="F206" s="3" t="s">
        <v>36</v>
      </c>
      <c r="G206" s="3" t="s">
        <v>25</v>
      </c>
      <c r="H206" s="4">
        <v>1762</v>
      </c>
      <c r="I206" s="4">
        <v>150</v>
      </c>
      <c r="J206" s="3" t="s">
        <v>26</v>
      </c>
      <c r="K206" s="4" t="b">
        <v>1</v>
      </c>
      <c r="L206" s="6">
        <v>1</v>
      </c>
      <c r="M206" s="6">
        <v>1</v>
      </c>
      <c r="N206" s="3" t="s">
        <v>42</v>
      </c>
      <c r="O206" s="3"/>
      <c r="P206" s="3" t="s">
        <v>417</v>
      </c>
      <c r="Q206" s="3" t="s">
        <v>1952</v>
      </c>
      <c r="R206" s="3" t="s">
        <v>1039</v>
      </c>
      <c r="S206" s="3" t="s">
        <v>1055</v>
      </c>
      <c r="T206" s="3" t="s">
        <v>1953</v>
      </c>
      <c r="U206" s="11" t="s">
        <v>1954</v>
      </c>
      <c r="V206" s="11" t="s">
        <v>1043</v>
      </c>
      <c r="W206" s="11" t="s">
        <v>1044</v>
      </c>
      <c r="X206" s="13">
        <v>1</v>
      </c>
      <c r="Y206" s="12" t="s">
        <v>1058</v>
      </c>
      <c r="Z206" s="11"/>
      <c r="AA206" s="11"/>
      <c r="AB206" s="11"/>
      <c r="AC206" s="11">
        <v>0</v>
      </c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 t="s">
        <v>1019</v>
      </c>
      <c r="AO206" s="11" t="s">
        <v>1059</v>
      </c>
      <c r="AP206" s="11" t="s">
        <v>1021</v>
      </c>
      <c r="AQ206" s="11" t="s">
        <v>1060</v>
      </c>
      <c r="AR206" s="11" t="s">
        <v>1023</v>
      </c>
      <c r="AS206" s="11" t="s">
        <v>1061</v>
      </c>
      <c r="AT206" s="11" t="s">
        <v>1023</v>
      </c>
      <c r="AU206" s="11" t="s">
        <v>1060</v>
      </c>
      <c r="AV206" s="11" t="s">
        <v>1061</v>
      </c>
      <c r="AW206" s="12">
        <v>3</v>
      </c>
      <c r="AX206" s="12">
        <v>4</v>
      </c>
      <c r="AY206" s="12">
        <v>4</v>
      </c>
      <c r="AZ206" s="12">
        <v>4</v>
      </c>
      <c r="BA206" s="12">
        <v>6</v>
      </c>
      <c r="BB206" s="12">
        <v>4</v>
      </c>
      <c r="BC206" s="12">
        <v>2</v>
      </c>
      <c r="BD206" s="11" t="s">
        <v>1026</v>
      </c>
      <c r="BE206" s="11" t="s">
        <v>1027</v>
      </c>
    </row>
    <row r="207" spans="1:57" s="8" customFormat="1" ht="58" x14ac:dyDescent="0.35">
      <c r="A207" s="7" t="s">
        <v>398</v>
      </c>
      <c r="B207" s="7" t="s">
        <v>399</v>
      </c>
      <c r="C207" s="3" t="s">
        <v>418</v>
      </c>
      <c r="D207" s="3" t="s">
        <v>261</v>
      </c>
      <c r="E207" s="3"/>
      <c r="F207" s="3" t="s">
        <v>31</v>
      </c>
      <c r="G207" s="3" t="s">
        <v>50</v>
      </c>
      <c r="H207" s="4">
        <v>952</v>
      </c>
      <c r="I207" s="4">
        <v>500</v>
      </c>
      <c r="J207" s="3" t="s">
        <v>26</v>
      </c>
      <c r="K207" s="4" t="b">
        <v>1</v>
      </c>
      <c r="L207" s="6">
        <v>1</v>
      </c>
      <c r="M207" s="6">
        <v>1</v>
      </c>
      <c r="N207" s="3" t="s">
        <v>262</v>
      </c>
      <c r="O207" s="3"/>
      <c r="P207" s="3" t="s">
        <v>419</v>
      </c>
      <c r="Q207" s="3" t="s">
        <v>1955</v>
      </c>
      <c r="R207" s="3" t="s">
        <v>1029</v>
      </c>
      <c r="S207" s="3" t="s">
        <v>1006</v>
      </c>
      <c r="T207" s="3" t="s">
        <v>1007</v>
      </c>
      <c r="U207" s="11" t="s">
        <v>1956</v>
      </c>
      <c r="V207" s="11" t="s">
        <v>1031</v>
      </c>
      <c r="W207" s="11" t="s">
        <v>1032</v>
      </c>
      <c r="X207" s="13">
        <v>0.7</v>
      </c>
      <c r="Y207" s="12"/>
      <c r="Z207" s="11"/>
      <c r="AA207" s="11"/>
      <c r="AB207" s="11"/>
      <c r="AC207" s="11">
        <v>0</v>
      </c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 t="s">
        <v>1019</v>
      </c>
      <c r="AO207" s="11" t="s">
        <v>1630</v>
      </c>
      <c r="AP207" s="11" t="s">
        <v>1021</v>
      </c>
      <c r="AQ207" s="11" t="s">
        <v>1631</v>
      </c>
      <c r="AR207" s="11" t="s">
        <v>1048</v>
      </c>
      <c r="AS207" s="11" t="s">
        <v>1632</v>
      </c>
      <c r="AT207" s="11" t="s">
        <v>1050</v>
      </c>
      <c r="AU207" s="11" t="s">
        <v>1631</v>
      </c>
      <c r="AV207" s="11" t="s">
        <v>1632</v>
      </c>
      <c r="AW207" s="12">
        <v>1</v>
      </c>
      <c r="AX207" s="12">
        <v>1</v>
      </c>
      <c r="AY207" s="12">
        <v>1</v>
      </c>
      <c r="AZ207" s="12">
        <v>1</v>
      </c>
      <c r="BA207" s="12">
        <v>3</v>
      </c>
      <c r="BB207" s="12">
        <v>1</v>
      </c>
      <c r="BC207" s="12">
        <v>1</v>
      </c>
      <c r="BD207" s="11" t="s">
        <v>1026</v>
      </c>
      <c r="BE207" s="11" t="s">
        <v>1051</v>
      </c>
    </row>
    <row r="208" spans="1:57" s="8" customFormat="1" ht="58" x14ac:dyDescent="0.35">
      <c r="A208" s="7" t="s">
        <v>398</v>
      </c>
      <c r="B208" s="7" t="s">
        <v>399</v>
      </c>
      <c r="C208" s="3" t="s">
        <v>420</v>
      </c>
      <c r="D208" s="3" t="s">
        <v>57</v>
      </c>
      <c r="E208" s="3"/>
      <c r="F208" s="3" t="s">
        <v>53</v>
      </c>
      <c r="G208" s="3" t="s">
        <v>50</v>
      </c>
      <c r="H208" s="4">
        <v>595</v>
      </c>
      <c r="I208" s="4">
        <v>300</v>
      </c>
      <c r="J208" s="3" t="s">
        <v>26</v>
      </c>
      <c r="K208" s="4" t="b">
        <v>0</v>
      </c>
      <c r="L208" s="6">
        <v>0.33333333333333298</v>
      </c>
      <c r="M208" s="6">
        <v>0.33333333333333298</v>
      </c>
      <c r="N208" s="3" t="s">
        <v>58</v>
      </c>
      <c r="O208" s="3" t="s">
        <v>59</v>
      </c>
      <c r="P208" s="3" t="s">
        <v>421</v>
      </c>
      <c r="Q208" s="3" t="s">
        <v>1957</v>
      </c>
      <c r="R208" s="3" t="s">
        <v>1029</v>
      </c>
      <c r="S208" s="3" t="s">
        <v>1006</v>
      </c>
      <c r="T208" s="3" t="s">
        <v>1007</v>
      </c>
      <c r="U208" s="11" t="s">
        <v>1958</v>
      </c>
      <c r="V208" s="11" t="s">
        <v>1064</v>
      </c>
      <c r="W208" s="11" t="s">
        <v>1065</v>
      </c>
      <c r="X208" s="13">
        <v>1</v>
      </c>
      <c r="Y208" s="12"/>
      <c r="Z208" s="11"/>
      <c r="AA208" s="11"/>
      <c r="AB208" s="11"/>
      <c r="AC208" s="11">
        <v>0</v>
      </c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 t="s">
        <v>1019</v>
      </c>
      <c r="AO208" s="11" t="s">
        <v>1621</v>
      </c>
      <c r="AP208" s="11" t="s">
        <v>1021</v>
      </c>
      <c r="AQ208" s="11" t="s">
        <v>1622</v>
      </c>
      <c r="AR208" s="11" t="s">
        <v>1048</v>
      </c>
      <c r="AS208" s="11" t="s">
        <v>1623</v>
      </c>
      <c r="AT208" s="11" t="s">
        <v>1050</v>
      </c>
      <c r="AU208" s="11" t="s">
        <v>1622</v>
      </c>
      <c r="AV208" s="11" t="s">
        <v>1623</v>
      </c>
      <c r="AW208" s="12">
        <v>1</v>
      </c>
      <c r="AX208" s="12">
        <v>1</v>
      </c>
      <c r="AY208" s="12">
        <v>1</v>
      </c>
      <c r="AZ208" s="12">
        <v>1</v>
      </c>
      <c r="BA208" s="12">
        <v>4</v>
      </c>
      <c r="BB208" s="12">
        <v>1</v>
      </c>
      <c r="BC208" s="12">
        <v>1</v>
      </c>
      <c r="BD208" s="11" t="s">
        <v>1026</v>
      </c>
      <c r="BE208" s="11" t="s">
        <v>1051</v>
      </c>
    </row>
    <row r="209" spans="1:57" s="8" customFormat="1" ht="58" x14ac:dyDescent="0.35">
      <c r="A209" s="7" t="s">
        <v>398</v>
      </c>
      <c r="B209" s="7" t="s">
        <v>399</v>
      </c>
      <c r="C209" s="3" t="s">
        <v>420</v>
      </c>
      <c r="D209" s="3" t="s">
        <v>98</v>
      </c>
      <c r="E209" s="3"/>
      <c r="F209" s="3" t="s">
        <v>53</v>
      </c>
      <c r="G209" s="3" t="s">
        <v>50</v>
      </c>
      <c r="H209" s="4">
        <v>595</v>
      </c>
      <c r="I209" s="4">
        <v>300</v>
      </c>
      <c r="J209" s="3" t="s">
        <v>26</v>
      </c>
      <c r="K209" s="4" t="b">
        <v>0</v>
      </c>
      <c r="L209" s="6">
        <v>0.5</v>
      </c>
      <c r="M209" s="6">
        <v>0.5</v>
      </c>
      <c r="N209" s="3" t="s">
        <v>58</v>
      </c>
      <c r="O209" s="3" t="s">
        <v>99</v>
      </c>
      <c r="P209" s="3" t="s">
        <v>421</v>
      </c>
      <c r="Q209" s="3" t="s">
        <v>1957</v>
      </c>
      <c r="R209" s="3" t="s">
        <v>1029</v>
      </c>
      <c r="S209" s="3" t="s">
        <v>1006</v>
      </c>
      <c r="T209" s="3" t="s">
        <v>1007</v>
      </c>
      <c r="U209" s="11" t="s">
        <v>1958</v>
      </c>
      <c r="V209" s="11" t="s">
        <v>1064</v>
      </c>
      <c r="W209" s="11" t="s">
        <v>1065</v>
      </c>
      <c r="X209" s="13">
        <v>1</v>
      </c>
      <c r="Y209" s="12"/>
      <c r="Z209" s="11"/>
      <c r="AA209" s="11"/>
      <c r="AB209" s="11"/>
      <c r="AC209" s="11">
        <v>0</v>
      </c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 t="s">
        <v>1019</v>
      </c>
      <c r="AO209" s="11" t="s">
        <v>1621</v>
      </c>
      <c r="AP209" s="11" t="s">
        <v>1021</v>
      </c>
      <c r="AQ209" s="11" t="s">
        <v>1622</v>
      </c>
      <c r="AR209" s="11" t="s">
        <v>1048</v>
      </c>
      <c r="AS209" s="11" t="s">
        <v>1623</v>
      </c>
      <c r="AT209" s="11" t="s">
        <v>1050</v>
      </c>
      <c r="AU209" s="11" t="s">
        <v>1622</v>
      </c>
      <c r="AV209" s="11" t="s">
        <v>1623</v>
      </c>
      <c r="AW209" s="12">
        <v>1</v>
      </c>
      <c r="AX209" s="12">
        <v>1</v>
      </c>
      <c r="AY209" s="12">
        <v>1</v>
      </c>
      <c r="AZ209" s="12">
        <v>1</v>
      </c>
      <c r="BA209" s="12">
        <v>4</v>
      </c>
      <c r="BB209" s="12">
        <v>1</v>
      </c>
      <c r="BC209" s="12">
        <v>1</v>
      </c>
      <c r="BD209" s="11" t="s">
        <v>1026</v>
      </c>
      <c r="BE209" s="11" t="s">
        <v>1051</v>
      </c>
    </row>
    <row r="210" spans="1:57" s="8" customFormat="1" ht="72.5" x14ac:dyDescent="0.35">
      <c r="A210" s="7" t="s">
        <v>398</v>
      </c>
      <c r="B210" s="7" t="s">
        <v>399</v>
      </c>
      <c r="C210" s="3" t="s">
        <v>422</v>
      </c>
      <c r="D210" s="3" t="s">
        <v>41</v>
      </c>
      <c r="E210" s="3" t="s">
        <v>41</v>
      </c>
      <c r="F210" s="3" t="s">
        <v>36</v>
      </c>
      <c r="G210" s="3" t="s">
        <v>25</v>
      </c>
      <c r="H210" s="4">
        <v>1552</v>
      </c>
      <c r="I210" s="4">
        <v>150</v>
      </c>
      <c r="J210" s="3" t="s">
        <v>26</v>
      </c>
      <c r="K210" s="4" t="b">
        <v>1</v>
      </c>
      <c r="L210" s="6">
        <v>1</v>
      </c>
      <c r="M210" s="6">
        <v>1</v>
      </c>
      <c r="N210" s="3" t="s">
        <v>42</v>
      </c>
      <c r="O210" s="3"/>
      <c r="P210" s="3" t="s">
        <v>423</v>
      </c>
      <c r="Q210" s="3" t="s">
        <v>1959</v>
      </c>
      <c r="R210" s="3" t="s">
        <v>1039</v>
      </c>
      <c r="S210" s="3" t="s">
        <v>1006</v>
      </c>
      <c r="T210" s="3" t="s">
        <v>1617</v>
      </c>
      <c r="U210" s="11" t="s">
        <v>1960</v>
      </c>
      <c r="V210" s="11" t="s">
        <v>1043</v>
      </c>
      <c r="W210" s="11" t="s">
        <v>1044</v>
      </c>
      <c r="X210" s="13">
        <v>0.94</v>
      </c>
      <c r="Y210" s="12"/>
      <c r="Z210" s="11"/>
      <c r="AA210" s="11"/>
      <c r="AB210" s="11"/>
      <c r="AC210" s="11">
        <v>0</v>
      </c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 t="s">
        <v>1019</v>
      </c>
      <c r="AO210" s="11" t="s">
        <v>1113</v>
      </c>
      <c r="AP210" s="11" t="s">
        <v>1114</v>
      </c>
      <c r="AQ210" s="11"/>
      <c r="AR210" s="11" t="s">
        <v>1034</v>
      </c>
      <c r="AS210" s="11"/>
      <c r="AT210" s="11" t="s">
        <v>1034</v>
      </c>
      <c r="AU210" s="11"/>
      <c r="AV210" s="11"/>
      <c r="AW210" s="12">
        <v>1</v>
      </c>
      <c r="AX210" s="12">
        <v>1</v>
      </c>
      <c r="AY210" s="12">
        <v>1</v>
      </c>
      <c r="AZ210" s="12"/>
      <c r="BA210" s="12"/>
      <c r="BB210" s="12"/>
      <c r="BC210" s="12"/>
      <c r="BD210" s="11" t="s">
        <v>1115</v>
      </c>
      <c r="BE210" s="11" t="s">
        <v>1116</v>
      </c>
    </row>
    <row r="211" spans="1:57" s="8" customFormat="1" ht="246.5" x14ac:dyDescent="0.35">
      <c r="A211" s="7" t="s">
        <v>398</v>
      </c>
      <c r="B211" s="7" t="s">
        <v>399</v>
      </c>
      <c r="C211" s="3" t="s">
        <v>424</v>
      </c>
      <c r="D211" s="3" t="s">
        <v>35</v>
      </c>
      <c r="E211" s="3" t="s">
        <v>35</v>
      </c>
      <c r="F211" s="3" t="s">
        <v>36</v>
      </c>
      <c r="G211" s="3" t="s">
        <v>25</v>
      </c>
      <c r="H211" s="4">
        <v>3516</v>
      </c>
      <c r="I211" s="4">
        <v>400</v>
      </c>
      <c r="J211" s="3" t="s">
        <v>26</v>
      </c>
      <c r="K211" s="4" t="b">
        <v>1</v>
      </c>
      <c r="L211" s="6">
        <v>1</v>
      </c>
      <c r="M211" s="6">
        <v>1</v>
      </c>
      <c r="N211" s="3" t="s">
        <v>345</v>
      </c>
      <c r="O211" s="3"/>
      <c r="P211" s="3" t="s">
        <v>425</v>
      </c>
      <c r="Q211" s="3" t="s">
        <v>1961</v>
      </c>
      <c r="R211" s="3" t="s">
        <v>1139</v>
      </c>
      <c r="S211" s="3" t="s">
        <v>1962</v>
      </c>
      <c r="T211" s="3" t="s">
        <v>1007</v>
      </c>
      <c r="U211" s="11" t="s">
        <v>1963</v>
      </c>
      <c r="V211" s="11" t="s">
        <v>1009</v>
      </c>
      <c r="W211" s="11" t="s">
        <v>1010</v>
      </c>
      <c r="X211" s="13">
        <v>0.83</v>
      </c>
      <c r="Y211" s="12"/>
      <c r="Z211" s="11" t="s">
        <v>1964</v>
      </c>
      <c r="AA211" s="11"/>
      <c r="AB211" s="11"/>
      <c r="AC211" s="11">
        <v>0</v>
      </c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 t="s">
        <v>1019</v>
      </c>
      <c r="AO211" s="11" t="s">
        <v>1795</v>
      </c>
      <c r="AP211" s="11" t="s">
        <v>1021</v>
      </c>
      <c r="AQ211" s="11" t="s">
        <v>1796</v>
      </c>
      <c r="AR211" s="11" t="s">
        <v>1048</v>
      </c>
      <c r="AS211" s="11" t="s">
        <v>1797</v>
      </c>
      <c r="AT211" s="11" t="s">
        <v>1050</v>
      </c>
      <c r="AU211" s="11" t="s">
        <v>1796</v>
      </c>
      <c r="AV211" s="11" t="s">
        <v>1797</v>
      </c>
      <c r="AW211" s="12">
        <v>3</v>
      </c>
      <c r="AX211" s="12">
        <v>1</v>
      </c>
      <c r="AY211" s="12">
        <v>1</v>
      </c>
      <c r="AZ211" s="12">
        <v>1</v>
      </c>
      <c r="BA211" s="12">
        <v>2</v>
      </c>
      <c r="BB211" s="12">
        <v>1</v>
      </c>
      <c r="BC211" s="12">
        <v>1</v>
      </c>
      <c r="BD211" s="11" t="s">
        <v>1026</v>
      </c>
      <c r="BE211" s="11" t="s">
        <v>1051</v>
      </c>
    </row>
    <row r="212" spans="1:57" s="8" customFormat="1" ht="58" x14ac:dyDescent="0.35">
      <c r="A212" s="7" t="s">
        <v>398</v>
      </c>
      <c r="B212" s="7" t="s">
        <v>399</v>
      </c>
      <c r="C212" s="3" t="s">
        <v>426</v>
      </c>
      <c r="D212" s="3" t="s">
        <v>57</v>
      </c>
      <c r="E212" s="3"/>
      <c r="F212" s="3" t="s">
        <v>53</v>
      </c>
      <c r="G212" s="3" t="s">
        <v>50</v>
      </c>
      <c r="H212" s="4">
        <v>393</v>
      </c>
      <c r="I212" s="4">
        <v>300</v>
      </c>
      <c r="J212" s="3" t="s">
        <v>26</v>
      </c>
      <c r="K212" s="4" t="b">
        <v>0</v>
      </c>
      <c r="L212" s="6">
        <v>0.33333333333333298</v>
      </c>
      <c r="M212" s="6">
        <v>0.33333333333333298</v>
      </c>
      <c r="N212" s="3" t="s">
        <v>58</v>
      </c>
      <c r="O212" s="3" t="s">
        <v>59</v>
      </c>
      <c r="P212" s="3" t="s">
        <v>427</v>
      </c>
      <c r="Q212" s="3" t="s">
        <v>1965</v>
      </c>
      <c r="R212" s="3" t="s">
        <v>1074</v>
      </c>
      <c r="S212" s="3" t="s">
        <v>1006</v>
      </c>
      <c r="T212" s="3" t="s">
        <v>1007</v>
      </c>
      <c r="U212" s="11" t="s">
        <v>1966</v>
      </c>
      <c r="V212" s="11" t="s">
        <v>1127</v>
      </c>
      <c r="W212" s="11" t="s">
        <v>1128</v>
      </c>
      <c r="X212" s="13">
        <v>1</v>
      </c>
      <c r="Y212" s="12"/>
      <c r="Z212" s="11"/>
      <c r="AA212" s="11"/>
      <c r="AB212" s="11"/>
      <c r="AC212" s="11">
        <v>0</v>
      </c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 t="s">
        <v>1019</v>
      </c>
      <c r="AO212" s="11" t="s">
        <v>1800</v>
      </c>
      <c r="AP212" s="11" t="s">
        <v>1021</v>
      </c>
      <c r="AQ212" s="11" t="s">
        <v>1801</v>
      </c>
      <c r="AR212" s="11" t="s">
        <v>1050</v>
      </c>
      <c r="AS212" s="11" t="s">
        <v>1802</v>
      </c>
      <c r="AT212" s="11" t="s">
        <v>1048</v>
      </c>
      <c r="AU212" s="11" t="s">
        <v>1801</v>
      </c>
      <c r="AV212" s="11" t="s">
        <v>1802</v>
      </c>
      <c r="AW212" s="12">
        <v>1</v>
      </c>
      <c r="AX212" s="12">
        <v>1</v>
      </c>
      <c r="AY212" s="12">
        <v>1</v>
      </c>
      <c r="AZ212" s="12">
        <v>1</v>
      </c>
      <c r="BA212" s="12">
        <v>1</v>
      </c>
      <c r="BB212" s="12">
        <v>1</v>
      </c>
      <c r="BC212" s="12">
        <v>2</v>
      </c>
      <c r="BD212" s="11" t="s">
        <v>1026</v>
      </c>
      <c r="BE212" s="11" t="s">
        <v>1051</v>
      </c>
    </row>
    <row r="213" spans="1:57" s="8" customFormat="1" ht="58" x14ac:dyDescent="0.35">
      <c r="A213" s="7" t="s">
        <v>398</v>
      </c>
      <c r="B213" s="7" t="s">
        <v>399</v>
      </c>
      <c r="C213" s="3" t="s">
        <v>428</v>
      </c>
      <c r="D213" s="3" t="s">
        <v>57</v>
      </c>
      <c r="E213" s="3"/>
      <c r="F213" s="3" t="s">
        <v>53</v>
      </c>
      <c r="G213" s="3" t="s">
        <v>50</v>
      </c>
      <c r="H213" s="4">
        <v>682</v>
      </c>
      <c r="I213" s="4">
        <v>300</v>
      </c>
      <c r="J213" s="3" t="s">
        <v>26</v>
      </c>
      <c r="K213" s="4" t="b">
        <v>0</v>
      </c>
      <c r="L213" s="6">
        <v>0.33333333333333298</v>
      </c>
      <c r="M213" s="6">
        <v>0.33333333333333298</v>
      </c>
      <c r="N213" s="3" t="s">
        <v>58</v>
      </c>
      <c r="O213" s="3" t="s">
        <v>59</v>
      </c>
      <c r="P213" s="3" t="s">
        <v>429</v>
      </c>
      <c r="Q213" s="3" t="s">
        <v>1967</v>
      </c>
      <c r="R213" s="3" t="s">
        <v>1029</v>
      </c>
      <c r="S213" s="3" t="s">
        <v>1006</v>
      </c>
      <c r="T213" s="3" t="s">
        <v>1007</v>
      </c>
      <c r="U213" s="11" t="s">
        <v>1968</v>
      </c>
      <c r="V213" s="11" t="s">
        <v>1127</v>
      </c>
      <c r="W213" s="11" t="s">
        <v>1128</v>
      </c>
      <c r="X213" s="13">
        <v>1</v>
      </c>
      <c r="Y213" s="12"/>
      <c r="Z213" s="11"/>
      <c r="AA213" s="11"/>
      <c r="AB213" s="11"/>
      <c r="AC213" s="11">
        <v>0</v>
      </c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 t="s">
        <v>1019</v>
      </c>
      <c r="AO213" s="11" t="s">
        <v>1667</v>
      </c>
      <c r="AP213" s="11" t="s">
        <v>1021</v>
      </c>
      <c r="AQ213" s="11" t="s">
        <v>1668</v>
      </c>
      <c r="AR213" s="11" t="s">
        <v>1050</v>
      </c>
      <c r="AS213" s="11"/>
      <c r="AT213" s="11" t="s">
        <v>1034</v>
      </c>
      <c r="AU213" s="11" t="s">
        <v>1668</v>
      </c>
      <c r="AV213" s="11"/>
      <c r="AW213" s="12">
        <v>1</v>
      </c>
      <c r="AX213" s="12">
        <v>1</v>
      </c>
      <c r="AY213" s="12">
        <v>1</v>
      </c>
      <c r="AZ213" s="12">
        <v>1</v>
      </c>
      <c r="BA213" s="12">
        <v>1</v>
      </c>
      <c r="BB213" s="12"/>
      <c r="BC213" s="12"/>
      <c r="BD213" s="11" t="s">
        <v>1093</v>
      </c>
      <c r="BE213" s="11" t="s">
        <v>1037</v>
      </c>
    </row>
    <row r="214" spans="1:57" s="8" customFormat="1" ht="43.5" x14ac:dyDescent="0.35">
      <c r="A214" s="7" t="s">
        <v>398</v>
      </c>
      <c r="B214" s="7" t="s">
        <v>399</v>
      </c>
      <c r="C214" s="3" t="s">
        <v>430</v>
      </c>
      <c r="D214" s="3" t="s">
        <v>30</v>
      </c>
      <c r="E214" s="3" t="s">
        <v>30</v>
      </c>
      <c r="F214" s="3" t="s">
        <v>31</v>
      </c>
      <c r="G214" s="3" t="s">
        <v>25</v>
      </c>
      <c r="H214" s="4">
        <v>417</v>
      </c>
      <c r="I214" s="4">
        <v>250</v>
      </c>
      <c r="J214" s="3" t="s">
        <v>26</v>
      </c>
      <c r="K214" s="4" t="b">
        <v>1</v>
      </c>
      <c r="L214" s="6">
        <v>1</v>
      </c>
      <c r="M214" s="6">
        <v>1</v>
      </c>
      <c r="N214" s="3" t="s">
        <v>32</v>
      </c>
      <c r="O214" s="3"/>
      <c r="P214" s="3" t="s">
        <v>431</v>
      </c>
      <c r="Q214" s="3" t="s">
        <v>1969</v>
      </c>
      <c r="R214" s="3" t="s">
        <v>1074</v>
      </c>
      <c r="S214" s="3" t="s">
        <v>1006</v>
      </c>
      <c r="T214" s="3" t="s">
        <v>1007</v>
      </c>
      <c r="U214" s="11" t="s">
        <v>1970</v>
      </c>
      <c r="V214" s="11" t="s">
        <v>1031</v>
      </c>
      <c r="W214" s="11" t="s">
        <v>1032</v>
      </c>
      <c r="X214" s="13">
        <v>0.7</v>
      </c>
      <c r="Y214" s="12"/>
      <c r="Z214" s="11"/>
      <c r="AA214" s="11"/>
      <c r="AB214" s="11"/>
      <c r="AC214" s="11">
        <v>0</v>
      </c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 t="s">
        <v>1019</v>
      </c>
      <c r="AO214" s="11" t="s">
        <v>1671</v>
      </c>
      <c r="AP214" s="11" t="s">
        <v>1021</v>
      </c>
      <c r="AQ214" s="11" t="s">
        <v>1672</v>
      </c>
      <c r="AR214" s="11" t="s">
        <v>1050</v>
      </c>
      <c r="AS214" s="11" t="s">
        <v>1673</v>
      </c>
      <c r="AT214" s="11" t="s">
        <v>1050</v>
      </c>
      <c r="AU214" s="11" t="s">
        <v>1672</v>
      </c>
      <c r="AV214" s="11" t="s">
        <v>1673</v>
      </c>
      <c r="AW214" s="12">
        <v>1</v>
      </c>
      <c r="AX214" s="12">
        <v>1</v>
      </c>
      <c r="AY214" s="12">
        <v>1</v>
      </c>
      <c r="AZ214" s="12">
        <v>1</v>
      </c>
      <c r="BA214" s="12">
        <v>1</v>
      </c>
      <c r="BB214" s="12">
        <v>1</v>
      </c>
      <c r="BC214" s="12">
        <v>1</v>
      </c>
      <c r="BD214" s="11" t="s">
        <v>1026</v>
      </c>
      <c r="BE214" s="11" t="s">
        <v>1103</v>
      </c>
    </row>
    <row r="215" spans="1:57" s="8" customFormat="1" ht="58" x14ac:dyDescent="0.35">
      <c r="A215" s="7" t="s">
        <v>398</v>
      </c>
      <c r="B215" s="7" t="s">
        <v>399</v>
      </c>
      <c r="C215" s="3" t="s">
        <v>432</v>
      </c>
      <c r="D215" s="3" t="s">
        <v>57</v>
      </c>
      <c r="E215" s="3" t="s">
        <v>57</v>
      </c>
      <c r="F215" s="3" t="s">
        <v>53</v>
      </c>
      <c r="G215" s="3" t="s">
        <v>25</v>
      </c>
      <c r="H215" s="4">
        <v>859</v>
      </c>
      <c r="I215" s="4">
        <v>300</v>
      </c>
      <c r="J215" s="3" t="s">
        <v>26</v>
      </c>
      <c r="K215" s="4" t="b">
        <v>1</v>
      </c>
      <c r="L215" s="6">
        <v>1</v>
      </c>
      <c r="M215" s="6">
        <v>1</v>
      </c>
      <c r="N215" s="3" t="s">
        <v>62</v>
      </c>
      <c r="O215" s="3"/>
      <c r="P215" s="3" t="s">
        <v>433</v>
      </c>
      <c r="Q215" s="3" t="s">
        <v>1971</v>
      </c>
      <c r="R215" s="3" t="s">
        <v>1029</v>
      </c>
      <c r="S215" s="3" t="s">
        <v>1006</v>
      </c>
      <c r="T215" s="3" t="s">
        <v>1007</v>
      </c>
      <c r="U215" s="11" t="s">
        <v>1972</v>
      </c>
      <c r="V215" s="11" t="s">
        <v>1064</v>
      </c>
      <c r="W215" s="11" t="s">
        <v>1065</v>
      </c>
      <c r="X215" s="13">
        <v>1</v>
      </c>
      <c r="Y215" s="12"/>
      <c r="Z215" s="11"/>
      <c r="AA215" s="11"/>
      <c r="AB215" s="11"/>
      <c r="AC215" s="11">
        <v>0</v>
      </c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 t="s">
        <v>1019</v>
      </c>
      <c r="AO215" s="11" t="s">
        <v>1091</v>
      </c>
      <c r="AP215" s="11" t="s">
        <v>1021</v>
      </c>
      <c r="AQ215" s="11" t="s">
        <v>1092</v>
      </c>
      <c r="AR215" s="11" t="s">
        <v>1048</v>
      </c>
      <c r="AS215" s="11"/>
      <c r="AT215" s="11" t="s">
        <v>1034</v>
      </c>
      <c r="AU215" s="11" t="s">
        <v>1092</v>
      </c>
      <c r="AV215" s="11"/>
      <c r="AW215" s="12">
        <v>1</v>
      </c>
      <c r="AX215" s="12">
        <v>1</v>
      </c>
      <c r="AY215" s="12">
        <v>1</v>
      </c>
      <c r="AZ215" s="12">
        <v>1</v>
      </c>
      <c r="BA215" s="12">
        <v>5</v>
      </c>
      <c r="BB215" s="12"/>
      <c r="BC215" s="12"/>
      <c r="BD215" s="11" t="s">
        <v>1093</v>
      </c>
      <c r="BE215" s="11" t="s">
        <v>1037</v>
      </c>
    </row>
    <row r="216" spans="1:57" s="8" customFormat="1" ht="72.5" x14ac:dyDescent="0.35">
      <c r="A216" s="7" t="s">
        <v>398</v>
      </c>
      <c r="B216" s="7" t="s">
        <v>399</v>
      </c>
      <c r="C216" s="3" t="s">
        <v>434</v>
      </c>
      <c r="D216" s="3" t="s">
        <v>52</v>
      </c>
      <c r="E216" s="3"/>
      <c r="F216" s="3" t="s">
        <v>53</v>
      </c>
      <c r="G216" s="3" t="s">
        <v>50</v>
      </c>
      <c r="H216" s="4">
        <v>770</v>
      </c>
      <c r="I216" s="4">
        <v>500</v>
      </c>
      <c r="J216" s="3" t="s">
        <v>26</v>
      </c>
      <c r="K216" s="4" t="b">
        <v>0</v>
      </c>
      <c r="L216" s="6">
        <v>0.33333333333333298</v>
      </c>
      <c r="M216" s="6">
        <v>0.33333333333333298</v>
      </c>
      <c r="N216" s="3" t="s">
        <v>54</v>
      </c>
      <c r="O216" s="3" t="s">
        <v>55</v>
      </c>
      <c r="P216" s="3" t="s">
        <v>435</v>
      </c>
      <c r="Q216" s="3" t="s">
        <v>1973</v>
      </c>
      <c r="R216" s="3" t="s">
        <v>1139</v>
      </c>
      <c r="S216" s="3" t="s">
        <v>1696</v>
      </c>
      <c r="T216" s="3" t="s">
        <v>1974</v>
      </c>
      <c r="U216" s="11" t="s">
        <v>1975</v>
      </c>
      <c r="V216" s="11" t="s">
        <v>1009</v>
      </c>
      <c r="W216" s="11" t="s">
        <v>1010</v>
      </c>
      <c r="X216" s="13">
        <v>0.88</v>
      </c>
      <c r="Y216" s="12"/>
      <c r="Z216" s="11" t="s">
        <v>1976</v>
      </c>
      <c r="AA216" s="11"/>
      <c r="AB216" s="11"/>
      <c r="AC216" s="11">
        <v>5</v>
      </c>
      <c r="AD216" s="11" t="s">
        <v>1977</v>
      </c>
      <c r="AE216" s="11" t="s">
        <v>1978</v>
      </c>
      <c r="AF216" s="11" t="s">
        <v>1014</v>
      </c>
      <c r="AG216" s="11" t="s">
        <v>1015</v>
      </c>
      <c r="AH216" s="11" t="s">
        <v>1078</v>
      </c>
      <c r="AI216" s="11" t="s">
        <v>1016</v>
      </c>
      <c r="AJ216" s="11"/>
      <c r="AK216" s="11" t="s">
        <v>1979</v>
      </c>
      <c r="AL216" s="11" t="s">
        <v>1017</v>
      </c>
      <c r="AM216" s="11" t="s">
        <v>1980</v>
      </c>
      <c r="AN216" s="11" t="s">
        <v>1019</v>
      </c>
      <c r="AO216" s="11" t="s">
        <v>1701</v>
      </c>
      <c r="AP216" s="11" t="s">
        <v>1021</v>
      </c>
      <c r="AQ216" s="11"/>
      <c r="AR216" s="11" t="s">
        <v>1034</v>
      </c>
      <c r="AS216" s="11" t="s">
        <v>1702</v>
      </c>
      <c r="AT216" s="11" t="s">
        <v>1050</v>
      </c>
      <c r="AU216" s="11"/>
      <c r="AV216" s="11" t="s">
        <v>1702</v>
      </c>
      <c r="AW216" s="12">
        <v>1</v>
      </c>
      <c r="AX216" s="12">
        <v>1</v>
      </c>
      <c r="AY216" s="12">
        <v>1</v>
      </c>
      <c r="AZ216" s="12"/>
      <c r="BA216" s="12"/>
      <c r="BB216" s="12">
        <v>1</v>
      </c>
      <c r="BC216" s="12">
        <v>1</v>
      </c>
      <c r="BD216" s="11" t="s">
        <v>1036</v>
      </c>
      <c r="BE216" s="11" t="s">
        <v>1037</v>
      </c>
    </row>
    <row r="217" spans="1:57" s="8" customFormat="1" ht="58" x14ac:dyDescent="0.35">
      <c r="A217" s="7" t="s">
        <v>398</v>
      </c>
      <c r="B217" s="7" t="s">
        <v>399</v>
      </c>
      <c r="C217" s="3" t="s">
        <v>434</v>
      </c>
      <c r="D217" s="3" t="s">
        <v>57</v>
      </c>
      <c r="E217" s="3"/>
      <c r="F217" s="3" t="s">
        <v>53</v>
      </c>
      <c r="G217" s="3" t="s">
        <v>50</v>
      </c>
      <c r="H217" s="4">
        <v>770</v>
      </c>
      <c r="I217" s="4">
        <v>300</v>
      </c>
      <c r="J217" s="3" t="s">
        <v>26</v>
      </c>
      <c r="K217" s="4" t="b">
        <v>0</v>
      </c>
      <c r="L217" s="6">
        <v>0.33333333333333298</v>
      </c>
      <c r="M217" s="6">
        <v>0.33333333333333298</v>
      </c>
      <c r="N217" s="3" t="s">
        <v>58</v>
      </c>
      <c r="O217" s="3" t="s">
        <v>59</v>
      </c>
      <c r="P217" s="3" t="s">
        <v>435</v>
      </c>
      <c r="Q217" s="3" t="s">
        <v>1973</v>
      </c>
      <c r="R217" s="3" t="s">
        <v>1139</v>
      </c>
      <c r="S217" s="3" t="s">
        <v>1696</v>
      </c>
      <c r="T217" s="3" t="s">
        <v>1974</v>
      </c>
      <c r="U217" s="11" t="s">
        <v>1975</v>
      </c>
      <c r="V217" s="11" t="s">
        <v>1009</v>
      </c>
      <c r="W217" s="11" t="s">
        <v>1010</v>
      </c>
      <c r="X217" s="13">
        <v>0.88</v>
      </c>
      <c r="Y217" s="12"/>
      <c r="Z217" s="11" t="s">
        <v>1976</v>
      </c>
      <c r="AA217" s="11"/>
      <c r="AB217" s="11"/>
      <c r="AC217" s="11">
        <v>0</v>
      </c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 t="s">
        <v>1019</v>
      </c>
      <c r="AO217" s="11" t="s">
        <v>1701</v>
      </c>
      <c r="AP217" s="11" t="s">
        <v>1021</v>
      </c>
      <c r="AQ217" s="11"/>
      <c r="AR217" s="11" t="s">
        <v>1034</v>
      </c>
      <c r="AS217" s="11" t="s">
        <v>1702</v>
      </c>
      <c r="AT217" s="11" t="s">
        <v>1050</v>
      </c>
      <c r="AU217" s="11"/>
      <c r="AV217" s="11" t="s">
        <v>1702</v>
      </c>
      <c r="AW217" s="12">
        <v>1</v>
      </c>
      <c r="AX217" s="12">
        <v>1</v>
      </c>
      <c r="AY217" s="12">
        <v>1</v>
      </c>
      <c r="AZ217" s="12"/>
      <c r="BA217" s="12"/>
      <c r="BB217" s="12">
        <v>1</v>
      </c>
      <c r="BC217" s="12">
        <v>1</v>
      </c>
      <c r="BD217" s="11" t="s">
        <v>1036</v>
      </c>
      <c r="BE217" s="11" t="s">
        <v>1037</v>
      </c>
    </row>
    <row r="218" spans="1:57" s="8" customFormat="1" ht="58" x14ac:dyDescent="0.35">
      <c r="A218" s="7" t="s">
        <v>398</v>
      </c>
      <c r="B218" s="7" t="s">
        <v>399</v>
      </c>
      <c r="C218" s="3" t="s">
        <v>434</v>
      </c>
      <c r="D218" s="3" t="s">
        <v>98</v>
      </c>
      <c r="E218" s="3"/>
      <c r="F218" s="3" t="s">
        <v>53</v>
      </c>
      <c r="G218" s="3" t="s">
        <v>50</v>
      </c>
      <c r="H218" s="4">
        <v>770</v>
      </c>
      <c r="I218" s="4">
        <v>300</v>
      </c>
      <c r="J218" s="3" t="s">
        <v>26</v>
      </c>
      <c r="K218" s="4" t="b">
        <v>0</v>
      </c>
      <c r="L218" s="6">
        <v>0.5</v>
      </c>
      <c r="M218" s="6">
        <v>0.5</v>
      </c>
      <c r="N218" s="3" t="s">
        <v>58</v>
      </c>
      <c r="O218" s="3" t="s">
        <v>99</v>
      </c>
      <c r="P218" s="3" t="s">
        <v>435</v>
      </c>
      <c r="Q218" s="3" t="s">
        <v>1973</v>
      </c>
      <c r="R218" s="3" t="s">
        <v>1139</v>
      </c>
      <c r="S218" s="3" t="s">
        <v>1696</v>
      </c>
      <c r="T218" s="3" t="s">
        <v>1974</v>
      </c>
      <c r="U218" s="11" t="s">
        <v>1975</v>
      </c>
      <c r="V218" s="11" t="s">
        <v>1009</v>
      </c>
      <c r="W218" s="11" t="s">
        <v>1010</v>
      </c>
      <c r="X218" s="13">
        <v>0.88</v>
      </c>
      <c r="Y218" s="12"/>
      <c r="Z218" s="11" t="s">
        <v>1976</v>
      </c>
      <c r="AA218" s="11"/>
      <c r="AB218" s="11"/>
      <c r="AC218" s="11">
        <v>0</v>
      </c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 t="s">
        <v>1019</v>
      </c>
      <c r="AO218" s="11" t="s">
        <v>1701</v>
      </c>
      <c r="AP218" s="11" t="s">
        <v>1021</v>
      </c>
      <c r="AQ218" s="11"/>
      <c r="AR218" s="11" t="s">
        <v>1034</v>
      </c>
      <c r="AS218" s="11" t="s">
        <v>1702</v>
      </c>
      <c r="AT218" s="11" t="s">
        <v>1050</v>
      </c>
      <c r="AU218" s="11"/>
      <c r="AV218" s="11" t="s">
        <v>1702</v>
      </c>
      <c r="AW218" s="12">
        <v>1</v>
      </c>
      <c r="AX218" s="12">
        <v>1</v>
      </c>
      <c r="AY218" s="12">
        <v>1</v>
      </c>
      <c r="AZ218" s="12"/>
      <c r="BA218" s="12"/>
      <c r="BB218" s="12">
        <v>1</v>
      </c>
      <c r="BC218" s="12">
        <v>1</v>
      </c>
      <c r="BD218" s="11" t="s">
        <v>1036</v>
      </c>
      <c r="BE218" s="11" t="s">
        <v>1037</v>
      </c>
    </row>
    <row r="219" spans="1:57" s="8" customFormat="1" ht="58" x14ac:dyDescent="0.35">
      <c r="A219" s="7" t="s">
        <v>398</v>
      </c>
      <c r="B219" s="7" t="s">
        <v>399</v>
      </c>
      <c r="C219" s="3" t="s">
        <v>436</v>
      </c>
      <c r="D219" s="3" t="s">
        <v>30</v>
      </c>
      <c r="E219" s="3" t="s">
        <v>30</v>
      </c>
      <c r="F219" s="3" t="s">
        <v>31</v>
      </c>
      <c r="G219" s="3" t="s">
        <v>25</v>
      </c>
      <c r="H219" s="4">
        <v>434</v>
      </c>
      <c r="I219" s="4">
        <v>250</v>
      </c>
      <c r="J219" s="3" t="s">
        <v>26</v>
      </c>
      <c r="K219" s="4" t="b">
        <v>1</v>
      </c>
      <c r="L219" s="6">
        <v>1</v>
      </c>
      <c r="M219" s="6">
        <v>1</v>
      </c>
      <c r="N219" s="3" t="s">
        <v>32</v>
      </c>
      <c r="O219" s="3"/>
      <c r="P219" s="3" t="s">
        <v>437</v>
      </c>
      <c r="Q219" s="3" t="s">
        <v>1709</v>
      </c>
      <c r="R219" s="3" t="s">
        <v>1074</v>
      </c>
      <c r="S219" s="3" t="s">
        <v>1006</v>
      </c>
      <c r="T219" s="3" t="s">
        <v>1007</v>
      </c>
      <c r="U219" s="11" t="s">
        <v>1981</v>
      </c>
      <c r="V219" s="11" t="s">
        <v>1031</v>
      </c>
      <c r="W219" s="11" t="s">
        <v>1032</v>
      </c>
      <c r="X219" s="13">
        <v>0.7</v>
      </c>
      <c r="Y219" s="12"/>
      <c r="Z219" s="11"/>
      <c r="AA219" s="11"/>
      <c r="AB219" s="11"/>
      <c r="AC219" s="11">
        <v>0</v>
      </c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 t="s">
        <v>1019</v>
      </c>
      <c r="AO219" s="11" t="s">
        <v>1711</v>
      </c>
      <c r="AP219" s="11" t="s">
        <v>1021</v>
      </c>
      <c r="AQ219" s="11" t="s">
        <v>1712</v>
      </c>
      <c r="AR219" s="11" t="s">
        <v>1048</v>
      </c>
      <c r="AS219" s="11" t="s">
        <v>1713</v>
      </c>
      <c r="AT219" s="11" t="s">
        <v>1050</v>
      </c>
      <c r="AU219" s="11" t="s">
        <v>1712</v>
      </c>
      <c r="AV219" s="11" t="s">
        <v>1713</v>
      </c>
      <c r="AW219" s="12">
        <v>1</v>
      </c>
      <c r="AX219" s="12">
        <v>1</v>
      </c>
      <c r="AY219" s="12">
        <v>1</v>
      </c>
      <c r="AZ219" s="12">
        <v>1</v>
      </c>
      <c r="BA219" s="12">
        <v>2</v>
      </c>
      <c r="BB219" s="12">
        <v>1</v>
      </c>
      <c r="BC219" s="12">
        <v>1</v>
      </c>
      <c r="BD219" s="11" t="s">
        <v>1026</v>
      </c>
      <c r="BE219" s="11" t="s">
        <v>1051</v>
      </c>
    </row>
    <row r="220" spans="1:57" s="8" customFormat="1" ht="58" x14ac:dyDescent="0.35">
      <c r="A220" s="7" t="s">
        <v>398</v>
      </c>
      <c r="B220" s="7" t="s">
        <v>399</v>
      </c>
      <c r="C220" s="3" t="s">
        <v>438</v>
      </c>
      <c r="D220" s="3" t="s">
        <v>52</v>
      </c>
      <c r="E220" s="3"/>
      <c r="F220" s="3" t="s">
        <v>53</v>
      </c>
      <c r="G220" s="3" t="s">
        <v>50</v>
      </c>
      <c r="H220" s="4">
        <v>657</v>
      </c>
      <c r="I220" s="4">
        <v>500</v>
      </c>
      <c r="J220" s="3" t="s">
        <v>26</v>
      </c>
      <c r="K220" s="4" t="b">
        <v>0</v>
      </c>
      <c r="L220" s="6">
        <v>0.33333333333333298</v>
      </c>
      <c r="M220" s="6">
        <v>0.33333333333333298</v>
      </c>
      <c r="N220" s="3" t="s">
        <v>54</v>
      </c>
      <c r="O220" s="3" t="s">
        <v>55</v>
      </c>
      <c r="P220" s="3" t="s">
        <v>439</v>
      </c>
      <c r="Q220" s="3" t="s">
        <v>1747</v>
      </c>
      <c r="R220" s="3" t="s">
        <v>1029</v>
      </c>
      <c r="S220" s="3" t="s">
        <v>1006</v>
      </c>
      <c r="T220" s="3" t="s">
        <v>1007</v>
      </c>
      <c r="U220" s="11" t="s">
        <v>1982</v>
      </c>
      <c r="V220" s="11" t="s">
        <v>1096</v>
      </c>
      <c r="W220" s="11" t="s">
        <v>1097</v>
      </c>
      <c r="X220" s="13">
        <v>0.87</v>
      </c>
      <c r="Y220" s="12"/>
      <c r="Z220" s="11" t="s">
        <v>1749</v>
      </c>
      <c r="AA220" s="11"/>
      <c r="AB220" s="11"/>
      <c r="AC220" s="11">
        <v>3</v>
      </c>
      <c r="AD220" s="11" t="s">
        <v>1977</v>
      </c>
      <c r="AE220" s="11" t="s">
        <v>1983</v>
      </c>
      <c r="AF220" s="11" t="s">
        <v>1014</v>
      </c>
      <c r="AG220" s="11" t="s">
        <v>1015</v>
      </c>
      <c r="AH220" s="11" t="s">
        <v>1078</v>
      </c>
      <c r="AI220" s="11" t="s">
        <v>1016</v>
      </c>
      <c r="AJ220" s="11"/>
      <c r="AK220" s="11" t="s">
        <v>1979</v>
      </c>
      <c r="AL220" s="11" t="s">
        <v>1017</v>
      </c>
      <c r="AM220" s="11" t="s">
        <v>1980</v>
      </c>
      <c r="AN220" s="11" t="s">
        <v>1019</v>
      </c>
      <c r="AO220" s="11" t="s">
        <v>1751</v>
      </c>
      <c r="AP220" s="11" t="s">
        <v>1021</v>
      </c>
      <c r="AQ220" s="11" t="s">
        <v>1752</v>
      </c>
      <c r="AR220" s="11" t="s">
        <v>1048</v>
      </c>
      <c r="AS220" s="11" t="s">
        <v>1753</v>
      </c>
      <c r="AT220" s="11" t="s">
        <v>1050</v>
      </c>
      <c r="AU220" s="11" t="s">
        <v>1752</v>
      </c>
      <c r="AV220" s="11" t="s">
        <v>1753</v>
      </c>
      <c r="AW220" s="12">
        <v>1</v>
      </c>
      <c r="AX220" s="12">
        <v>1</v>
      </c>
      <c r="AY220" s="12">
        <v>1</v>
      </c>
      <c r="AZ220" s="12">
        <v>1</v>
      </c>
      <c r="BA220" s="12">
        <v>2</v>
      </c>
      <c r="BB220" s="12">
        <v>1</v>
      </c>
      <c r="BC220" s="12">
        <v>1</v>
      </c>
      <c r="BD220" s="11" t="s">
        <v>1026</v>
      </c>
      <c r="BE220" s="11" t="s">
        <v>1051</v>
      </c>
    </row>
    <row r="221" spans="1:57" s="8" customFormat="1" ht="58" x14ac:dyDescent="0.35">
      <c r="A221" s="7" t="s">
        <v>398</v>
      </c>
      <c r="B221" s="7" t="s">
        <v>399</v>
      </c>
      <c r="C221" s="3" t="s">
        <v>440</v>
      </c>
      <c r="D221" s="3" t="s">
        <v>130</v>
      </c>
      <c r="E221" s="3" t="s">
        <v>130</v>
      </c>
      <c r="F221" s="3" t="s">
        <v>24</v>
      </c>
      <c r="G221" s="3" t="s">
        <v>25</v>
      </c>
      <c r="H221" s="4">
        <v>852</v>
      </c>
      <c r="I221" s="4">
        <v>400</v>
      </c>
      <c r="J221" s="3" t="s">
        <v>26</v>
      </c>
      <c r="K221" s="4" t="b">
        <v>1</v>
      </c>
      <c r="L221" s="6">
        <v>1</v>
      </c>
      <c r="M221" s="6">
        <v>1</v>
      </c>
      <c r="N221" s="3" t="s">
        <v>131</v>
      </c>
      <c r="O221" s="3"/>
      <c r="P221" s="3" t="s">
        <v>441</v>
      </c>
      <c r="Q221" s="3" t="s">
        <v>1984</v>
      </c>
      <c r="R221" s="3" t="s">
        <v>1029</v>
      </c>
      <c r="S221" s="3" t="s">
        <v>1006</v>
      </c>
      <c r="T221" s="3" t="s">
        <v>1007</v>
      </c>
      <c r="U221" s="11" t="s">
        <v>1985</v>
      </c>
      <c r="V221" s="11" t="s">
        <v>1064</v>
      </c>
      <c r="W221" s="11" t="s">
        <v>1065</v>
      </c>
      <c r="X221" s="13">
        <v>1</v>
      </c>
      <c r="Y221" s="12"/>
      <c r="Z221" s="11"/>
      <c r="AA221" s="11"/>
      <c r="AB221" s="11"/>
      <c r="AC221" s="11">
        <v>0</v>
      </c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 t="s">
        <v>1019</v>
      </c>
      <c r="AO221" s="11" t="s">
        <v>1254</v>
      </c>
      <c r="AP221" s="11" t="s">
        <v>1021</v>
      </c>
      <c r="AQ221" s="11" t="s">
        <v>1255</v>
      </c>
      <c r="AR221" s="11" t="s">
        <v>1048</v>
      </c>
      <c r="AS221" s="11" t="s">
        <v>1256</v>
      </c>
      <c r="AT221" s="11" t="s">
        <v>1050</v>
      </c>
      <c r="AU221" s="11" t="s">
        <v>1255</v>
      </c>
      <c r="AV221" s="11" t="s">
        <v>1256</v>
      </c>
      <c r="AW221" s="12">
        <v>1</v>
      </c>
      <c r="AX221" s="12">
        <v>1</v>
      </c>
      <c r="AY221" s="12">
        <v>1</v>
      </c>
      <c r="AZ221" s="12">
        <v>1</v>
      </c>
      <c r="BA221" s="12">
        <v>3</v>
      </c>
      <c r="BB221" s="12">
        <v>1</v>
      </c>
      <c r="BC221" s="12">
        <v>1</v>
      </c>
      <c r="BD221" s="11" t="s">
        <v>1026</v>
      </c>
      <c r="BE221" s="11" t="s">
        <v>1051</v>
      </c>
    </row>
    <row r="222" spans="1:57" s="8" customFormat="1" ht="43.5" x14ac:dyDescent="0.35">
      <c r="A222" s="7" t="s">
        <v>398</v>
      </c>
      <c r="B222" s="7" t="s">
        <v>399</v>
      </c>
      <c r="C222" s="3" t="s">
        <v>442</v>
      </c>
      <c r="D222" s="3" t="s">
        <v>122</v>
      </c>
      <c r="E222" s="3"/>
      <c r="F222" s="3" t="s">
        <v>53</v>
      </c>
      <c r="G222" s="3" t="s">
        <v>50</v>
      </c>
      <c r="H222" s="4">
        <v>369</v>
      </c>
      <c r="I222" s="4">
        <v>150</v>
      </c>
      <c r="J222" s="3" t="s">
        <v>26</v>
      </c>
      <c r="K222" s="4" t="b">
        <v>1</v>
      </c>
      <c r="L222" s="6">
        <v>1</v>
      </c>
      <c r="M222" s="6">
        <v>1</v>
      </c>
      <c r="N222" s="3" t="s">
        <v>123</v>
      </c>
      <c r="O222" s="3"/>
      <c r="P222" s="3" t="s">
        <v>443</v>
      </c>
      <c r="Q222" s="3" t="s">
        <v>1986</v>
      </c>
      <c r="R222" s="3" t="s">
        <v>1029</v>
      </c>
      <c r="S222" s="3" t="s">
        <v>1006</v>
      </c>
      <c r="T222" s="3" t="s">
        <v>1007</v>
      </c>
      <c r="U222" s="11" t="s">
        <v>1987</v>
      </c>
      <c r="V222" s="11" t="s">
        <v>1031</v>
      </c>
      <c r="W222" s="11" t="s">
        <v>1032</v>
      </c>
      <c r="X222" s="13">
        <v>0.7</v>
      </c>
      <c r="Y222" s="12"/>
      <c r="Z222" s="11"/>
      <c r="AA222" s="11"/>
      <c r="AB222" s="11"/>
      <c r="AC222" s="11">
        <v>0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 t="s">
        <v>1019</v>
      </c>
      <c r="AO222" s="11" t="s">
        <v>1809</v>
      </c>
      <c r="AP222" s="11" t="s">
        <v>1021</v>
      </c>
      <c r="AQ222" s="11" t="s">
        <v>1810</v>
      </c>
      <c r="AR222" s="11" t="s">
        <v>1050</v>
      </c>
      <c r="AS222" s="11" t="s">
        <v>1811</v>
      </c>
      <c r="AT222" s="11" t="s">
        <v>1050</v>
      </c>
      <c r="AU222" s="11" t="s">
        <v>1810</v>
      </c>
      <c r="AV222" s="11" t="s">
        <v>1811</v>
      </c>
      <c r="AW222" s="12">
        <v>1</v>
      </c>
      <c r="AX222" s="12">
        <v>1</v>
      </c>
      <c r="AY222" s="12">
        <v>1</v>
      </c>
      <c r="AZ222" s="12">
        <v>1</v>
      </c>
      <c r="BA222" s="12">
        <v>1</v>
      </c>
      <c r="BB222" s="12">
        <v>1</v>
      </c>
      <c r="BC222" s="12">
        <v>1</v>
      </c>
      <c r="BD222" s="11" t="s">
        <v>1026</v>
      </c>
      <c r="BE222" s="11" t="s">
        <v>1103</v>
      </c>
    </row>
    <row r="223" spans="1:57" s="8" customFormat="1" ht="72.5" x14ac:dyDescent="0.35">
      <c r="A223" s="7" t="s">
        <v>398</v>
      </c>
      <c r="B223" s="7" t="s">
        <v>399</v>
      </c>
      <c r="C223" s="3" t="s">
        <v>444</v>
      </c>
      <c r="D223" s="3" t="s">
        <v>57</v>
      </c>
      <c r="E223" s="3"/>
      <c r="F223" s="3" t="s">
        <v>53</v>
      </c>
      <c r="G223" s="3" t="s">
        <v>50</v>
      </c>
      <c r="H223" s="4">
        <v>828</v>
      </c>
      <c r="I223" s="4">
        <v>300</v>
      </c>
      <c r="J223" s="3" t="s">
        <v>26</v>
      </c>
      <c r="K223" s="4" t="b">
        <v>0</v>
      </c>
      <c r="L223" s="6">
        <v>0.33333333333333298</v>
      </c>
      <c r="M223" s="6">
        <v>0.33333333333333298</v>
      </c>
      <c r="N223" s="3" t="s">
        <v>58</v>
      </c>
      <c r="O223" s="3" t="s">
        <v>59</v>
      </c>
      <c r="P223" s="3" t="s">
        <v>445</v>
      </c>
      <c r="Q223" s="3" t="s">
        <v>1988</v>
      </c>
      <c r="R223" s="3" t="s">
        <v>1074</v>
      </c>
      <c r="S223" s="3" t="s">
        <v>1006</v>
      </c>
      <c r="T223" s="3" t="s">
        <v>1007</v>
      </c>
      <c r="U223" s="11" t="s">
        <v>1989</v>
      </c>
      <c r="V223" s="11" t="s">
        <v>1064</v>
      </c>
      <c r="W223" s="11" t="s">
        <v>1065</v>
      </c>
      <c r="X223" s="13">
        <v>1</v>
      </c>
      <c r="Y223" s="12"/>
      <c r="Z223" s="11"/>
      <c r="AA223" s="11"/>
      <c r="AB223" s="11"/>
      <c r="AC223" s="11">
        <v>0</v>
      </c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 t="s">
        <v>1019</v>
      </c>
      <c r="AO223" s="11" t="s">
        <v>1886</v>
      </c>
      <c r="AP223" s="11" t="s">
        <v>1114</v>
      </c>
      <c r="AQ223" s="11"/>
      <c r="AR223" s="11" t="s">
        <v>1034</v>
      </c>
      <c r="AS223" s="11"/>
      <c r="AT223" s="11" t="s">
        <v>1034</v>
      </c>
      <c r="AU223" s="11"/>
      <c r="AV223" s="11"/>
      <c r="AW223" s="12">
        <v>1</v>
      </c>
      <c r="AX223" s="12">
        <v>1</v>
      </c>
      <c r="AY223" s="12">
        <v>1</v>
      </c>
      <c r="AZ223" s="12"/>
      <c r="BA223" s="12"/>
      <c r="BB223" s="12"/>
      <c r="BC223" s="12"/>
      <c r="BD223" s="11" t="s">
        <v>1115</v>
      </c>
      <c r="BE223" s="11" t="s">
        <v>1116</v>
      </c>
    </row>
    <row r="224" spans="1:57" s="8" customFormat="1" ht="58" x14ac:dyDescent="0.35">
      <c r="A224" s="7" t="s">
        <v>398</v>
      </c>
      <c r="B224" s="7" t="s">
        <v>399</v>
      </c>
      <c r="C224" s="3" t="s">
        <v>446</v>
      </c>
      <c r="D224" s="3" t="s">
        <v>35</v>
      </c>
      <c r="E224" s="3"/>
      <c r="F224" s="3" t="s">
        <v>36</v>
      </c>
      <c r="G224" s="3" t="s">
        <v>50</v>
      </c>
      <c r="H224" s="4">
        <v>842</v>
      </c>
      <c r="I224" s="4">
        <v>400</v>
      </c>
      <c r="J224" s="3" t="s">
        <v>26</v>
      </c>
      <c r="K224" s="4" t="b">
        <v>1</v>
      </c>
      <c r="L224" s="6">
        <v>1</v>
      </c>
      <c r="M224" s="6">
        <v>1</v>
      </c>
      <c r="N224" s="3" t="s">
        <v>37</v>
      </c>
      <c r="O224" s="3"/>
      <c r="P224" s="3" t="s">
        <v>447</v>
      </c>
      <c r="Q224" s="3" t="s">
        <v>1990</v>
      </c>
      <c r="R224" s="3" t="s">
        <v>1039</v>
      </c>
      <c r="S224" s="3" t="s">
        <v>1040</v>
      </c>
      <c r="T224" s="3" t="s">
        <v>1991</v>
      </c>
      <c r="U224" s="11" t="s">
        <v>1992</v>
      </c>
      <c r="V224" s="11" t="s">
        <v>1043</v>
      </c>
      <c r="W224" s="11" t="s">
        <v>1044</v>
      </c>
      <c r="X224" s="13">
        <v>0.99</v>
      </c>
      <c r="Y224" s="12" t="s">
        <v>1045</v>
      </c>
      <c r="Z224" s="11"/>
      <c r="AA224" s="11"/>
      <c r="AB224" s="11"/>
      <c r="AC224" s="11">
        <v>0</v>
      </c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 t="s">
        <v>1019</v>
      </c>
      <c r="AO224" s="11" t="s">
        <v>1313</v>
      </c>
      <c r="AP224" s="11" t="s">
        <v>1021</v>
      </c>
      <c r="AQ224" s="11" t="s">
        <v>1314</v>
      </c>
      <c r="AR224" s="11" t="s">
        <v>1023</v>
      </c>
      <c r="AS224" s="11" t="s">
        <v>1315</v>
      </c>
      <c r="AT224" s="11" t="s">
        <v>1025</v>
      </c>
      <c r="AU224" s="11" t="s">
        <v>1314</v>
      </c>
      <c r="AV224" s="11" t="s">
        <v>1315</v>
      </c>
      <c r="AW224" s="12">
        <v>2</v>
      </c>
      <c r="AX224" s="12">
        <v>2</v>
      </c>
      <c r="AY224" s="12">
        <v>2</v>
      </c>
      <c r="AZ224" s="12">
        <v>2</v>
      </c>
      <c r="BA224" s="12">
        <v>2</v>
      </c>
      <c r="BB224" s="12">
        <v>2</v>
      </c>
      <c r="BC224" s="12">
        <v>1</v>
      </c>
      <c r="BD224" s="11" t="s">
        <v>1026</v>
      </c>
      <c r="BE224" s="11" t="s">
        <v>1027</v>
      </c>
    </row>
    <row r="225" spans="1:57" s="8" customFormat="1" ht="58" x14ac:dyDescent="0.35">
      <c r="A225" s="7" t="s">
        <v>398</v>
      </c>
      <c r="B225" s="7" t="s">
        <v>399</v>
      </c>
      <c r="C225" s="3" t="s">
        <v>448</v>
      </c>
      <c r="D225" s="3" t="s">
        <v>57</v>
      </c>
      <c r="E225" s="3"/>
      <c r="F225" s="3" t="s">
        <v>53</v>
      </c>
      <c r="G225" s="3" t="s">
        <v>50</v>
      </c>
      <c r="H225" s="4">
        <v>546</v>
      </c>
      <c r="I225" s="4">
        <v>300</v>
      </c>
      <c r="J225" s="3" t="s">
        <v>26</v>
      </c>
      <c r="K225" s="4" t="b">
        <v>0</v>
      </c>
      <c r="L225" s="6">
        <v>0.33333333333333298</v>
      </c>
      <c r="M225" s="6">
        <v>0.33333333333333298</v>
      </c>
      <c r="N225" s="3" t="s">
        <v>58</v>
      </c>
      <c r="O225" s="3" t="s">
        <v>59</v>
      </c>
      <c r="P225" s="3" t="s">
        <v>449</v>
      </c>
      <c r="Q225" s="3" t="s">
        <v>1381</v>
      </c>
      <c r="R225" s="3" t="s">
        <v>1074</v>
      </c>
      <c r="S225" s="3" t="s">
        <v>1006</v>
      </c>
      <c r="T225" s="3" t="s">
        <v>1007</v>
      </c>
      <c r="U225" s="11" t="s">
        <v>1993</v>
      </c>
      <c r="V225" s="11" t="s">
        <v>1096</v>
      </c>
      <c r="W225" s="11" t="s">
        <v>1097</v>
      </c>
      <c r="X225" s="13">
        <v>0.75</v>
      </c>
      <c r="Y225" s="12"/>
      <c r="Z225" s="11" t="s">
        <v>1994</v>
      </c>
      <c r="AA225" s="11"/>
      <c r="AB225" s="11"/>
      <c r="AC225" s="11">
        <v>0</v>
      </c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 t="s">
        <v>1019</v>
      </c>
      <c r="AO225" s="11" t="s">
        <v>1384</v>
      </c>
      <c r="AP225" s="11" t="s">
        <v>1021</v>
      </c>
      <c r="AQ225" s="11" t="s">
        <v>1385</v>
      </c>
      <c r="AR225" s="11" t="s">
        <v>1048</v>
      </c>
      <c r="AS225" s="11" t="s">
        <v>1386</v>
      </c>
      <c r="AT225" s="11" t="s">
        <v>1050</v>
      </c>
      <c r="AU225" s="11" t="s">
        <v>1385</v>
      </c>
      <c r="AV225" s="11" t="s">
        <v>1386</v>
      </c>
      <c r="AW225" s="12">
        <v>1</v>
      </c>
      <c r="AX225" s="12">
        <v>1</v>
      </c>
      <c r="AY225" s="12">
        <v>1</v>
      </c>
      <c r="AZ225" s="12">
        <v>1</v>
      </c>
      <c r="BA225" s="12">
        <v>2</v>
      </c>
      <c r="BB225" s="12">
        <v>1</v>
      </c>
      <c r="BC225" s="12">
        <v>1</v>
      </c>
      <c r="BD225" s="11" t="s">
        <v>1026</v>
      </c>
      <c r="BE225" s="11" t="s">
        <v>1051</v>
      </c>
    </row>
    <row r="226" spans="1:57" s="8" customFormat="1" ht="58" x14ac:dyDescent="0.35">
      <c r="A226" s="7" t="s">
        <v>398</v>
      </c>
      <c r="B226" s="7" t="s">
        <v>399</v>
      </c>
      <c r="C226" s="3" t="s">
        <v>450</v>
      </c>
      <c r="D226" s="3" t="s">
        <v>52</v>
      </c>
      <c r="E226" s="3"/>
      <c r="F226" s="3" t="s">
        <v>53</v>
      </c>
      <c r="G226" s="3" t="s">
        <v>50</v>
      </c>
      <c r="H226" s="4">
        <v>604</v>
      </c>
      <c r="I226" s="4">
        <v>500</v>
      </c>
      <c r="J226" s="3" t="s">
        <v>26</v>
      </c>
      <c r="K226" s="4" t="b">
        <v>0</v>
      </c>
      <c r="L226" s="6">
        <v>0.33333333333333298</v>
      </c>
      <c r="M226" s="6">
        <v>0.33333333333333298</v>
      </c>
      <c r="N226" s="3" t="s">
        <v>54</v>
      </c>
      <c r="O226" s="3" t="s">
        <v>55</v>
      </c>
      <c r="P226" s="3" t="s">
        <v>184</v>
      </c>
      <c r="Q226" s="3" t="s">
        <v>1995</v>
      </c>
      <c r="R226" s="3" t="s">
        <v>1029</v>
      </c>
      <c r="S226" s="3" t="s">
        <v>1006</v>
      </c>
      <c r="T226" s="3" t="s">
        <v>1007</v>
      </c>
      <c r="U226" s="11" t="s">
        <v>1996</v>
      </c>
      <c r="V226" s="11" t="s">
        <v>1064</v>
      </c>
      <c r="W226" s="11" t="s">
        <v>1065</v>
      </c>
      <c r="X226" s="13">
        <v>1</v>
      </c>
      <c r="Y226" s="12"/>
      <c r="Z226" s="11"/>
      <c r="AA226" s="11"/>
      <c r="AB226" s="11"/>
      <c r="AC226" s="11">
        <v>0</v>
      </c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 t="s">
        <v>1019</v>
      </c>
      <c r="AO226" s="11" t="s">
        <v>1378</v>
      </c>
      <c r="AP226" s="11" t="s">
        <v>1021</v>
      </c>
      <c r="AQ226" s="11" t="s">
        <v>1379</v>
      </c>
      <c r="AR226" s="11" t="s">
        <v>1048</v>
      </c>
      <c r="AS226" s="11" t="s">
        <v>1380</v>
      </c>
      <c r="AT226" s="11" t="s">
        <v>1048</v>
      </c>
      <c r="AU226" s="11" t="s">
        <v>1379</v>
      </c>
      <c r="AV226" s="11" t="s">
        <v>1380</v>
      </c>
      <c r="AW226" s="12">
        <v>1</v>
      </c>
      <c r="AX226" s="12">
        <v>1</v>
      </c>
      <c r="AY226" s="12">
        <v>1</v>
      </c>
      <c r="AZ226" s="12">
        <v>1</v>
      </c>
      <c r="BA226" s="12">
        <v>2</v>
      </c>
      <c r="BB226" s="12">
        <v>1</v>
      </c>
      <c r="BC226" s="12">
        <v>2</v>
      </c>
      <c r="BD226" s="11" t="s">
        <v>1026</v>
      </c>
      <c r="BE226" s="11" t="s">
        <v>1027</v>
      </c>
    </row>
    <row r="227" spans="1:57" s="8" customFormat="1" ht="58" x14ac:dyDescent="0.35">
      <c r="A227" s="7" t="s">
        <v>398</v>
      </c>
      <c r="B227" s="7" t="s">
        <v>399</v>
      </c>
      <c r="C227" s="3" t="s">
        <v>450</v>
      </c>
      <c r="D227" s="3" t="s">
        <v>57</v>
      </c>
      <c r="E227" s="3"/>
      <c r="F227" s="3" t="s">
        <v>53</v>
      </c>
      <c r="G227" s="3" t="s">
        <v>50</v>
      </c>
      <c r="H227" s="4">
        <v>604</v>
      </c>
      <c r="I227" s="4">
        <v>300</v>
      </c>
      <c r="J227" s="3" t="s">
        <v>26</v>
      </c>
      <c r="K227" s="4" t="b">
        <v>0</v>
      </c>
      <c r="L227" s="6">
        <v>0.33333333333333298</v>
      </c>
      <c r="M227" s="6">
        <v>0.33333333333333298</v>
      </c>
      <c r="N227" s="3" t="s">
        <v>58</v>
      </c>
      <c r="O227" s="3" t="s">
        <v>59</v>
      </c>
      <c r="P227" s="3" t="s">
        <v>184</v>
      </c>
      <c r="Q227" s="3" t="s">
        <v>1995</v>
      </c>
      <c r="R227" s="3" t="s">
        <v>1029</v>
      </c>
      <c r="S227" s="3" t="s">
        <v>1006</v>
      </c>
      <c r="T227" s="3" t="s">
        <v>1007</v>
      </c>
      <c r="U227" s="11" t="s">
        <v>1996</v>
      </c>
      <c r="V227" s="11" t="s">
        <v>1064</v>
      </c>
      <c r="W227" s="11" t="s">
        <v>1065</v>
      </c>
      <c r="X227" s="13">
        <v>1</v>
      </c>
      <c r="Y227" s="12"/>
      <c r="Z227" s="11"/>
      <c r="AA227" s="11"/>
      <c r="AB227" s="11"/>
      <c r="AC227" s="11">
        <v>0</v>
      </c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 t="s">
        <v>1019</v>
      </c>
      <c r="AO227" s="11" t="s">
        <v>1378</v>
      </c>
      <c r="AP227" s="11" t="s">
        <v>1021</v>
      </c>
      <c r="AQ227" s="11" t="s">
        <v>1379</v>
      </c>
      <c r="AR227" s="11" t="s">
        <v>1048</v>
      </c>
      <c r="AS227" s="11" t="s">
        <v>1380</v>
      </c>
      <c r="AT227" s="11" t="s">
        <v>1048</v>
      </c>
      <c r="AU227" s="11" t="s">
        <v>1379</v>
      </c>
      <c r="AV227" s="11" t="s">
        <v>1380</v>
      </c>
      <c r="AW227" s="12">
        <v>1</v>
      </c>
      <c r="AX227" s="12">
        <v>1</v>
      </c>
      <c r="AY227" s="12">
        <v>1</v>
      </c>
      <c r="AZ227" s="12">
        <v>1</v>
      </c>
      <c r="BA227" s="12">
        <v>2</v>
      </c>
      <c r="BB227" s="12">
        <v>1</v>
      </c>
      <c r="BC227" s="12">
        <v>2</v>
      </c>
      <c r="BD227" s="11" t="s">
        <v>1026</v>
      </c>
      <c r="BE227" s="11" t="s">
        <v>1027</v>
      </c>
    </row>
    <row r="228" spans="1:57" s="8" customFormat="1" ht="58" x14ac:dyDescent="0.35">
      <c r="A228" s="7" t="s">
        <v>398</v>
      </c>
      <c r="B228" s="7" t="s">
        <v>399</v>
      </c>
      <c r="C228" s="3" t="s">
        <v>451</v>
      </c>
      <c r="D228" s="3" t="s">
        <v>30</v>
      </c>
      <c r="E228" s="3" t="s">
        <v>30</v>
      </c>
      <c r="F228" s="3" t="s">
        <v>31</v>
      </c>
      <c r="G228" s="3" t="s">
        <v>25</v>
      </c>
      <c r="H228" s="4">
        <v>376</v>
      </c>
      <c r="I228" s="4">
        <v>250</v>
      </c>
      <c r="J228" s="3" t="s">
        <v>26</v>
      </c>
      <c r="K228" s="4" t="b">
        <v>1</v>
      </c>
      <c r="L228" s="6">
        <v>1</v>
      </c>
      <c r="M228" s="6">
        <v>1</v>
      </c>
      <c r="N228" s="3" t="s">
        <v>32</v>
      </c>
      <c r="O228" s="3"/>
      <c r="P228" s="3" t="s">
        <v>182</v>
      </c>
      <c r="Q228" s="3" t="s">
        <v>1370</v>
      </c>
      <c r="R228" s="3" t="s">
        <v>1074</v>
      </c>
      <c r="S228" s="3" t="s">
        <v>1006</v>
      </c>
      <c r="T228" s="3" t="s">
        <v>1007</v>
      </c>
      <c r="U228" s="11" t="s">
        <v>1997</v>
      </c>
      <c r="V228" s="11" t="s">
        <v>1031</v>
      </c>
      <c r="W228" s="11" t="s">
        <v>1032</v>
      </c>
      <c r="X228" s="13">
        <v>1</v>
      </c>
      <c r="Y228" s="12"/>
      <c r="Z228" s="11"/>
      <c r="AA228" s="11"/>
      <c r="AB228" s="11"/>
      <c r="AC228" s="11">
        <v>0</v>
      </c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 t="s">
        <v>1019</v>
      </c>
      <c r="AO228" s="11" t="s">
        <v>1372</v>
      </c>
      <c r="AP228" s="11" t="s">
        <v>1021</v>
      </c>
      <c r="AQ228" s="11" t="s">
        <v>1373</v>
      </c>
      <c r="AR228" s="11" t="s">
        <v>1023</v>
      </c>
      <c r="AS228" s="11" t="s">
        <v>1374</v>
      </c>
      <c r="AT228" s="11" t="s">
        <v>1023</v>
      </c>
      <c r="AU228" s="11" t="s">
        <v>1373</v>
      </c>
      <c r="AV228" s="11" t="s">
        <v>1374</v>
      </c>
      <c r="AW228" s="12">
        <v>5</v>
      </c>
      <c r="AX228" s="12">
        <v>4</v>
      </c>
      <c r="AY228" s="12">
        <v>6</v>
      </c>
      <c r="AZ228" s="12">
        <v>4</v>
      </c>
      <c r="BA228" s="12">
        <v>5</v>
      </c>
      <c r="BB228" s="12">
        <v>4</v>
      </c>
      <c r="BC228" s="12">
        <v>4</v>
      </c>
      <c r="BD228" s="11" t="s">
        <v>1026</v>
      </c>
      <c r="BE228" s="11" t="s">
        <v>1027</v>
      </c>
    </row>
    <row r="229" spans="1:57" s="8" customFormat="1" ht="58" x14ac:dyDescent="0.35">
      <c r="A229" s="7" t="s">
        <v>398</v>
      </c>
      <c r="B229" s="7" t="s">
        <v>399</v>
      </c>
      <c r="C229" s="3" t="s">
        <v>452</v>
      </c>
      <c r="D229" s="3" t="s">
        <v>57</v>
      </c>
      <c r="E229" s="3"/>
      <c r="F229" s="3" t="s">
        <v>53</v>
      </c>
      <c r="G229" s="3" t="s">
        <v>50</v>
      </c>
      <c r="H229" s="4">
        <v>420</v>
      </c>
      <c r="I229" s="4">
        <v>300</v>
      </c>
      <c r="J229" s="3" t="s">
        <v>26</v>
      </c>
      <c r="K229" s="4" t="b">
        <v>0</v>
      </c>
      <c r="L229" s="6">
        <v>0.33333333333333298</v>
      </c>
      <c r="M229" s="6">
        <v>0.33333333333333298</v>
      </c>
      <c r="N229" s="3" t="s">
        <v>58</v>
      </c>
      <c r="O229" s="3" t="s">
        <v>59</v>
      </c>
      <c r="P229" s="3" t="s">
        <v>453</v>
      </c>
      <c r="Q229" s="3" t="s">
        <v>1998</v>
      </c>
      <c r="R229" s="3" t="s">
        <v>1029</v>
      </c>
      <c r="S229" s="3" t="s">
        <v>1006</v>
      </c>
      <c r="T229" s="3" t="s">
        <v>1007</v>
      </c>
      <c r="U229" s="11" t="s">
        <v>1999</v>
      </c>
      <c r="V229" s="11" t="s">
        <v>1064</v>
      </c>
      <c r="W229" s="11" t="s">
        <v>1065</v>
      </c>
      <c r="X229" s="13">
        <v>1</v>
      </c>
      <c r="Y229" s="12"/>
      <c r="Z229" s="11"/>
      <c r="AA229" s="11"/>
      <c r="AB229" s="11"/>
      <c r="AC229" s="11">
        <v>0</v>
      </c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 t="s">
        <v>1019</v>
      </c>
      <c r="AO229" s="11" t="s">
        <v>1503</v>
      </c>
      <c r="AP229" s="11" t="s">
        <v>1021</v>
      </c>
      <c r="AQ229" s="11" t="s">
        <v>1504</v>
      </c>
      <c r="AR229" s="11" t="s">
        <v>1048</v>
      </c>
      <c r="AS229" s="11"/>
      <c r="AT229" s="11" t="s">
        <v>1034</v>
      </c>
      <c r="AU229" s="11" t="s">
        <v>1505</v>
      </c>
      <c r="AV229" s="11"/>
      <c r="AW229" s="12">
        <v>1</v>
      </c>
      <c r="AX229" s="12">
        <v>2</v>
      </c>
      <c r="AY229" s="12">
        <v>2</v>
      </c>
      <c r="AZ229" s="12">
        <v>1</v>
      </c>
      <c r="BA229" s="12">
        <v>4</v>
      </c>
      <c r="BB229" s="12"/>
      <c r="BC229" s="12"/>
      <c r="BD229" s="11" t="s">
        <v>1093</v>
      </c>
      <c r="BE229" s="11" t="s">
        <v>1037</v>
      </c>
    </row>
    <row r="230" spans="1:57" s="8" customFormat="1" ht="58" x14ac:dyDescent="0.35">
      <c r="A230" s="7" t="s">
        <v>398</v>
      </c>
      <c r="B230" s="7" t="s">
        <v>399</v>
      </c>
      <c r="C230" s="3" t="s">
        <v>452</v>
      </c>
      <c r="D230" s="3" t="s">
        <v>98</v>
      </c>
      <c r="E230" s="3"/>
      <c r="F230" s="3" t="s">
        <v>53</v>
      </c>
      <c r="G230" s="3" t="s">
        <v>50</v>
      </c>
      <c r="H230" s="4">
        <v>420</v>
      </c>
      <c r="I230" s="4">
        <v>300</v>
      </c>
      <c r="J230" s="3" t="s">
        <v>26</v>
      </c>
      <c r="K230" s="4" t="b">
        <v>0</v>
      </c>
      <c r="L230" s="6">
        <v>0.5</v>
      </c>
      <c r="M230" s="6">
        <v>0.5</v>
      </c>
      <c r="N230" s="3" t="s">
        <v>58</v>
      </c>
      <c r="O230" s="3" t="s">
        <v>99</v>
      </c>
      <c r="P230" s="3" t="s">
        <v>453</v>
      </c>
      <c r="Q230" s="3" t="s">
        <v>1998</v>
      </c>
      <c r="R230" s="3" t="s">
        <v>1029</v>
      </c>
      <c r="S230" s="3" t="s">
        <v>1006</v>
      </c>
      <c r="T230" s="3" t="s">
        <v>1007</v>
      </c>
      <c r="U230" s="11" t="s">
        <v>1999</v>
      </c>
      <c r="V230" s="11" t="s">
        <v>1064</v>
      </c>
      <c r="W230" s="11" t="s">
        <v>1065</v>
      </c>
      <c r="X230" s="13">
        <v>1</v>
      </c>
      <c r="Y230" s="12"/>
      <c r="Z230" s="11"/>
      <c r="AA230" s="11"/>
      <c r="AB230" s="11"/>
      <c r="AC230" s="11">
        <v>0</v>
      </c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 t="s">
        <v>1019</v>
      </c>
      <c r="AO230" s="11" t="s">
        <v>1503</v>
      </c>
      <c r="AP230" s="11" t="s">
        <v>1021</v>
      </c>
      <c r="AQ230" s="11" t="s">
        <v>1504</v>
      </c>
      <c r="AR230" s="11" t="s">
        <v>1048</v>
      </c>
      <c r="AS230" s="11"/>
      <c r="AT230" s="11" t="s">
        <v>1034</v>
      </c>
      <c r="AU230" s="11" t="s">
        <v>1505</v>
      </c>
      <c r="AV230" s="11"/>
      <c r="AW230" s="12">
        <v>1</v>
      </c>
      <c r="AX230" s="12">
        <v>2</v>
      </c>
      <c r="AY230" s="12">
        <v>2</v>
      </c>
      <c r="AZ230" s="12">
        <v>1</v>
      </c>
      <c r="BA230" s="12">
        <v>4</v>
      </c>
      <c r="BB230" s="12"/>
      <c r="BC230" s="12"/>
      <c r="BD230" s="11" t="s">
        <v>1093</v>
      </c>
      <c r="BE230" s="11" t="s">
        <v>1037</v>
      </c>
    </row>
    <row r="231" spans="1:57" s="8" customFormat="1" ht="217.5" x14ac:dyDescent="0.35">
      <c r="A231" s="7" t="s">
        <v>398</v>
      </c>
      <c r="B231" s="7" t="s">
        <v>399</v>
      </c>
      <c r="C231" s="3" t="s">
        <v>454</v>
      </c>
      <c r="D231" s="3" t="s">
        <v>35</v>
      </c>
      <c r="E231" s="3" t="s">
        <v>35</v>
      </c>
      <c r="F231" s="3" t="s">
        <v>36</v>
      </c>
      <c r="G231" s="3" t="s">
        <v>25</v>
      </c>
      <c r="H231" s="4">
        <v>1765</v>
      </c>
      <c r="I231" s="4">
        <v>400</v>
      </c>
      <c r="J231" s="3" t="s">
        <v>26</v>
      </c>
      <c r="K231" s="4" t="b">
        <v>1</v>
      </c>
      <c r="L231" s="6">
        <v>1</v>
      </c>
      <c r="M231" s="6">
        <v>1</v>
      </c>
      <c r="N231" s="3" t="s">
        <v>37</v>
      </c>
      <c r="O231" s="3"/>
      <c r="P231" s="3" t="s">
        <v>455</v>
      </c>
      <c r="Q231" s="3" t="s">
        <v>2000</v>
      </c>
      <c r="R231" s="3" t="s">
        <v>1039</v>
      </c>
      <c r="S231" s="3" t="s">
        <v>2001</v>
      </c>
      <c r="T231" s="3" t="s">
        <v>2002</v>
      </c>
      <c r="U231" s="11" t="s">
        <v>2003</v>
      </c>
      <c r="V231" s="11" t="s">
        <v>1043</v>
      </c>
      <c r="W231" s="11" t="s">
        <v>1044</v>
      </c>
      <c r="X231" s="13">
        <v>1</v>
      </c>
      <c r="Y231" s="12" t="s">
        <v>2004</v>
      </c>
      <c r="Z231" s="11"/>
      <c r="AA231" s="11"/>
      <c r="AB231" s="11"/>
      <c r="AC231" s="11">
        <v>0</v>
      </c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 t="s">
        <v>1019</v>
      </c>
      <c r="AO231" s="11" t="s">
        <v>1046</v>
      </c>
      <c r="AP231" s="11" t="s">
        <v>1021</v>
      </c>
      <c r="AQ231" s="11" t="s">
        <v>1047</v>
      </c>
      <c r="AR231" s="11" t="s">
        <v>1048</v>
      </c>
      <c r="AS231" s="11" t="s">
        <v>1049</v>
      </c>
      <c r="AT231" s="11" t="s">
        <v>1050</v>
      </c>
      <c r="AU231" s="11" t="s">
        <v>1047</v>
      </c>
      <c r="AV231" s="11" t="s">
        <v>1049</v>
      </c>
      <c r="AW231" s="12">
        <v>1</v>
      </c>
      <c r="AX231" s="12">
        <v>1</v>
      </c>
      <c r="AY231" s="12">
        <v>1</v>
      </c>
      <c r="AZ231" s="12">
        <v>1</v>
      </c>
      <c r="BA231" s="12">
        <v>2</v>
      </c>
      <c r="BB231" s="12">
        <v>1</v>
      </c>
      <c r="BC231" s="12">
        <v>1</v>
      </c>
      <c r="BD231" s="11" t="s">
        <v>1026</v>
      </c>
      <c r="BE231" s="11" t="s">
        <v>1051</v>
      </c>
    </row>
    <row r="232" spans="1:57" s="8" customFormat="1" ht="261" x14ac:dyDescent="0.35">
      <c r="A232" s="7" t="s">
        <v>398</v>
      </c>
      <c r="B232" s="7" t="s">
        <v>399</v>
      </c>
      <c r="C232" s="3" t="s">
        <v>456</v>
      </c>
      <c r="D232" s="3" t="s">
        <v>221</v>
      </c>
      <c r="E232" s="3" t="s">
        <v>221</v>
      </c>
      <c r="F232" s="3" t="s">
        <v>31</v>
      </c>
      <c r="G232" s="3" t="s">
        <v>25</v>
      </c>
      <c r="H232" s="4">
        <v>2805</v>
      </c>
      <c r="I232" s="4">
        <v>500</v>
      </c>
      <c r="J232" s="3" t="s">
        <v>26</v>
      </c>
      <c r="K232" s="4" t="b">
        <v>1</v>
      </c>
      <c r="L232" s="6">
        <v>1</v>
      </c>
      <c r="M232" s="6">
        <v>1</v>
      </c>
      <c r="N232" s="3" t="s">
        <v>222</v>
      </c>
      <c r="O232" s="3"/>
      <c r="P232" s="3" t="s">
        <v>457</v>
      </c>
      <c r="Q232" s="3" t="s">
        <v>2005</v>
      </c>
      <c r="R232" s="3" t="s">
        <v>1029</v>
      </c>
      <c r="S232" s="3" t="s">
        <v>1006</v>
      </c>
      <c r="T232" s="3" t="s">
        <v>1007</v>
      </c>
      <c r="U232" s="11" t="s">
        <v>2006</v>
      </c>
      <c r="V232" s="11" t="s">
        <v>1031</v>
      </c>
      <c r="W232" s="11" t="s">
        <v>1032</v>
      </c>
      <c r="X232" s="13">
        <v>0.7</v>
      </c>
      <c r="Y232" s="12"/>
      <c r="Z232" s="11"/>
      <c r="AA232" s="11"/>
      <c r="AB232" s="11"/>
      <c r="AC232" s="11">
        <v>0</v>
      </c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 t="s">
        <v>1019</v>
      </c>
      <c r="AO232" s="11" t="s">
        <v>1490</v>
      </c>
      <c r="AP232" s="11" t="s">
        <v>1021</v>
      </c>
      <c r="AQ232" s="11" t="s">
        <v>1491</v>
      </c>
      <c r="AR232" s="11" t="s">
        <v>1023</v>
      </c>
      <c r="AS232" s="11" t="s">
        <v>1492</v>
      </c>
      <c r="AT232" s="11" t="s">
        <v>1025</v>
      </c>
      <c r="AU232" s="11" t="s">
        <v>1491</v>
      </c>
      <c r="AV232" s="11" t="s">
        <v>1492</v>
      </c>
      <c r="AW232" s="12">
        <v>2</v>
      </c>
      <c r="AX232" s="12">
        <v>2</v>
      </c>
      <c r="AY232" s="12">
        <v>2</v>
      </c>
      <c r="AZ232" s="12">
        <v>2</v>
      </c>
      <c r="BA232" s="12">
        <v>3</v>
      </c>
      <c r="BB232" s="12">
        <v>2</v>
      </c>
      <c r="BC232" s="12">
        <v>1</v>
      </c>
      <c r="BD232" s="11" t="s">
        <v>1026</v>
      </c>
      <c r="BE232" s="11" t="s">
        <v>1027</v>
      </c>
    </row>
    <row r="233" spans="1:57" s="8" customFormat="1" ht="58" x14ac:dyDescent="0.35">
      <c r="A233" s="7" t="s">
        <v>398</v>
      </c>
      <c r="B233" s="7" t="s">
        <v>399</v>
      </c>
      <c r="C233" s="3" t="s">
        <v>458</v>
      </c>
      <c r="D233" s="3" t="s">
        <v>57</v>
      </c>
      <c r="E233" s="3"/>
      <c r="F233" s="3" t="s">
        <v>53</v>
      </c>
      <c r="G233" s="3" t="s">
        <v>50</v>
      </c>
      <c r="H233" s="4">
        <v>377</v>
      </c>
      <c r="I233" s="4">
        <v>300</v>
      </c>
      <c r="J233" s="3" t="s">
        <v>26</v>
      </c>
      <c r="K233" s="4" t="b">
        <v>0</v>
      </c>
      <c r="L233" s="6">
        <v>0.33333333333333298</v>
      </c>
      <c r="M233" s="6">
        <v>0.33333333333333298</v>
      </c>
      <c r="N233" s="3" t="s">
        <v>58</v>
      </c>
      <c r="O233" s="3" t="s">
        <v>59</v>
      </c>
      <c r="P233" s="3" t="s">
        <v>459</v>
      </c>
      <c r="Q233" s="3" t="s">
        <v>2007</v>
      </c>
      <c r="R233" s="3" t="s">
        <v>1029</v>
      </c>
      <c r="S233" s="3" t="s">
        <v>1006</v>
      </c>
      <c r="T233" s="3" t="s">
        <v>1007</v>
      </c>
      <c r="U233" s="11" t="s">
        <v>2008</v>
      </c>
      <c r="V233" s="11" t="s">
        <v>1096</v>
      </c>
      <c r="W233" s="11" t="s">
        <v>1097</v>
      </c>
      <c r="X233" s="13">
        <v>0.62</v>
      </c>
      <c r="Y233" s="12"/>
      <c r="Z233" s="11" t="s">
        <v>2009</v>
      </c>
      <c r="AA233" s="11"/>
      <c r="AB233" s="11"/>
      <c r="AC233" s="11">
        <v>0</v>
      </c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 t="s">
        <v>1019</v>
      </c>
      <c r="AO233" s="11" t="s">
        <v>1259</v>
      </c>
      <c r="AP233" s="11" t="s">
        <v>1021</v>
      </c>
      <c r="AQ233" s="11" t="s">
        <v>1260</v>
      </c>
      <c r="AR233" s="11" t="s">
        <v>1023</v>
      </c>
      <c r="AS233" s="11" t="s">
        <v>1261</v>
      </c>
      <c r="AT233" s="11" t="s">
        <v>1025</v>
      </c>
      <c r="AU233" s="11" t="s">
        <v>1260</v>
      </c>
      <c r="AV233" s="11" t="s">
        <v>1261</v>
      </c>
      <c r="AW233" s="12">
        <v>3</v>
      </c>
      <c r="AX233" s="12">
        <v>3</v>
      </c>
      <c r="AY233" s="12">
        <v>4</v>
      </c>
      <c r="AZ233" s="12">
        <v>3</v>
      </c>
      <c r="BA233" s="12">
        <v>2</v>
      </c>
      <c r="BB233" s="12">
        <v>3</v>
      </c>
      <c r="BC233" s="12">
        <v>1</v>
      </c>
      <c r="BD233" s="11" t="s">
        <v>1026</v>
      </c>
      <c r="BE233" s="11" t="s">
        <v>1027</v>
      </c>
    </row>
    <row r="234" spans="1:57" s="8" customFormat="1" ht="58" x14ac:dyDescent="0.35">
      <c r="A234" s="7" t="s">
        <v>398</v>
      </c>
      <c r="B234" s="7" t="s">
        <v>399</v>
      </c>
      <c r="C234" s="3" t="s">
        <v>460</v>
      </c>
      <c r="D234" s="3" t="s">
        <v>57</v>
      </c>
      <c r="E234" s="3"/>
      <c r="F234" s="3" t="s">
        <v>53</v>
      </c>
      <c r="G234" s="3" t="s">
        <v>50</v>
      </c>
      <c r="H234" s="4">
        <v>694</v>
      </c>
      <c r="I234" s="4">
        <v>300</v>
      </c>
      <c r="J234" s="3" t="s">
        <v>26</v>
      </c>
      <c r="K234" s="4" t="b">
        <v>0</v>
      </c>
      <c r="L234" s="6">
        <v>0.33333333333333298</v>
      </c>
      <c r="M234" s="6">
        <v>0.33333333333333298</v>
      </c>
      <c r="N234" s="3" t="s">
        <v>58</v>
      </c>
      <c r="O234" s="3" t="s">
        <v>59</v>
      </c>
      <c r="P234" s="3" t="s">
        <v>93</v>
      </c>
      <c r="Q234" s="3" t="s">
        <v>2010</v>
      </c>
      <c r="R234" s="3" t="s">
        <v>1029</v>
      </c>
      <c r="S234" s="3" t="s">
        <v>1006</v>
      </c>
      <c r="T234" s="3" t="s">
        <v>1007</v>
      </c>
      <c r="U234" s="11" t="s">
        <v>2011</v>
      </c>
      <c r="V234" s="11" t="s">
        <v>1031</v>
      </c>
      <c r="W234" s="11" t="s">
        <v>1032</v>
      </c>
      <c r="X234" s="13">
        <v>0.7</v>
      </c>
      <c r="Y234" s="12"/>
      <c r="Z234" s="11"/>
      <c r="AA234" s="11"/>
      <c r="AB234" s="11"/>
      <c r="AC234" s="11">
        <v>0</v>
      </c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 t="s">
        <v>1019</v>
      </c>
      <c r="AO234" s="11" t="s">
        <v>1161</v>
      </c>
      <c r="AP234" s="11" t="s">
        <v>1021</v>
      </c>
      <c r="AQ234" s="11" t="s">
        <v>1162</v>
      </c>
      <c r="AR234" s="11" t="s">
        <v>1048</v>
      </c>
      <c r="AS234" s="11" t="s">
        <v>1163</v>
      </c>
      <c r="AT234" s="11" t="s">
        <v>1050</v>
      </c>
      <c r="AU234" s="11" t="s">
        <v>1162</v>
      </c>
      <c r="AV234" s="11" t="s">
        <v>1163</v>
      </c>
      <c r="AW234" s="12">
        <v>1</v>
      </c>
      <c r="AX234" s="12">
        <v>1</v>
      </c>
      <c r="AY234" s="12">
        <v>1</v>
      </c>
      <c r="AZ234" s="12">
        <v>1</v>
      </c>
      <c r="BA234" s="12">
        <v>4</v>
      </c>
      <c r="BB234" s="12">
        <v>1</v>
      </c>
      <c r="BC234" s="12">
        <v>1</v>
      </c>
      <c r="BD234" s="11" t="s">
        <v>1026</v>
      </c>
      <c r="BE234" s="11" t="s">
        <v>1051</v>
      </c>
    </row>
    <row r="235" spans="1:57" s="8" customFormat="1" ht="101.5" x14ac:dyDescent="0.35">
      <c r="A235" s="7" t="s">
        <v>398</v>
      </c>
      <c r="B235" s="7" t="s">
        <v>399</v>
      </c>
      <c r="C235" s="3" t="s">
        <v>461</v>
      </c>
      <c r="D235" s="3" t="s">
        <v>368</v>
      </c>
      <c r="E235" s="3" t="s">
        <v>368</v>
      </c>
      <c r="F235" s="3" t="s">
        <v>84</v>
      </c>
      <c r="G235" s="3" t="s">
        <v>25</v>
      </c>
      <c r="H235" s="4">
        <v>817</v>
      </c>
      <c r="I235" s="4">
        <v>400</v>
      </c>
      <c r="J235" s="3" t="s">
        <v>26</v>
      </c>
      <c r="K235" s="4" t="b">
        <v>1</v>
      </c>
      <c r="L235" s="6">
        <v>1</v>
      </c>
      <c r="M235" s="6">
        <v>1</v>
      </c>
      <c r="N235" s="3" t="s">
        <v>369</v>
      </c>
      <c r="O235" s="3"/>
      <c r="P235" s="3" t="s">
        <v>462</v>
      </c>
      <c r="Q235" s="3" t="s">
        <v>2012</v>
      </c>
      <c r="R235" s="3" t="s">
        <v>1139</v>
      </c>
      <c r="S235" s="3" t="s">
        <v>2013</v>
      </c>
      <c r="T235" s="3" t="s">
        <v>2014</v>
      </c>
      <c r="U235" s="11" t="s">
        <v>2015</v>
      </c>
      <c r="V235" s="11" t="s">
        <v>1009</v>
      </c>
      <c r="W235" s="11" t="s">
        <v>1010</v>
      </c>
      <c r="X235" s="13">
        <v>0.86</v>
      </c>
      <c r="Y235" s="12"/>
      <c r="Z235" s="11" t="s">
        <v>2016</v>
      </c>
      <c r="AA235" s="11"/>
      <c r="AB235" s="11"/>
      <c r="AC235" s="11">
        <v>7</v>
      </c>
      <c r="AD235" s="11" t="s">
        <v>1845</v>
      </c>
      <c r="AE235" s="11" t="s">
        <v>2017</v>
      </c>
      <c r="AF235" s="11" t="s">
        <v>1014</v>
      </c>
      <c r="AG235" s="11" t="s">
        <v>1847</v>
      </c>
      <c r="AH235" s="11" t="s">
        <v>1848</v>
      </c>
      <c r="AI235" s="11" t="s">
        <v>1016</v>
      </c>
      <c r="AJ235" s="11"/>
      <c r="AK235" s="11" t="s">
        <v>1849</v>
      </c>
      <c r="AL235" s="11" t="s">
        <v>1017</v>
      </c>
      <c r="AM235" s="11" t="s">
        <v>1850</v>
      </c>
      <c r="AN235" s="11" t="s">
        <v>1019</v>
      </c>
      <c r="AO235" s="11" t="s">
        <v>1851</v>
      </c>
      <c r="AP235" s="11" t="s">
        <v>1021</v>
      </c>
      <c r="AQ235" s="11" t="s">
        <v>1852</v>
      </c>
      <c r="AR235" s="11" t="s">
        <v>1048</v>
      </c>
      <c r="AS235" s="11" t="s">
        <v>1853</v>
      </c>
      <c r="AT235" s="11" t="s">
        <v>1050</v>
      </c>
      <c r="AU235" s="11" t="s">
        <v>1852</v>
      </c>
      <c r="AV235" s="11" t="s">
        <v>1853</v>
      </c>
      <c r="AW235" s="12">
        <v>1</v>
      </c>
      <c r="AX235" s="12">
        <v>1</v>
      </c>
      <c r="AY235" s="12">
        <v>1</v>
      </c>
      <c r="AZ235" s="12">
        <v>1</v>
      </c>
      <c r="BA235" s="12">
        <v>7</v>
      </c>
      <c r="BB235" s="12">
        <v>1</v>
      </c>
      <c r="BC235" s="12">
        <v>1</v>
      </c>
      <c r="BD235" s="11" t="s">
        <v>1026</v>
      </c>
      <c r="BE235" s="11" t="s">
        <v>1051</v>
      </c>
    </row>
    <row r="236" spans="1:57" s="8" customFormat="1" ht="145" x14ac:dyDescent="0.35">
      <c r="A236" s="7" t="s">
        <v>398</v>
      </c>
      <c r="B236" s="7" t="s">
        <v>399</v>
      </c>
      <c r="C236" s="3" t="s">
        <v>463</v>
      </c>
      <c r="D236" s="3" t="s">
        <v>52</v>
      </c>
      <c r="E236" s="3"/>
      <c r="F236" s="3" t="s">
        <v>53</v>
      </c>
      <c r="G236" s="3" t="s">
        <v>50</v>
      </c>
      <c r="H236" s="4">
        <v>922</v>
      </c>
      <c r="I236" s="4">
        <v>500</v>
      </c>
      <c r="J236" s="3" t="s">
        <v>26</v>
      </c>
      <c r="K236" s="4" t="b">
        <v>0</v>
      </c>
      <c r="L236" s="6">
        <v>0.33333333333333298</v>
      </c>
      <c r="M236" s="6">
        <v>0.33333333333333298</v>
      </c>
      <c r="N236" s="3" t="s">
        <v>54</v>
      </c>
      <c r="O236" s="3" t="s">
        <v>55</v>
      </c>
      <c r="P236" s="3" t="s">
        <v>464</v>
      </c>
      <c r="Q236" s="3" t="s">
        <v>2018</v>
      </c>
      <c r="R236" s="3" t="s">
        <v>1139</v>
      </c>
      <c r="S236" s="3" t="s">
        <v>2019</v>
      </c>
      <c r="T236" s="3" t="s">
        <v>2020</v>
      </c>
      <c r="U236" s="11" t="s">
        <v>2021</v>
      </c>
      <c r="V236" s="11" t="s">
        <v>1096</v>
      </c>
      <c r="W236" s="11" t="s">
        <v>1097</v>
      </c>
      <c r="X236" s="13">
        <v>0.86</v>
      </c>
      <c r="Y236" s="12"/>
      <c r="Z236" s="11" t="s">
        <v>2022</v>
      </c>
      <c r="AA236" s="11"/>
      <c r="AB236" s="11"/>
      <c r="AC236" s="11">
        <v>10</v>
      </c>
      <c r="AD236" s="11" t="s">
        <v>1076</v>
      </c>
      <c r="AE236" s="11" t="s">
        <v>2023</v>
      </c>
      <c r="AF236" s="11" t="s">
        <v>1014</v>
      </c>
      <c r="AG236" s="11" t="s">
        <v>1015</v>
      </c>
      <c r="AH236" s="11" t="s">
        <v>1078</v>
      </c>
      <c r="AI236" s="11" t="s">
        <v>1016</v>
      </c>
      <c r="AJ236" s="11"/>
      <c r="AK236" s="11" t="s">
        <v>1079</v>
      </c>
      <c r="AL236" s="11" t="s">
        <v>1017</v>
      </c>
      <c r="AM236" s="11" t="s">
        <v>1080</v>
      </c>
      <c r="AN236" s="11" t="s">
        <v>1019</v>
      </c>
      <c r="AO236" s="11" t="s">
        <v>1604</v>
      </c>
      <c r="AP236" s="11" t="s">
        <v>1114</v>
      </c>
      <c r="AQ236" s="11"/>
      <c r="AR236" s="11" t="s">
        <v>1034</v>
      </c>
      <c r="AS236" s="11"/>
      <c r="AT236" s="11" t="s">
        <v>1034</v>
      </c>
      <c r="AU236" s="11"/>
      <c r="AV236" s="11"/>
      <c r="AW236" s="12">
        <v>1</v>
      </c>
      <c r="AX236" s="12">
        <v>1</v>
      </c>
      <c r="AY236" s="12">
        <v>1</v>
      </c>
      <c r="AZ236" s="12"/>
      <c r="BA236" s="12"/>
      <c r="BB236" s="12"/>
      <c r="BC236" s="12"/>
      <c r="BD236" s="11" t="s">
        <v>1115</v>
      </c>
      <c r="BE236" s="11" t="s">
        <v>1116</v>
      </c>
    </row>
    <row r="237" spans="1:57" s="8" customFormat="1" ht="72.5" x14ac:dyDescent="0.35">
      <c r="A237" s="7" t="s">
        <v>398</v>
      </c>
      <c r="B237" s="7" t="s">
        <v>399</v>
      </c>
      <c r="C237" s="3" t="s">
        <v>463</v>
      </c>
      <c r="D237" s="3" t="s">
        <v>57</v>
      </c>
      <c r="E237" s="3"/>
      <c r="F237" s="3" t="s">
        <v>53</v>
      </c>
      <c r="G237" s="3" t="s">
        <v>50</v>
      </c>
      <c r="H237" s="4">
        <v>922</v>
      </c>
      <c r="I237" s="4">
        <v>300</v>
      </c>
      <c r="J237" s="3" t="s">
        <v>26</v>
      </c>
      <c r="K237" s="4" t="b">
        <v>0</v>
      </c>
      <c r="L237" s="6">
        <v>0.33333333333333298</v>
      </c>
      <c r="M237" s="6">
        <v>0.33333333333333298</v>
      </c>
      <c r="N237" s="3" t="s">
        <v>58</v>
      </c>
      <c r="O237" s="3" t="s">
        <v>59</v>
      </c>
      <c r="P237" s="3" t="s">
        <v>464</v>
      </c>
      <c r="Q237" s="3" t="s">
        <v>2018</v>
      </c>
      <c r="R237" s="3" t="s">
        <v>1139</v>
      </c>
      <c r="S237" s="3" t="s">
        <v>2019</v>
      </c>
      <c r="T237" s="3" t="s">
        <v>2020</v>
      </c>
      <c r="U237" s="11" t="s">
        <v>2021</v>
      </c>
      <c r="V237" s="11" t="s">
        <v>1096</v>
      </c>
      <c r="W237" s="11" t="s">
        <v>1097</v>
      </c>
      <c r="X237" s="13">
        <v>0.86</v>
      </c>
      <c r="Y237" s="12"/>
      <c r="Z237" s="11" t="s">
        <v>2022</v>
      </c>
      <c r="AA237" s="11"/>
      <c r="AB237" s="11"/>
      <c r="AC237" s="11">
        <v>0</v>
      </c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 t="s">
        <v>1019</v>
      </c>
      <c r="AO237" s="11" t="s">
        <v>1604</v>
      </c>
      <c r="AP237" s="11" t="s">
        <v>1114</v>
      </c>
      <c r="AQ237" s="11"/>
      <c r="AR237" s="11" t="s">
        <v>1034</v>
      </c>
      <c r="AS237" s="11"/>
      <c r="AT237" s="11" t="s">
        <v>1034</v>
      </c>
      <c r="AU237" s="11"/>
      <c r="AV237" s="11"/>
      <c r="AW237" s="12">
        <v>1</v>
      </c>
      <c r="AX237" s="12">
        <v>1</v>
      </c>
      <c r="AY237" s="12">
        <v>1</v>
      </c>
      <c r="AZ237" s="12"/>
      <c r="BA237" s="12"/>
      <c r="BB237" s="12"/>
      <c r="BC237" s="12"/>
      <c r="BD237" s="11" t="s">
        <v>1115</v>
      </c>
      <c r="BE237" s="11" t="s">
        <v>1116</v>
      </c>
    </row>
    <row r="238" spans="1:57" s="8" customFormat="1" ht="58" x14ac:dyDescent="0.35">
      <c r="A238" s="7" t="s">
        <v>398</v>
      </c>
      <c r="B238" s="7" t="s">
        <v>399</v>
      </c>
      <c r="C238" s="3" t="s">
        <v>465</v>
      </c>
      <c r="D238" s="3" t="s">
        <v>83</v>
      </c>
      <c r="E238" s="3" t="s">
        <v>83</v>
      </c>
      <c r="F238" s="3" t="s">
        <v>84</v>
      </c>
      <c r="G238" s="3" t="s">
        <v>25</v>
      </c>
      <c r="H238" s="4">
        <v>1239</v>
      </c>
      <c r="I238" s="4">
        <v>500</v>
      </c>
      <c r="J238" s="3" t="s">
        <v>26</v>
      </c>
      <c r="K238" s="4" t="b">
        <v>1</v>
      </c>
      <c r="L238" s="6">
        <v>1</v>
      </c>
      <c r="M238" s="6">
        <v>1</v>
      </c>
      <c r="N238" s="3" t="s">
        <v>466</v>
      </c>
      <c r="O238" s="3"/>
      <c r="P238" s="3" t="s">
        <v>467</v>
      </c>
      <c r="Q238" s="3" t="s">
        <v>2024</v>
      </c>
      <c r="R238" s="3" t="s">
        <v>1039</v>
      </c>
      <c r="S238" s="3" t="s">
        <v>2025</v>
      </c>
      <c r="T238" s="3" t="s">
        <v>2026</v>
      </c>
      <c r="U238" s="11" t="s">
        <v>2027</v>
      </c>
      <c r="V238" s="11" t="s">
        <v>1009</v>
      </c>
      <c r="W238" s="11" t="s">
        <v>1010</v>
      </c>
      <c r="X238" s="13">
        <v>0.87</v>
      </c>
      <c r="Y238" s="12"/>
      <c r="Z238" s="11" t="s">
        <v>2028</v>
      </c>
      <c r="AA238" s="11"/>
      <c r="AB238" s="11"/>
      <c r="AC238" s="11">
        <v>0</v>
      </c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 t="s">
        <v>1019</v>
      </c>
      <c r="AO238" s="11" t="s">
        <v>1859</v>
      </c>
      <c r="AP238" s="11" t="s">
        <v>1021</v>
      </c>
      <c r="AQ238" s="11" t="s">
        <v>1860</v>
      </c>
      <c r="AR238" s="11" t="s">
        <v>1048</v>
      </c>
      <c r="AS238" s="11" t="s">
        <v>1861</v>
      </c>
      <c r="AT238" s="11" t="s">
        <v>1050</v>
      </c>
      <c r="AU238" s="11" t="s">
        <v>1860</v>
      </c>
      <c r="AV238" s="11" t="s">
        <v>1861</v>
      </c>
      <c r="AW238" s="12">
        <v>1</v>
      </c>
      <c r="AX238" s="12">
        <v>1</v>
      </c>
      <c r="AY238" s="12">
        <v>1</v>
      </c>
      <c r="AZ238" s="12">
        <v>1</v>
      </c>
      <c r="BA238" s="12">
        <v>4</v>
      </c>
      <c r="BB238" s="12">
        <v>1</v>
      </c>
      <c r="BC238" s="12">
        <v>1</v>
      </c>
      <c r="BD238" s="11" t="s">
        <v>1026</v>
      </c>
      <c r="BE238" s="11" t="s">
        <v>1051</v>
      </c>
    </row>
    <row r="239" spans="1:57" s="8" customFormat="1" ht="58" x14ac:dyDescent="0.35">
      <c r="A239" s="7" t="s">
        <v>398</v>
      </c>
      <c r="B239" s="7" t="s">
        <v>399</v>
      </c>
      <c r="C239" s="3" t="s">
        <v>468</v>
      </c>
      <c r="D239" s="3" t="s">
        <v>57</v>
      </c>
      <c r="E239" s="3"/>
      <c r="F239" s="3" t="s">
        <v>53</v>
      </c>
      <c r="G239" s="3" t="s">
        <v>50</v>
      </c>
      <c r="H239" s="4">
        <v>1074</v>
      </c>
      <c r="I239" s="4">
        <v>300</v>
      </c>
      <c r="J239" s="3" t="s">
        <v>26</v>
      </c>
      <c r="K239" s="4" t="b">
        <v>0</v>
      </c>
      <c r="L239" s="6">
        <v>0.33333333333333298</v>
      </c>
      <c r="M239" s="6">
        <v>0.33333333333333298</v>
      </c>
      <c r="N239" s="3" t="s">
        <v>58</v>
      </c>
      <c r="O239" s="3" t="s">
        <v>59</v>
      </c>
      <c r="P239" s="3" t="s">
        <v>469</v>
      </c>
      <c r="Q239" s="3" t="s">
        <v>2029</v>
      </c>
      <c r="R239" s="3" t="s">
        <v>1139</v>
      </c>
      <c r="S239" s="3" t="s">
        <v>2030</v>
      </c>
      <c r="T239" s="3" t="s">
        <v>1540</v>
      </c>
      <c r="U239" s="11" t="s">
        <v>2031</v>
      </c>
      <c r="V239" s="11" t="s">
        <v>1043</v>
      </c>
      <c r="W239" s="11" t="s">
        <v>1044</v>
      </c>
      <c r="X239" s="13">
        <v>1</v>
      </c>
      <c r="Y239" s="12"/>
      <c r="Z239" s="11"/>
      <c r="AA239" s="11"/>
      <c r="AB239" s="11"/>
      <c r="AC239" s="11">
        <v>1</v>
      </c>
      <c r="AD239" s="11" t="s">
        <v>1227</v>
      </c>
      <c r="AE239" s="11" t="s">
        <v>2032</v>
      </c>
      <c r="AF239" s="11" t="s">
        <v>1014</v>
      </c>
      <c r="AG239" s="11" t="s">
        <v>1015</v>
      </c>
      <c r="AH239" s="11"/>
      <c r="AI239" s="11" t="s">
        <v>1016</v>
      </c>
      <c r="AJ239" s="11"/>
      <c r="AK239" s="11" t="s">
        <v>1229</v>
      </c>
      <c r="AL239" s="11" t="s">
        <v>1017</v>
      </c>
      <c r="AM239" s="11" t="s">
        <v>1230</v>
      </c>
      <c r="AN239" s="11" t="s">
        <v>1019</v>
      </c>
      <c r="AO239" s="11" t="s">
        <v>1882</v>
      </c>
      <c r="AP239" s="11" t="s">
        <v>1021</v>
      </c>
      <c r="AQ239" s="11" t="s">
        <v>1883</v>
      </c>
      <c r="AR239" s="11" t="s">
        <v>1048</v>
      </c>
      <c r="AS239" s="11"/>
      <c r="AT239" s="11" t="s">
        <v>1034</v>
      </c>
      <c r="AU239" s="11" t="s">
        <v>1883</v>
      </c>
      <c r="AV239" s="11"/>
      <c r="AW239" s="12">
        <v>1</v>
      </c>
      <c r="AX239" s="12">
        <v>1</v>
      </c>
      <c r="AY239" s="12">
        <v>1</v>
      </c>
      <c r="AZ239" s="12">
        <v>1</v>
      </c>
      <c r="BA239" s="12">
        <v>2</v>
      </c>
      <c r="BB239" s="12"/>
      <c r="BC239" s="12"/>
      <c r="BD239" s="11" t="s">
        <v>1093</v>
      </c>
      <c r="BE239" s="11" t="s">
        <v>1037</v>
      </c>
    </row>
    <row r="240" spans="1:57" s="8" customFormat="1" ht="58" x14ac:dyDescent="0.35">
      <c r="A240" s="7" t="s">
        <v>398</v>
      </c>
      <c r="B240" s="7" t="s">
        <v>399</v>
      </c>
      <c r="C240" s="3" t="s">
        <v>470</v>
      </c>
      <c r="D240" s="3" t="s">
        <v>57</v>
      </c>
      <c r="E240" s="3"/>
      <c r="F240" s="3" t="s">
        <v>53</v>
      </c>
      <c r="G240" s="3" t="s">
        <v>50</v>
      </c>
      <c r="H240" s="4">
        <v>507</v>
      </c>
      <c r="I240" s="4">
        <v>300</v>
      </c>
      <c r="J240" s="3" t="s">
        <v>26</v>
      </c>
      <c r="K240" s="4" t="b">
        <v>0</v>
      </c>
      <c r="L240" s="6">
        <v>0.33333333333333298</v>
      </c>
      <c r="M240" s="6">
        <v>0.33333333333333298</v>
      </c>
      <c r="N240" s="3" t="s">
        <v>58</v>
      </c>
      <c r="O240" s="3" t="s">
        <v>59</v>
      </c>
      <c r="P240" s="3" t="s">
        <v>471</v>
      </c>
      <c r="Q240" s="3" t="s">
        <v>2033</v>
      </c>
      <c r="R240" s="3" t="s">
        <v>1029</v>
      </c>
      <c r="S240" s="3" t="s">
        <v>1006</v>
      </c>
      <c r="T240" s="3" t="s">
        <v>1007</v>
      </c>
      <c r="U240" s="11" t="s">
        <v>2034</v>
      </c>
      <c r="V240" s="11" t="s">
        <v>1031</v>
      </c>
      <c r="W240" s="11" t="s">
        <v>1032</v>
      </c>
      <c r="X240" s="13">
        <v>0.7</v>
      </c>
      <c r="Y240" s="12"/>
      <c r="Z240" s="11"/>
      <c r="AA240" s="11"/>
      <c r="AB240" s="11"/>
      <c r="AC240" s="11">
        <v>0</v>
      </c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 t="s">
        <v>1019</v>
      </c>
      <c r="AO240" s="11" t="s">
        <v>1268</v>
      </c>
      <c r="AP240" s="11" t="s">
        <v>1021</v>
      </c>
      <c r="AQ240" s="11" t="s">
        <v>1269</v>
      </c>
      <c r="AR240" s="11" t="s">
        <v>1048</v>
      </c>
      <c r="AS240" s="11" t="s">
        <v>1270</v>
      </c>
      <c r="AT240" s="11" t="s">
        <v>1050</v>
      </c>
      <c r="AU240" s="11" t="s">
        <v>1269</v>
      </c>
      <c r="AV240" s="11" t="s">
        <v>1270</v>
      </c>
      <c r="AW240" s="12">
        <v>1</v>
      </c>
      <c r="AX240" s="12">
        <v>1</v>
      </c>
      <c r="AY240" s="12">
        <v>1</v>
      </c>
      <c r="AZ240" s="12">
        <v>1</v>
      </c>
      <c r="BA240" s="12">
        <v>4</v>
      </c>
      <c r="BB240" s="12">
        <v>1</v>
      </c>
      <c r="BC240" s="12">
        <v>1</v>
      </c>
      <c r="BD240" s="11" t="s">
        <v>1026</v>
      </c>
      <c r="BE240" s="11" t="s">
        <v>1051</v>
      </c>
    </row>
    <row r="241" spans="1:57" s="8" customFormat="1" ht="72.5" x14ac:dyDescent="0.35">
      <c r="A241" s="7" t="s">
        <v>398</v>
      </c>
      <c r="B241" s="7" t="s">
        <v>399</v>
      </c>
      <c r="C241" s="3" t="s">
        <v>472</v>
      </c>
      <c r="D241" s="3" t="s">
        <v>52</v>
      </c>
      <c r="E241" s="3"/>
      <c r="F241" s="3" t="s">
        <v>53</v>
      </c>
      <c r="G241" s="3" t="s">
        <v>50</v>
      </c>
      <c r="H241" s="4">
        <v>647</v>
      </c>
      <c r="I241" s="4">
        <v>500</v>
      </c>
      <c r="J241" s="3" t="s">
        <v>26</v>
      </c>
      <c r="K241" s="4" t="b">
        <v>0</v>
      </c>
      <c r="L241" s="6">
        <v>0.33333333333333298</v>
      </c>
      <c r="M241" s="6">
        <v>0.33333333333333298</v>
      </c>
      <c r="N241" s="3" t="s">
        <v>54</v>
      </c>
      <c r="O241" s="3" t="s">
        <v>55</v>
      </c>
      <c r="P241" s="3" t="s">
        <v>473</v>
      </c>
      <c r="Q241" s="3" t="s">
        <v>2035</v>
      </c>
      <c r="R241" s="3" t="s">
        <v>1005</v>
      </c>
      <c r="S241" s="3" t="s">
        <v>1006</v>
      </c>
      <c r="T241" s="3" t="s">
        <v>1007</v>
      </c>
      <c r="U241" s="11" t="s">
        <v>2036</v>
      </c>
      <c r="V241" s="11" t="s">
        <v>1096</v>
      </c>
      <c r="W241" s="11" t="s">
        <v>1097</v>
      </c>
      <c r="X241" s="13">
        <v>0.76</v>
      </c>
      <c r="Y241" s="12"/>
      <c r="Z241" s="11" t="s">
        <v>2037</v>
      </c>
      <c r="AA241" s="11"/>
      <c r="AB241" s="11"/>
      <c r="AC241" s="11">
        <v>4</v>
      </c>
      <c r="AD241" s="11" t="s">
        <v>2038</v>
      </c>
      <c r="AE241" s="11" t="s">
        <v>2039</v>
      </c>
      <c r="AF241" s="11" t="s">
        <v>1014</v>
      </c>
      <c r="AG241" s="11" t="s">
        <v>1015</v>
      </c>
      <c r="AH241" s="11" t="s">
        <v>1324</v>
      </c>
      <c r="AI241" s="11" t="s">
        <v>1016</v>
      </c>
      <c r="AJ241" s="11"/>
      <c r="AK241" s="11" t="s">
        <v>2040</v>
      </c>
      <c r="AL241" s="11" t="s">
        <v>1017</v>
      </c>
      <c r="AM241" s="11" t="s">
        <v>2041</v>
      </c>
      <c r="AN241" s="11" t="s">
        <v>1019</v>
      </c>
      <c r="AO241" s="11" t="s">
        <v>1325</v>
      </c>
      <c r="AP241" s="11" t="s">
        <v>1021</v>
      </c>
      <c r="AQ241" s="11" t="s">
        <v>1326</v>
      </c>
      <c r="AR241" s="11" t="s">
        <v>1050</v>
      </c>
      <c r="AS241" s="11" t="s">
        <v>1327</v>
      </c>
      <c r="AT241" s="11" t="s">
        <v>1050</v>
      </c>
      <c r="AU241" s="11" t="s">
        <v>1326</v>
      </c>
      <c r="AV241" s="11" t="s">
        <v>1327</v>
      </c>
      <c r="AW241" s="12">
        <v>2</v>
      </c>
      <c r="AX241" s="12">
        <v>1</v>
      </c>
      <c r="AY241" s="12">
        <v>1</v>
      </c>
      <c r="AZ241" s="12">
        <v>1</v>
      </c>
      <c r="BA241" s="12">
        <v>1</v>
      </c>
      <c r="BB241" s="12">
        <v>1</v>
      </c>
      <c r="BC241" s="12">
        <v>1</v>
      </c>
      <c r="BD241" s="11" t="s">
        <v>1026</v>
      </c>
      <c r="BE241" s="11" t="s">
        <v>1103</v>
      </c>
    </row>
    <row r="242" spans="1:57" s="8" customFormat="1" ht="43.5" x14ac:dyDescent="0.35">
      <c r="A242" s="7" t="s">
        <v>398</v>
      </c>
      <c r="B242" s="7" t="s">
        <v>399</v>
      </c>
      <c r="C242" s="3" t="s">
        <v>472</v>
      </c>
      <c r="D242" s="3" t="s">
        <v>57</v>
      </c>
      <c r="E242" s="3" t="s">
        <v>57</v>
      </c>
      <c r="F242" s="3" t="s">
        <v>53</v>
      </c>
      <c r="G242" s="3" t="s">
        <v>25</v>
      </c>
      <c r="H242" s="4">
        <v>647</v>
      </c>
      <c r="I242" s="4">
        <v>300</v>
      </c>
      <c r="J242" s="3" t="s">
        <v>26</v>
      </c>
      <c r="K242" s="4" t="b">
        <v>1</v>
      </c>
      <c r="L242" s="6">
        <v>1</v>
      </c>
      <c r="M242" s="6">
        <v>1</v>
      </c>
      <c r="N242" s="3" t="s">
        <v>62</v>
      </c>
      <c r="O242" s="3"/>
      <c r="P242" s="3" t="s">
        <v>473</v>
      </c>
      <c r="Q242" s="3" t="s">
        <v>2035</v>
      </c>
      <c r="R242" s="3" t="s">
        <v>1005</v>
      </c>
      <c r="S242" s="3" t="s">
        <v>1006</v>
      </c>
      <c r="T242" s="3" t="s">
        <v>1007</v>
      </c>
      <c r="U242" s="11" t="s">
        <v>2036</v>
      </c>
      <c r="V242" s="11" t="s">
        <v>1096</v>
      </c>
      <c r="W242" s="11" t="s">
        <v>1097</v>
      </c>
      <c r="X242" s="13">
        <v>0.76</v>
      </c>
      <c r="Y242" s="12"/>
      <c r="Z242" s="11" t="s">
        <v>2037</v>
      </c>
      <c r="AA242" s="11"/>
      <c r="AB242" s="11"/>
      <c r="AC242" s="11">
        <v>1</v>
      </c>
      <c r="AD242" s="11" t="s">
        <v>1201</v>
      </c>
      <c r="AE242" s="11" t="s">
        <v>2042</v>
      </c>
      <c r="AF242" s="11" t="s">
        <v>1014</v>
      </c>
      <c r="AG242" s="11" t="s">
        <v>1203</v>
      </c>
      <c r="AH242" s="11"/>
      <c r="AI242" s="11" t="s">
        <v>1016</v>
      </c>
      <c r="AJ242" s="11"/>
      <c r="AK242" s="11" t="s">
        <v>1204</v>
      </c>
      <c r="AL242" s="11" t="s">
        <v>1017</v>
      </c>
      <c r="AM242" s="11" t="s">
        <v>1205</v>
      </c>
      <c r="AN242" s="11" t="s">
        <v>1019</v>
      </c>
      <c r="AO242" s="11" t="s">
        <v>1325</v>
      </c>
      <c r="AP242" s="11" t="s">
        <v>1021</v>
      </c>
      <c r="AQ242" s="11" t="s">
        <v>1326</v>
      </c>
      <c r="AR242" s="11" t="s">
        <v>1050</v>
      </c>
      <c r="AS242" s="11" t="s">
        <v>1327</v>
      </c>
      <c r="AT242" s="11" t="s">
        <v>1050</v>
      </c>
      <c r="AU242" s="11" t="s">
        <v>1326</v>
      </c>
      <c r="AV242" s="11" t="s">
        <v>1327</v>
      </c>
      <c r="AW242" s="12">
        <v>2</v>
      </c>
      <c r="AX242" s="12">
        <v>1</v>
      </c>
      <c r="AY242" s="12">
        <v>1</v>
      </c>
      <c r="AZ242" s="12">
        <v>1</v>
      </c>
      <c r="BA242" s="12">
        <v>1</v>
      </c>
      <c r="BB242" s="12">
        <v>1</v>
      </c>
      <c r="BC242" s="12">
        <v>1</v>
      </c>
      <c r="BD242" s="11" t="s">
        <v>1026</v>
      </c>
      <c r="BE242" s="11" t="s">
        <v>1103</v>
      </c>
    </row>
    <row r="243" spans="1:57" s="8" customFormat="1" ht="43.5" x14ac:dyDescent="0.35">
      <c r="A243" s="7" t="s">
        <v>398</v>
      </c>
      <c r="B243" s="7" t="s">
        <v>399</v>
      </c>
      <c r="C243" s="3" t="s">
        <v>472</v>
      </c>
      <c r="D243" s="3" t="s">
        <v>98</v>
      </c>
      <c r="E243" s="3"/>
      <c r="F243" s="3" t="s">
        <v>53</v>
      </c>
      <c r="G243" s="3" t="s">
        <v>50</v>
      </c>
      <c r="H243" s="4">
        <v>647</v>
      </c>
      <c r="I243" s="4">
        <v>300</v>
      </c>
      <c r="J243" s="3" t="s">
        <v>26</v>
      </c>
      <c r="K243" s="4" t="b">
        <v>0</v>
      </c>
      <c r="L243" s="6">
        <v>0.5</v>
      </c>
      <c r="M243" s="6">
        <v>0.5</v>
      </c>
      <c r="N243" s="3" t="s">
        <v>58</v>
      </c>
      <c r="O243" s="3" t="s">
        <v>99</v>
      </c>
      <c r="P243" s="3" t="s">
        <v>473</v>
      </c>
      <c r="Q243" s="3" t="s">
        <v>2035</v>
      </c>
      <c r="R243" s="3" t="s">
        <v>1005</v>
      </c>
      <c r="S243" s="3" t="s">
        <v>1006</v>
      </c>
      <c r="T243" s="3" t="s">
        <v>1007</v>
      </c>
      <c r="U243" s="11" t="s">
        <v>2036</v>
      </c>
      <c r="V243" s="11" t="s">
        <v>1096</v>
      </c>
      <c r="W243" s="11" t="s">
        <v>1097</v>
      </c>
      <c r="X243" s="13">
        <v>0.76</v>
      </c>
      <c r="Y243" s="12"/>
      <c r="Z243" s="11" t="s">
        <v>2037</v>
      </c>
      <c r="AA243" s="11"/>
      <c r="AB243" s="11"/>
      <c r="AC243" s="11">
        <v>0</v>
      </c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 t="s">
        <v>1019</v>
      </c>
      <c r="AO243" s="11" t="s">
        <v>1325</v>
      </c>
      <c r="AP243" s="11" t="s">
        <v>1021</v>
      </c>
      <c r="AQ243" s="11" t="s">
        <v>1326</v>
      </c>
      <c r="AR243" s="11" t="s">
        <v>1050</v>
      </c>
      <c r="AS243" s="11" t="s">
        <v>1327</v>
      </c>
      <c r="AT243" s="11" t="s">
        <v>1050</v>
      </c>
      <c r="AU243" s="11" t="s">
        <v>1326</v>
      </c>
      <c r="AV243" s="11" t="s">
        <v>1327</v>
      </c>
      <c r="AW243" s="12">
        <v>2</v>
      </c>
      <c r="AX243" s="12">
        <v>1</v>
      </c>
      <c r="AY243" s="12">
        <v>1</v>
      </c>
      <c r="AZ243" s="12">
        <v>1</v>
      </c>
      <c r="BA243" s="12">
        <v>1</v>
      </c>
      <c r="BB243" s="12">
        <v>1</v>
      </c>
      <c r="BC243" s="12">
        <v>1</v>
      </c>
      <c r="BD243" s="11" t="s">
        <v>1026</v>
      </c>
      <c r="BE243" s="11" t="s">
        <v>1103</v>
      </c>
    </row>
    <row r="244" spans="1:57" s="8" customFormat="1" ht="58" x14ac:dyDescent="0.35">
      <c r="A244" s="7" t="s">
        <v>398</v>
      </c>
      <c r="B244" s="7" t="s">
        <v>399</v>
      </c>
      <c r="C244" s="3" t="s">
        <v>474</v>
      </c>
      <c r="D244" s="3" t="s">
        <v>35</v>
      </c>
      <c r="E244" s="3"/>
      <c r="F244" s="3" t="s">
        <v>36</v>
      </c>
      <c r="G244" s="3" t="s">
        <v>50</v>
      </c>
      <c r="H244" s="4">
        <v>836</v>
      </c>
      <c r="I244" s="4">
        <v>400</v>
      </c>
      <c r="J244" s="3" t="s">
        <v>26</v>
      </c>
      <c r="K244" s="4" t="b">
        <v>1</v>
      </c>
      <c r="L244" s="6">
        <v>1</v>
      </c>
      <c r="M244" s="6">
        <v>1</v>
      </c>
      <c r="N244" s="3" t="s">
        <v>37</v>
      </c>
      <c r="O244" s="3"/>
      <c r="P244" s="3" t="s">
        <v>475</v>
      </c>
      <c r="Q244" s="3" t="s">
        <v>2043</v>
      </c>
      <c r="R244" s="3" t="s">
        <v>1039</v>
      </c>
      <c r="S244" s="3" t="s">
        <v>1329</v>
      </c>
      <c r="T244" s="3" t="s">
        <v>2044</v>
      </c>
      <c r="U244" s="11" t="s">
        <v>2045</v>
      </c>
      <c r="V244" s="11" t="s">
        <v>1043</v>
      </c>
      <c r="W244" s="11" t="s">
        <v>1044</v>
      </c>
      <c r="X244" s="13">
        <v>1</v>
      </c>
      <c r="Y244" s="12" t="s">
        <v>1332</v>
      </c>
      <c r="Z244" s="11"/>
      <c r="AA244" s="11"/>
      <c r="AB244" s="11"/>
      <c r="AC244" s="11">
        <v>0</v>
      </c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 t="s">
        <v>1019</v>
      </c>
      <c r="AO244" s="11" t="s">
        <v>1313</v>
      </c>
      <c r="AP244" s="11" t="s">
        <v>1021</v>
      </c>
      <c r="AQ244" s="11" t="s">
        <v>1314</v>
      </c>
      <c r="AR244" s="11" t="s">
        <v>1023</v>
      </c>
      <c r="AS244" s="11" t="s">
        <v>1315</v>
      </c>
      <c r="AT244" s="11" t="s">
        <v>1025</v>
      </c>
      <c r="AU244" s="11" t="s">
        <v>1314</v>
      </c>
      <c r="AV244" s="11" t="s">
        <v>1315</v>
      </c>
      <c r="AW244" s="12">
        <v>2</v>
      </c>
      <c r="AX244" s="12">
        <v>2</v>
      </c>
      <c r="AY244" s="12">
        <v>2</v>
      </c>
      <c r="AZ244" s="12">
        <v>2</v>
      </c>
      <c r="BA244" s="12">
        <v>2</v>
      </c>
      <c r="BB244" s="12">
        <v>2</v>
      </c>
      <c r="BC244" s="12">
        <v>1</v>
      </c>
      <c r="BD244" s="11" t="s">
        <v>1026</v>
      </c>
      <c r="BE244" s="11" t="s">
        <v>1027</v>
      </c>
    </row>
    <row r="245" spans="1:57" s="8" customFormat="1" ht="43.5" x14ac:dyDescent="0.35">
      <c r="A245" s="7" t="s">
        <v>398</v>
      </c>
      <c r="B245" s="7" t="s">
        <v>399</v>
      </c>
      <c r="C245" s="3" t="s">
        <v>476</v>
      </c>
      <c r="D245" s="3" t="s">
        <v>57</v>
      </c>
      <c r="E245" s="3"/>
      <c r="F245" s="3" t="s">
        <v>53</v>
      </c>
      <c r="G245" s="3" t="s">
        <v>50</v>
      </c>
      <c r="H245" s="4">
        <v>559</v>
      </c>
      <c r="I245" s="4">
        <v>300</v>
      </c>
      <c r="J245" s="3" t="s">
        <v>26</v>
      </c>
      <c r="K245" s="4" t="b">
        <v>0</v>
      </c>
      <c r="L245" s="6">
        <v>0.33333333333333298</v>
      </c>
      <c r="M245" s="6">
        <v>0.33333333333333298</v>
      </c>
      <c r="N245" s="3" t="s">
        <v>58</v>
      </c>
      <c r="O245" s="3" t="s">
        <v>59</v>
      </c>
      <c r="P245" s="3" t="s">
        <v>477</v>
      </c>
      <c r="Q245" s="3" t="s">
        <v>2046</v>
      </c>
      <c r="R245" s="3" t="s">
        <v>1005</v>
      </c>
      <c r="S245" s="3" t="s">
        <v>1006</v>
      </c>
      <c r="T245" s="3" t="s">
        <v>1007</v>
      </c>
      <c r="U245" s="11" t="s">
        <v>2047</v>
      </c>
      <c r="V245" s="11" t="s">
        <v>1064</v>
      </c>
      <c r="W245" s="11" t="s">
        <v>1065</v>
      </c>
      <c r="X245" s="13">
        <v>1</v>
      </c>
      <c r="Y245" s="12"/>
      <c r="Z245" s="11"/>
      <c r="AA245" s="11"/>
      <c r="AB245" s="11"/>
      <c r="AC245" s="11">
        <v>0</v>
      </c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 t="s">
        <v>1019</v>
      </c>
      <c r="AO245" s="11" t="s">
        <v>1335</v>
      </c>
      <c r="AP245" s="11" t="s">
        <v>1021</v>
      </c>
      <c r="AQ245" s="11" t="s">
        <v>1336</v>
      </c>
      <c r="AR245" s="11" t="s">
        <v>1050</v>
      </c>
      <c r="AS245" s="11" t="s">
        <v>1337</v>
      </c>
      <c r="AT245" s="11" t="s">
        <v>1050</v>
      </c>
      <c r="AU245" s="11" t="s">
        <v>1336</v>
      </c>
      <c r="AV245" s="11" t="s">
        <v>1337</v>
      </c>
      <c r="AW245" s="12">
        <v>1</v>
      </c>
      <c r="AX245" s="12">
        <v>1</v>
      </c>
      <c r="AY245" s="12">
        <v>1</v>
      </c>
      <c r="AZ245" s="12">
        <v>1</v>
      </c>
      <c r="BA245" s="12">
        <v>1</v>
      </c>
      <c r="BB245" s="12">
        <v>1</v>
      </c>
      <c r="BC245" s="12">
        <v>1</v>
      </c>
      <c r="BD245" s="11" t="s">
        <v>1026</v>
      </c>
      <c r="BE245" s="11" t="s">
        <v>1103</v>
      </c>
    </row>
    <row r="246" spans="1:57" s="8" customFormat="1" ht="116" x14ac:dyDescent="0.35">
      <c r="A246" s="7" t="s">
        <v>398</v>
      </c>
      <c r="B246" s="7" t="s">
        <v>399</v>
      </c>
      <c r="C246" s="3" t="s">
        <v>478</v>
      </c>
      <c r="D246" s="3" t="s">
        <v>23</v>
      </c>
      <c r="E246" s="3" t="s">
        <v>23</v>
      </c>
      <c r="F246" s="3" t="s">
        <v>24</v>
      </c>
      <c r="G246" s="3" t="s">
        <v>25</v>
      </c>
      <c r="H246" s="4">
        <v>2782</v>
      </c>
      <c r="I246" s="4">
        <v>800</v>
      </c>
      <c r="J246" s="3" t="s">
        <v>26</v>
      </c>
      <c r="K246" s="4" t="b">
        <v>1</v>
      </c>
      <c r="L246" s="6">
        <v>1</v>
      </c>
      <c r="M246" s="6">
        <v>1</v>
      </c>
      <c r="N246" s="3" t="s">
        <v>27</v>
      </c>
      <c r="O246" s="3"/>
      <c r="P246" s="3" t="s">
        <v>479</v>
      </c>
      <c r="Q246" s="3" t="s">
        <v>2048</v>
      </c>
      <c r="R246" s="3" t="s">
        <v>1005</v>
      </c>
      <c r="S246" s="3" t="s">
        <v>1006</v>
      </c>
      <c r="T246" s="3" t="s">
        <v>1007</v>
      </c>
      <c r="U246" s="11" t="s">
        <v>2049</v>
      </c>
      <c r="V246" s="11" t="s">
        <v>1031</v>
      </c>
      <c r="W246" s="11" t="s">
        <v>1032</v>
      </c>
      <c r="X246" s="13">
        <v>0.7</v>
      </c>
      <c r="Y246" s="12"/>
      <c r="Z246" s="11"/>
      <c r="AA246" s="11"/>
      <c r="AB246" s="11"/>
      <c r="AC246" s="11">
        <v>5</v>
      </c>
      <c r="AD246" s="11" t="s">
        <v>1012</v>
      </c>
      <c r="AE246" s="11" t="s">
        <v>2050</v>
      </c>
      <c r="AF246" s="11" t="s">
        <v>1014</v>
      </c>
      <c r="AG246" s="11" t="s">
        <v>1015</v>
      </c>
      <c r="AH246" s="11"/>
      <c r="AI246" s="11" t="s">
        <v>1016</v>
      </c>
      <c r="AJ246" s="11"/>
      <c r="AK246" s="11" t="s">
        <v>262</v>
      </c>
      <c r="AL246" s="11" t="s">
        <v>1017</v>
      </c>
      <c r="AM246" s="11" t="s">
        <v>1018</v>
      </c>
      <c r="AN246" s="11" t="s">
        <v>1019</v>
      </c>
      <c r="AO246" s="11" t="s">
        <v>1020</v>
      </c>
      <c r="AP246" s="11" t="s">
        <v>1021</v>
      </c>
      <c r="AQ246" s="11" t="s">
        <v>1022</v>
      </c>
      <c r="AR246" s="11" t="s">
        <v>1023</v>
      </c>
      <c r="AS246" s="11" t="s">
        <v>1024</v>
      </c>
      <c r="AT246" s="11" t="s">
        <v>1025</v>
      </c>
      <c r="AU246" s="11" t="s">
        <v>1022</v>
      </c>
      <c r="AV246" s="11" t="s">
        <v>1024</v>
      </c>
      <c r="AW246" s="12">
        <v>2</v>
      </c>
      <c r="AX246" s="12">
        <v>2</v>
      </c>
      <c r="AY246" s="12">
        <v>2</v>
      </c>
      <c r="AZ246" s="12">
        <v>2</v>
      </c>
      <c r="BA246" s="12">
        <v>3</v>
      </c>
      <c r="BB246" s="12">
        <v>2</v>
      </c>
      <c r="BC246" s="12">
        <v>1</v>
      </c>
      <c r="BD246" s="11" t="s">
        <v>1026</v>
      </c>
      <c r="BE246" s="11" t="s">
        <v>1027</v>
      </c>
    </row>
    <row r="247" spans="1:57" s="8" customFormat="1" ht="58" x14ac:dyDescent="0.35">
      <c r="A247" s="7" t="s">
        <v>398</v>
      </c>
      <c r="B247" s="7" t="s">
        <v>399</v>
      </c>
      <c r="C247" s="3" t="s">
        <v>480</v>
      </c>
      <c r="D247" s="3" t="s">
        <v>57</v>
      </c>
      <c r="E247" s="3"/>
      <c r="F247" s="3" t="s">
        <v>53</v>
      </c>
      <c r="G247" s="3" t="s">
        <v>50</v>
      </c>
      <c r="H247" s="4">
        <v>409</v>
      </c>
      <c r="I247" s="4">
        <v>300</v>
      </c>
      <c r="J247" s="3" t="s">
        <v>26</v>
      </c>
      <c r="K247" s="4" t="b">
        <v>0</v>
      </c>
      <c r="L247" s="6">
        <v>0.33333333333333298</v>
      </c>
      <c r="M247" s="6">
        <v>0.33333333333333298</v>
      </c>
      <c r="N247" s="3" t="s">
        <v>58</v>
      </c>
      <c r="O247" s="3" t="s">
        <v>59</v>
      </c>
      <c r="P247" s="3" t="s">
        <v>481</v>
      </c>
      <c r="Q247" s="3" t="s">
        <v>1769</v>
      </c>
      <c r="R247" s="3" t="s">
        <v>1074</v>
      </c>
      <c r="S247" s="3" t="s">
        <v>1006</v>
      </c>
      <c r="T247" s="3" t="s">
        <v>1007</v>
      </c>
      <c r="U247" s="11" t="s">
        <v>2051</v>
      </c>
      <c r="V247" s="11" t="s">
        <v>1064</v>
      </c>
      <c r="W247" s="11" t="s">
        <v>1065</v>
      </c>
      <c r="X247" s="13">
        <v>1</v>
      </c>
      <c r="Y247" s="12"/>
      <c r="Z247" s="11"/>
      <c r="AA247" s="11"/>
      <c r="AB247" s="11"/>
      <c r="AC247" s="11">
        <v>0</v>
      </c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 t="s">
        <v>1019</v>
      </c>
      <c r="AO247" s="11" t="s">
        <v>1771</v>
      </c>
      <c r="AP247" s="11" t="s">
        <v>1021</v>
      </c>
      <c r="AQ247" s="11" t="s">
        <v>1772</v>
      </c>
      <c r="AR247" s="11" t="s">
        <v>1048</v>
      </c>
      <c r="AS247" s="11" t="s">
        <v>1773</v>
      </c>
      <c r="AT247" s="11" t="s">
        <v>1050</v>
      </c>
      <c r="AU247" s="11" t="s">
        <v>1772</v>
      </c>
      <c r="AV247" s="11" t="s">
        <v>1773</v>
      </c>
      <c r="AW247" s="12">
        <v>1</v>
      </c>
      <c r="AX247" s="12">
        <v>1</v>
      </c>
      <c r="AY247" s="12">
        <v>1</v>
      </c>
      <c r="AZ247" s="12">
        <v>1</v>
      </c>
      <c r="BA247" s="12">
        <v>2</v>
      </c>
      <c r="BB247" s="12">
        <v>1</v>
      </c>
      <c r="BC247" s="12">
        <v>1</v>
      </c>
      <c r="BD247" s="11" t="s">
        <v>1026</v>
      </c>
      <c r="BE247" s="11" t="s">
        <v>1051</v>
      </c>
    </row>
    <row r="248" spans="1:57" s="8" customFormat="1" ht="58" x14ac:dyDescent="0.35">
      <c r="A248" s="7" t="s">
        <v>398</v>
      </c>
      <c r="B248" s="7" t="s">
        <v>399</v>
      </c>
      <c r="C248" s="3" t="s">
        <v>482</v>
      </c>
      <c r="D248" s="3" t="s">
        <v>172</v>
      </c>
      <c r="E248" s="3" t="s">
        <v>172</v>
      </c>
      <c r="F248" s="3" t="s">
        <v>31</v>
      </c>
      <c r="G248" s="3" t="s">
        <v>25</v>
      </c>
      <c r="H248" s="4">
        <v>135</v>
      </c>
      <c r="I248" s="4">
        <v>90</v>
      </c>
      <c r="J248" s="3" t="s">
        <v>26</v>
      </c>
      <c r="K248" s="4" t="b">
        <v>1</v>
      </c>
      <c r="L248" s="6">
        <v>1</v>
      </c>
      <c r="M248" s="6">
        <v>1</v>
      </c>
      <c r="N248" s="3" t="s">
        <v>173</v>
      </c>
      <c r="O248" s="3"/>
      <c r="P248" s="3" t="s">
        <v>483</v>
      </c>
      <c r="Q248" s="3" t="s">
        <v>2052</v>
      </c>
      <c r="R248" s="3" t="s">
        <v>1029</v>
      </c>
      <c r="S248" s="3" t="s">
        <v>1006</v>
      </c>
      <c r="T248" s="3" t="s">
        <v>1007</v>
      </c>
      <c r="U248" s="11" t="s">
        <v>2053</v>
      </c>
      <c r="V248" s="11" t="s">
        <v>1031</v>
      </c>
      <c r="W248" s="11" t="s">
        <v>1032</v>
      </c>
      <c r="X248" s="13">
        <v>0.7</v>
      </c>
      <c r="Y248" s="12"/>
      <c r="Z248" s="11"/>
      <c r="AA248" s="11"/>
      <c r="AB248" s="11"/>
      <c r="AC248" s="11">
        <v>0</v>
      </c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 t="s">
        <v>1019</v>
      </c>
      <c r="AO248" s="11" t="s">
        <v>1351</v>
      </c>
      <c r="AP248" s="11" t="s">
        <v>1021</v>
      </c>
      <c r="AQ248" s="11" t="s">
        <v>1352</v>
      </c>
      <c r="AR248" s="11" t="s">
        <v>1023</v>
      </c>
      <c r="AS248" s="11" t="s">
        <v>1353</v>
      </c>
      <c r="AT248" s="11" t="s">
        <v>1025</v>
      </c>
      <c r="AU248" s="11" t="s">
        <v>1352</v>
      </c>
      <c r="AV248" s="11" t="s">
        <v>1353</v>
      </c>
      <c r="AW248" s="12">
        <v>1</v>
      </c>
      <c r="AX248" s="12">
        <v>3</v>
      </c>
      <c r="AY248" s="12">
        <v>3</v>
      </c>
      <c r="AZ248" s="12">
        <v>3</v>
      </c>
      <c r="BA248" s="12">
        <v>4</v>
      </c>
      <c r="BB248" s="12">
        <v>3</v>
      </c>
      <c r="BC248" s="12">
        <v>1</v>
      </c>
      <c r="BD248" s="11" t="s">
        <v>1026</v>
      </c>
      <c r="BE248" s="11" t="s">
        <v>1027</v>
      </c>
    </row>
    <row r="249" spans="1:57" s="8" customFormat="1" ht="58" x14ac:dyDescent="0.35">
      <c r="A249" s="7" t="s">
        <v>398</v>
      </c>
      <c r="B249" s="7" t="s">
        <v>399</v>
      </c>
      <c r="C249" s="3" t="s">
        <v>484</v>
      </c>
      <c r="D249" s="3" t="s">
        <v>45</v>
      </c>
      <c r="E249" s="3" t="s">
        <v>45</v>
      </c>
      <c r="F249" s="3" t="s">
        <v>46</v>
      </c>
      <c r="G249" s="3" t="s">
        <v>25</v>
      </c>
      <c r="H249" s="4">
        <v>459</v>
      </c>
      <c r="I249" s="4">
        <v>200</v>
      </c>
      <c r="J249" s="3" t="s">
        <v>26</v>
      </c>
      <c r="K249" s="4" t="b">
        <v>1</v>
      </c>
      <c r="L249" s="6">
        <v>1</v>
      </c>
      <c r="M249" s="6">
        <v>1</v>
      </c>
      <c r="N249" s="3" t="s">
        <v>47</v>
      </c>
      <c r="O249" s="3"/>
      <c r="P249" s="3" t="s">
        <v>485</v>
      </c>
      <c r="Q249" s="3" t="s">
        <v>2054</v>
      </c>
      <c r="R249" s="3" t="s">
        <v>1029</v>
      </c>
      <c r="S249" s="3" t="s">
        <v>1006</v>
      </c>
      <c r="T249" s="3" t="s">
        <v>1007</v>
      </c>
      <c r="U249" s="11" t="s">
        <v>2055</v>
      </c>
      <c r="V249" s="11" t="s">
        <v>1064</v>
      </c>
      <c r="W249" s="11" t="s">
        <v>1065</v>
      </c>
      <c r="X249" s="13">
        <v>1</v>
      </c>
      <c r="Y249" s="12"/>
      <c r="Z249" s="11"/>
      <c r="AA249" s="11"/>
      <c r="AB249" s="11"/>
      <c r="AC249" s="11">
        <v>1</v>
      </c>
      <c r="AD249" s="11" t="s">
        <v>1066</v>
      </c>
      <c r="AE249" s="11" t="s">
        <v>2056</v>
      </c>
      <c r="AF249" s="11" t="s">
        <v>1014</v>
      </c>
      <c r="AG249" s="11" t="s">
        <v>1015</v>
      </c>
      <c r="AH249" s="11"/>
      <c r="AI249" s="11" t="s">
        <v>1016</v>
      </c>
      <c r="AJ249" s="11"/>
      <c r="AK249" s="11" t="s">
        <v>1068</v>
      </c>
      <c r="AL249" s="11" t="s">
        <v>1017</v>
      </c>
      <c r="AM249" s="11" t="s">
        <v>1069</v>
      </c>
      <c r="AN249" s="11" t="s">
        <v>1019</v>
      </c>
      <c r="AO249" s="11" t="s">
        <v>1070</v>
      </c>
      <c r="AP249" s="11" t="s">
        <v>1021</v>
      </c>
      <c r="AQ249" s="11" t="s">
        <v>1071</v>
      </c>
      <c r="AR249" s="11" t="s">
        <v>1048</v>
      </c>
      <c r="AS249" s="11" t="s">
        <v>1072</v>
      </c>
      <c r="AT249" s="11" t="s">
        <v>1050</v>
      </c>
      <c r="AU249" s="11" t="s">
        <v>1071</v>
      </c>
      <c r="AV249" s="11" t="s">
        <v>1072</v>
      </c>
      <c r="AW249" s="12">
        <v>1</v>
      </c>
      <c r="AX249" s="12">
        <v>1</v>
      </c>
      <c r="AY249" s="12">
        <v>1</v>
      </c>
      <c r="AZ249" s="12">
        <v>1</v>
      </c>
      <c r="BA249" s="12">
        <v>2</v>
      </c>
      <c r="BB249" s="12">
        <v>1</v>
      </c>
      <c r="BC249" s="12">
        <v>1</v>
      </c>
      <c r="BD249" s="11" t="s">
        <v>1026</v>
      </c>
      <c r="BE249" s="11" t="s">
        <v>1051</v>
      </c>
    </row>
    <row r="250" spans="1:57" s="8" customFormat="1" ht="58" x14ac:dyDescent="0.35">
      <c r="A250" s="7" t="s">
        <v>398</v>
      </c>
      <c r="B250" s="7" t="s">
        <v>399</v>
      </c>
      <c r="C250" s="3" t="s">
        <v>484</v>
      </c>
      <c r="D250" s="3" t="s">
        <v>49</v>
      </c>
      <c r="E250" s="3"/>
      <c r="F250" s="3" t="s">
        <v>46</v>
      </c>
      <c r="G250" s="3" t="s">
        <v>50</v>
      </c>
      <c r="H250" s="4">
        <v>459</v>
      </c>
      <c r="I250" s="4">
        <v>200</v>
      </c>
      <c r="J250" s="3" t="s">
        <v>26</v>
      </c>
      <c r="K250" s="4" t="b">
        <v>1</v>
      </c>
      <c r="L250" s="6">
        <v>1</v>
      </c>
      <c r="M250" s="6">
        <v>1</v>
      </c>
      <c r="N250" s="3" t="s">
        <v>47</v>
      </c>
      <c r="O250" s="3"/>
      <c r="P250" s="3" t="s">
        <v>485</v>
      </c>
      <c r="Q250" s="3" t="s">
        <v>2054</v>
      </c>
      <c r="R250" s="3" t="s">
        <v>1029</v>
      </c>
      <c r="S250" s="3" t="s">
        <v>1006</v>
      </c>
      <c r="T250" s="3" t="s">
        <v>1007</v>
      </c>
      <c r="U250" s="11" t="s">
        <v>2055</v>
      </c>
      <c r="V250" s="11" t="s">
        <v>1064</v>
      </c>
      <c r="W250" s="11" t="s">
        <v>1065</v>
      </c>
      <c r="X250" s="13">
        <v>1</v>
      </c>
      <c r="Y250" s="12"/>
      <c r="Z250" s="11"/>
      <c r="AA250" s="11"/>
      <c r="AB250" s="11"/>
      <c r="AC250" s="11">
        <v>0</v>
      </c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 t="s">
        <v>1019</v>
      </c>
      <c r="AO250" s="11" t="s">
        <v>1070</v>
      </c>
      <c r="AP250" s="11" t="s">
        <v>1021</v>
      </c>
      <c r="AQ250" s="11" t="s">
        <v>1071</v>
      </c>
      <c r="AR250" s="11" t="s">
        <v>1048</v>
      </c>
      <c r="AS250" s="11" t="s">
        <v>1072</v>
      </c>
      <c r="AT250" s="11" t="s">
        <v>1050</v>
      </c>
      <c r="AU250" s="11" t="s">
        <v>1071</v>
      </c>
      <c r="AV250" s="11" t="s">
        <v>1072</v>
      </c>
      <c r="AW250" s="12">
        <v>1</v>
      </c>
      <c r="AX250" s="12">
        <v>1</v>
      </c>
      <c r="AY250" s="12">
        <v>1</v>
      </c>
      <c r="AZ250" s="12">
        <v>1</v>
      </c>
      <c r="BA250" s="12">
        <v>2</v>
      </c>
      <c r="BB250" s="12">
        <v>1</v>
      </c>
      <c r="BC250" s="12">
        <v>1</v>
      </c>
      <c r="BD250" s="11" t="s">
        <v>1026</v>
      </c>
      <c r="BE250" s="11" t="s">
        <v>1051</v>
      </c>
    </row>
    <row r="251" spans="1:57" s="8" customFormat="1" ht="58" x14ac:dyDescent="0.35">
      <c r="A251" s="7" t="s">
        <v>398</v>
      </c>
      <c r="B251" s="7" t="s">
        <v>399</v>
      </c>
      <c r="C251" s="3" t="s">
        <v>486</v>
      </c>
      <c r="D251" s="3" t="s">
        <v>57</v>
      </c>
      <c r="E251" s="3"/>
      <c r="F251" s="3" t="s">
        <v>53</v>
      </c>
      <c r="G251" s="3" t="s">
        <v>50</v>
      </c>
      <c r="H251" s="4">
        <v>549</v>
      </c>
      <c r="I251" s="4">
        <v>300</v>
      </c>
      <c r="J251" s="3" t="s">
        <v>26</v>
      </c>
      <c r="K251" s="4" t="b">
        <v>0</v>
      </c>
      <c r="L251" s="6">
        <v>0.33333333333333298</v>
      </c>
      <c r="M251" s="6">
        <v>0.33333333333333298</v>
      </c>
      <c r="N251" s="3" t="s">
        <v>58</v>
      </c>
      <c r="O251" s="3" t="s">
        <v>59</v>
      </c>
      <c r="P251" s="3" t="s">
        <v>269</v>
      </c>
      <c r="Q251" s="3" t="s">
        <v>2057</v>
      </c>
      <c r="R251" s="3" t="s">
        <v>1074</v>
      </c>
      <c r="S251" s="3" t="s">
        <v>1006</v>
      </c>
      <c r="T251" s="3" t="s">
        <v>1007</v>
      </c>
      <c r="U251" s="11" t="s">
        <v>2058</v>
      </c>
      <c r="V251" s="11" t="s">
        <v>1064</v>
      </c>
      <c r="W251" s="11" t="s">
        <v>1065</v>
      </c>
      <c r="X251" s="13">
        <v>1</v>
      </c>
      <c r="Y251" s="12"/>
      <c r="Z251" s="11"/>
      <c r="AA251" s="11"/>
      <c r="AB251" s="11"/>
      <c r="AC251" s="11">
        <v>0</v>
      </c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 t="s">
        <v>1019</v>
      </c>
      <c r="AO251" s="11" t="s">
        <v>1608</v>
      </c>
      <c r="AP251" s="11" t="s">
        <v>1021</v>
      </c>
      <c r="AQ251" s="11" t="s">
        <v>1609</v>
      </c>
      <c r="AR251" s="11" t="s">
        <v>1050</v>
      </c>
      <c r="AS251" s="11" t="s">
        <v>1610</v>
      </c>
      <c r="AT251" s="11" t="s">
        <v>1048</v>
      </c>
      <c r="AU251" s="11" t="s">
        <v>1609</v>
      </c>
      <c r="AV251" s="11" t="s">
        <v>1610</v>
      </c>
      <c r="AW251" s="12">
        <v>1</v>
      </c>
      <c r="AX251" s="12">
        <v>1</v>
      </c>
      <c r="AY251" s="12">
        <v>1</v>
      </c>
      <c r="AZ251" s="12">
        <v>1</v>
      </c>
      <c r="BA251" s="12">
        <v>1</v>
      </c>
      <c r="BB251" s="12">
        <v>1</v>
      </c>
      <c r="BC251" s="12">
        <v>2</v>
      </c>
      <c r="BD251" s="11" t="s">
        <v>1026</v>
      </c>
      <c r="BE251" s="11" t="s">
        <v>1051</v>
      </c>
    </row>
    <row r="252" spans="1:57" s="8" customFormat="1" ht="43.5" x14ac:dyDescent="0.35">
      <c r="A252" s="7" t="s">
        <v>398</v>
      </c>
      <c r="B252" s="7" t="s">
        <v>399</v>
      </c>
      <c r="C252" s="3" t="s">
        <v>487</v>
      </c>
      <c r="D252" s="3" t="s">
        <v>261</v>
      </c>
      <c r="E252" s="3" t="s">
        <v>261</v>
      </c>
      <c r="F252" s="3" t="s">
        <v>31</v>
      </c>
      <c r="G252" s="3" t="s">
        <v>25</v>
      </c>
      <c r="H252" s="4">
        <v>1151</v>
      </c>
      <c r="I252" s="4">
        <v>500</v>
      </c>
      <c r="J252" s="3" t="s">
        <v>26</v>
      </c>
      <c r="K252" s="4" t="b">
        <v>1</v>
      </c>
      <c r="L252" s="6">
        <v>1</v>
      </c>
      <c r="M252" s="6">
        <v>1</v>
      </c>
      <c r="N252" s="3" t="s">
        <v>262</v>
      </c>
      <c r="O252" s="3"/>
      <c r="P252" s="3" t="s">
        <v>488</v>
      </c>
      <c r="Q252" s="3" t="s">
        <v>2059</v>
      </c>
      <c r="R252" s="3" t="s">
        <v>1029</v>
      </c>
      <c r="S252" s="3" t="s">
        <v>1006</v>
      </c>
      <c r="T252" s="3" t="s">
        <v>1007</v>
      </c>
      <c r="U252" s="11" t="s">
        <v>2060</v>
      </c>
      <c r="V252" s="11" t="s">
        <v>1031</v>
      </c>
      <c r="W252" s="11" t="s">
        <v>1032</v>
      </c>
      <c r="X252" s="13">
        <v>0.7</v>
      </c>
      <c r="Y252" s="12"/>
      <c r="Z252" s="11"/>
      <c r="AA252" s="11"/>
      <c r="AB252" s="11"/>
      <c r="AC252" s="11">
        <v>0</v>
      </c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 t="s">
        <v>1019</v>
      </c>
      <c r="AO252" s="11" t="s">
        <v>1589</v>
      </c>
      <c r="AP252" s="11" t="s">
        <v>1021</v>
      </c>
      <c r="AQ252" s="11" t="s">
        <v>1590</v>
      </c>
      <c r="AR252" s="11" t="s">
        <v>1050</v>
      </c>
      <c r="AS252" s="11" t="s">
        <v>1591</v>
      </c>
      <c r="AT252" s="11" t="s">
        <v>1050</v>
      </c>
      <c r="AU252" s="11" t="s">
        <v>1590</v>
      </c>
      <c r="AV252" s="11" t="s">
        <v>1591</v>
      </c>
      <c r="AW252" s="12">
        <v>1</v>
      </c>
      <c r="AX252" s="12">
        <v>1</v>
      </c>
      <c r="AY252" s="12">
        <v>1</v>
      </c>
      <c r="AZ252" s="12">
        <v>1</v>
      </c>
      <c r="BA252" s="12">
        <v>1</v>
      </c>
      <c r="BB252" s="12">
        <v>1</v>
      </c>
      <c r="BC252" s="12">
        <v>1</v>
      </c>
      <c r="BD252" s="11" t="s">
        <v>1026</v>
      </c>
      <c r="BE252" s="11" t="s">
        <v>1103</v>
      </c>
    </row>
    <row r="253" spans="1:57" s="8" customFormat="1" ht="72.5" x14ac:dyDescent="0.35">
      <c r="A253" s="7" t="s">
        <v>398</v>
      </c>
      <c r="B253" s="7" t="s">
        <v>399</v>
      </c>
      <c r="C253" s="3" t="s">
        <v>489</v>
      </c>
      <c r="D253" s="3" t="s">
        <v>45</v>
      </c>
      <c r="E253" s="3" t="s">
        <v>45</v>
      </c>
      <c r="F253" s="3" t="s">
        <v>46</v>
      </c>
      <c r="G253" s="3" t="s">
        <v>25</v>
      </c>
      <c r="H253" s="4">
        <v>567</v>
      </c>
      <c r="I253" s="4">
        <v>200</v>
      </c>
      <c r="J253" s="3" t="s">
        <v>26</v>
      </c>
      <c r="K253" s="4" t="b">
        <v>1</v>
      </c>
      <c r="L253" s="6">
        <v>1</v>
      </c>
      <c r="M253" s="6">
        <v>1</v>
      </c>
      <c r="N253" s="3" t="s">
        <v>47</v>
      </c>
      <c r="O253" s="3"/>
      <c r="P253" s="3" t="s">
        <v>490</v>
      </c>
      <c r="Q253" s="3" t="s">
        <v>2061</v>
      </c>
      <c r="R253" s="3" t="s">
        <v>1029</v>
      </c>
      <c r="S253" s="3" t="s">
        <v>1006</v>
      </c>
      <c r="T253" s="3" t="s">
        <v>1007</v>
      </c>
      <c r="U253" s="11" t="s">
        <v>2062</v>
      </c>
      <c r="V253" s="11" t="s">
        <v>1064</v>
      </c>
      <c r="W253" s="11" t="s">
        <v>1065</v>
      </c>
      <c r="X253" s="13">
        <v>1</v>
      </c>
      <c r="Y253" s="12"/>
      <c r="Z253" s="11"/>
      <c r="AA253" s="11"/>
      <c r="AB253" s="11"/>
      <c r="AC253" s="11">
        <v>0</v>
      </c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 t="s">
        <v>1019</v>
      </c>
      <c r="AO253" s="11" t="s">
        <v>1181</v>
      </c>
      <c r="AP253" s="11" t="s">
        <v>1021</v>
      </c>
      <c r="AQ253" s="11" t="s">
        <v>1182</v>
      </c>
      <c r="AR253" s="11" t="s">
        <v>1025</v>
      </c>
      <c r="AS253" s="11" t="s">
        <v>1183</v>
      </c>
      <c r="AT253" s="11" t="s">
        <v>1025</v>
      </c>
      <c r="AU253" s="11" t="s">
        <v>1182</v>
      </c>
      <c r="AV253" s="11" t="s">
        <v>1183</v>
      </c>
      <c r="AW253" s="12">
        <v>2</v>
      </c>
      <c r="AX253" s="12">
        <v>2</v>
      </c>
      <c r="AY253" s="12">
        <v>2</v>
      </c>
      <c r="AZ253" s="12">
        <v>2</v>
      </c>
      <c r="BA253" s="12">
        <v>1</v>
      </c>
      <c r="BB253" s="12">
        <v>2</v>
      </c>
      <c r="BC253" s="12">
        <v>1</v>
      </c>
      <c r="BD253" s="11" t="s">
        <v>1026</v>
      </c>
      <c r="BE253" s="11" t="s">
        <v>1027</v>
      </c>
    </row>
    <row r="254" spans="1:57" s="8" customFormat="1" ht="72.5" x14ac:dyDescent="0.35">
      <c r="A254" s="7" t="s">
        <v>398</v>
      </c>
      <c r="B254" s="7" t="s">
        <v>399</v>
      </c>
      <c r="C254" s="3" t="s">
        <v>491</v>
      </c>
      <c r="D254" s="3" t="s">
        <v>83</v>
      </c>
      <c r="E254" s="3"/>
      <c r="F254" s="3" t="s">
        <v>84</v>
      </c>
      <c r="G254" s="3" t="s">
        <v>50</v>
      </c>
      <c r="H254" s="4">
        <v>1411</v>
      </c>
      <c r="I254" s="4">
        <v>500</v>
      </c>
      <c r="J254" s="3" t="s">
        <v>26</v>
      </c>
      <c r="K254" s="4" t="b">
        <v>1</v>
      </c>
      <c r="L254" s="6">
        <v>1</v>
      </c>
      <c r="M254" s="6">
        <v>1</v>
      </c>
      <c r="N254" s="3" t="s">
        <v>85</v>
      </c>
      <c r="O254" s="3"/>
      <c r="P254" s="3" t="s">
        <v>492</v>
      </c>
      <c r="Q254" s="3" t="s">
        <v>2063</v>
      </c>
      <c r="R254" s="3" t="s">
        <v>1139</v>
      </c>
      <c r="S254" s="3" t="s">
        <v>2064</v>
      </c>
      <c r="T254" s="3" t="s">
        <v>2065</v>
      </c>
      <c r="U254" s="11" t="s">
        <v>2066</v>
      </c>
      <c r="V254" s="11" t="s">
        <v>1096</v>
      </c>
      <c r="W254" s="11" t="s">
        <v>1097</v>
      </c>
      <c r="X254" s="13">
        <v>0.88</v>
      </c>
      <c r="Y254" s="12"/>
      <c r="Z254" s="11" t="s">
        <v>2067</v>
      </c>
      <c r="AA254" s="11"/>
      <c r="AB254" s="11"/>
      <c r="AC254" s="11">
        <v>0</v>
      </c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 t="s">
        <v>1019</v>
      </c>
      <c r="AO254" s="11" t="s">
        <v>1500</v>
      </c>
      <c r="AP254" s="11" t="s">
        <v>1114</v>
      </c>
      <c r="AQ254" s="11"/>
      <c r="AR254" s="11" t="s">
        <v>1034</v>
      </c>
      <c r="AS254" s="11"/>
      <c r="AT254" s="11" t="s">
        <v>1034</v>
      </c>
      <c r="AU254" s="11"/>
      <c r="AV254" s="11"/>
      <c r="AW254" s="12">
        <v>1</v>
      </c>
      <c r="AX254" s="12">
        <v>1</v>
      </c>
      <c r="AY254" s="12">
        <v>1</v>
      </c>
      <c r="AZ254" s="12"/>
      <c r="BA254" s="12"/>
      <c r="BB254" s="12"/>
      <c r="BC254" s="12"/>
      <c r="BD254" s="11" t="s">
        <v>1115</v>
      </c>
      <c r="BE254" s="11" t="s">
        <v>1116</v>
      </c>
    </row>
    <row r="255" spans="1:57" s="8" customFormat="1" ht="72.5" x14ac:dyDescent="0.35">
      <c r="A255" s="7" t="s">
        <v>398</v>
      </c>
      <c r="B255" s="7" t="s">
        <v>399</v>
      </c>
      <c r="C255" s="3" t="s">
        <v>493</v>
      </c>
      <c r="D255" s="3" t="s">
        <v>52</v>
      </c>
      <c r="E255" s="3"/>
      <c r="F255" s="3" t="s">
        <v>53</v>
      </c>
      <c r="G255" s="3" t="s">
        <v>50</v>
      </c>
      <c r="H255" s="4">
        <v>740</v>
      </c>
      <c r="I255" s="4">
        <v>500</v>
      </c>
      <c r="J255" s="3" t="s">
        <v>26</v>
      </c>
      <c r="K255" s="4" t="b">
        <v>0</v>
      </c>
      <c r="L255" s="6">
        <v>0.33333333333333298</v>
      </c>
      <c r="M255" s="6">
        <v>0.33333333333333298</v>
      </c>
      <c r="N255" s="3" t="s">
        <v>54</v>
      </c>
      <c r="O255" s="3" t="s">
        <v>55</v>
      </c>
      <c r="P255" s="3" t="s">
        <v>494</v>
      </c>
      <c r="Q255" s="3" t="s">
        <v>2068</v>
      </c>
      <c r="R255" s="3" t="s">
        <v>1539</v>
      </c>
      <c r="S255" s="3" t="s">
        <v>1006</v>
      </c>
      <c r="T255" s="3" t="s">
        <v>1007</v>
      </c>
      <c r="U255" s="11" t="s">
        <v>2069</v>
      </c>
      <c r="V255" s="11" t="s">
        <v>1096</v>
      </c>
      <c r="W255" s="11" t="s">
        <v>1097</v>
      </c>
      <c r="X255" s="13">
        <v>0.73</v>
      </c>
      <c r="Y255" s="12"/>
      <c r="Z255" s="11" t="s">
        <v>2070</v>
      </c>
      <c r="AA255" s="11"/>
      <c r="AB255" s="11"/>
      <c r="AC255" s="11">
        <v>5</v>
      </c>
      <c r="AD255" s="11" t="s">
        <v>1076</v>
      </c>
      <c r="AE255" s="11" t="s">
        <v>2071</v>
      </c>
      <c r="AF255" s="11" t="s">
        <v>1014</v>
      </c>
      <c r="AG255" s="11" t="s">
        <v>1015</v>
      </c>
      <c r="AH255" s="11" t="s">
        <v>2072</v>
      </c>
      <c r="AI255" s="11" t="s">
        <v>1016</v>
      </c>
      <c r="AJ255" s="11"/>
      <c r="AK255" s="11" t="s">
        <v>1079</v>
      </c>
      <c r="AL255" s="11" t="s">
        <v>1017</v>
      </c>
      <c r="AM255" s="11" t="s">
        <v>1080</v>
      </c>
      <c r="AN255" s="11" t="s">
        <v>1019</v>
      </c>
      <c r="AO255" s="11" t="s">
        <v>2073</v>
      </c>
      <c r="AP255" s="11" t="s">
        <v>1021</v>
      </c>
      <c r="AQ255" s="11" t="s">
        <v>2074</v>
      </c>
      <c r="AR255" s="11" t="s">
        <v>1048</v>
      </c>
      <c r="AS255" s="11" t="s">
        <v>2075</v>
      </c>
      <c r="AT255" s="11" t="s">
        <v>1048</v>
      </c>
      <c r="AU255" s="11" t="s">
        <v>2074</v>
      </c>
      <c r="AV255" s="11" t="s">
        <v>2075</v>
      </c>
      <c r="AW255" s="12">
        <v>1</v>
      </c>
      <c r="AX255" s="12">
        <v>1</v>
      </c>
      <c r="AY255" s="12">
        <v>1</v>
      </c>
      <c r="AZ255" s="12">
        <v>1</v>
      </c>
      <c r="BA255" s="12">
        <v>2</v>
      </c>
      <c r="BB255" s="12">
        <v>1</v>
      </c>
      <c r="BC255" s="12">
        <v>2</v>
      </c>
      <c r="BD255" s="11" t="s">
        <v>1026</v>
      </c>
      <c r="BE255" s="11" t="s">
        <v>1027</v>
      </c>
    </row>
    <row r="256" spans="1:57" s="8" customFormat="1" ht="58" x14ac:dyDescent="0.35">
      <c r="A256" s="7" t="s">
        <v>398</v>
      </c>
      <c r="B256" s="7" t="s">
        <v>399</v>
      </c>
      <c r="C256" s="3" t="s">
        <v>493</v>
      </c>
      <c r="D256" s="3" t="s">
        <v>57</v>
      </c>
      <c r="E256" s="3"/>
      <c r="F256" s="3" t="s">
        <v>53</v>
      </c>
      <c r="G256" s="3" t="s">
        <v>50</v>
      </c>
      <c r="H256" s="4">
        <v>740</v>
      </c>
      <c r="I256" s="4">
        <v>300</v>
      </c>
      <c r="J256" s="3" t="s">
        <v>26</v>
      </c>
      <c r="K256" s="4" t="b">
        <v>0</v>
      </c>
      <c r="L256" s="6">
        <v>0.33333333333333298</v>
      </c>
      <c r="M256" s="6">
        <v>0.33333333333333298</v>
      </c>
      <c r="N256" s="3" t="s">
        <v>58</v>
      </c>
      <c r="O256" s="3" t="s">
        <v>59</v>
      </c>
      <c r="P256" s="3" t="s">
        <v>494</v>
      </c>
      <c r="Q256" s="3" t="s">
        <v>2068</v>
      </c>
      <c r="R256" s="3" t="s">
        <v>1539</v>
      </c>
      <c r="S256" s="3" t="s">
        <v>1006</v>
      </c>
      <c r="T256" s="3" t="s">
        <v>1007</v>
      </c>
      <c r="U256" s="11" t="s">
        <v>2069</v>
      </c>
      <c r="V256" s="11" t="s">
        <v>1096</v>
      </c>
      <c r="W256" s="11" t="s">
        <v>1097</v>
      </c>
      <c r="X256" s="13">
        <v>0.73</v>
      </c>
      <c r="Y256" s="12"/>
      <c r="Z256" s="11" t="s">
        <v>2070</v>
      </c>
      <c r="AA256" s="11"/>
      <c r="AB256" s="11"/>
      <c r="AC256" s="11">
        <v>0</v>
      </c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 t="s">
        <v>1019</v>
      </c>
      <c r="AO256" s="11" t="s">
        <v>2073</v>
      </c>
      <c r="AP256" s="11" t="s">
        <v>1021</v>
      </c>
      <c r="AQ256" s="11" t="s">
        <v>2074</v>
      </c>
      <c r="AR256" s="11" t="s">
        <v>1048</v>
      </c>
      <c r="AS256" s="11" t="s">
        <v>2075</v>
      </c>
      <c r="AT256" s="11" t="s">
        <v>1048</v>
      </c>
      <c r="AU256" s="11" t="s">
        <v>2074</v>
      </c>
      <c r="AV256" s="11" t="s">
        <v>2075</v>
      </c>
      <c r="AW256" s="12">
        <v>1</v>
      </c>
      <c r="AX256" s="12">
        <v>1</v>
      </c>
      <c r="AY256" s="12">
        <v>1</v>
      </c>
      <c r="AZ256" s="12">
        <v>1</v>
      </c>
      <c r="BA256" s="12">
        <v>2</v>
      </c>
      <c r="BB256" s="12">
        <v>1</v>
      </c>
      <c r="BC256" s="12">
        <v>2</v>
      </c>
      <c r="BD256" s="11" t="s">
        <v>1026</v>
      </c>
      <c r="BE256" s="11" t="s">
        <v>1027</v>
      </c>
    </row>
    <row r="257" spans="1:57" s="8" customFormat="1" ht="58" x14ac:dyDescent="0.35">
      <c r="A257" s="7" t="s">
        <v>398</v>
      </c>
      <c r="B257" s="7" t="s">
        <v>399</v>
      </c>
      <c r="C257" s="3" t="s">
        <v>495</v>
      </c>
      <c r="D257" s="3" t="s">
        <v>57</v>
      </c>
      <c r="E257" s="3"/>
      <c r="F257" s="3" t="s">
        <v>53</v>
      </c>
      <c r="G257" s="3" t="s">
        <v>50</v>
      </c>
      <c r="H257" s="4">
        <v>1264</v>
      </c>
      <c r="I257" s="4">
        <v>300</v>
      </c>
      <c r="J257" s="3" t="s">
        <v>26</v>
      </c>
      <c r="K257" s="4" t="b">
        <v>0</v>
      </c>
      <c r="L257" s="6">
        <v>0.66666666666666596</v>
      </c>
      <c r="M257" s="6">
        <v>0.66666666666666596</v>
      </c>
      <c r="N257" s="3" t="s">
        <v>136</v>
      </c>
      <c r="O257" s="3" t="s">
        <v>137</v>
      </c>
      <c r="P257" s="3" t="s">
        <v>496</v>
      </c>
      <c r="Q257" s="3" t="s">
        <v>2076</v>
      </c>
      <c r="R257" s="3" t="s">
        <v>1029</v>
      </c>
      <c r="S257" s="3" t="s">
        <v>1006</v>
      </c>
      <c r="T257" s="3" t="s">
        <v>1007</v>
      </c>
      <c r="U257" s="11" t="s">
        <v>2077</v>
      </c>
      <c r="V257" s="11" t="s">
        <v>1096</v>
      </c>
      <c r="W257" s="11" t="s">
        <v>1097</v>
      </c>
      <c r="X257" s="13">
        <v>0.88</v>
      </c>
      <c r="Y257" s="12"/>
      <c r="Z257" s="11" t="s">
        <v>2078</v>
      </c>
      <c r="AA257" s="11"/>
      <c r="AB257" s="11"/>
      <c r="AC257" s="11">
        <v>0</v>
      </c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 t="s">
        <v>1019</v>
      </c>
      <c r="AO257" s="11" t="s">
        <v>1837</v>
      </c>
      <c r="AP257" s="11" t="s">
        <v>1021</v>
      </c>
      <c r="AQ257" s="11" t="s">
        <v>1838</v>
      </c>
      <c r="AR257" s="11" t="s">
        <v>1048</v>
      </c>
      <c r="AS257" s="11" t="s">
        <v>1839</v>
      </c>
      <c r="AT257" s="11" t="s">
        <v>1048</v>
      </c>
      <c r="AU257" s="11" t="s">
        <v>1838</v>
      </c>
      <c r="AV257" s="11" t="s">
        <v>1839</v>
      </c>
      <c r="AW257" s="12">
        <v>1</v>
      </c>
      <c r="AX257" s="12">
        <v>1</v>
      </c>
      <c r="AY257" s="12">
        <v>3</v>
      </c>
      <c r="AZ257" s="12">
        <v>1</v>
      </c>
      <c r="BA257" s="12">
        <v>2</v>
      </c>
      <c r="BB257" s="12">
        <v>1</v>
      </c>
      <c r="BC257" s="12">
        <v>3</v>
      </c>
      <c r="BD257" s="11" t="s">
        <v>1026</v>
      </c>
      <c r="BE257" s="11" t="s">
        <v>1027</v>
      </c>
    </row>
    <row r="258" spans="1:57" s="8" customFormat="1" ht="58" x14ac:dyDescent="0.35">
      <c r="A258" s="7" t="s">
        <v>398</v>
      </c>
      <c r="B258" s="7" t="s">
        <v>399</v>
      </c>
      <c r="C258" s="3" t="s">
        <v>497</v>
      </c>
      <c r="D258" s="3" t="s">
        <v>57</v>
      </c>
      <c r="E258" s="3"/>
      <c r="F258" s="3" t="s">
        <v>53</v>
      </c>
      <c r="G258" s="3" t="s">
        <v>50</v>
      </c>
      <c r="H258" s="4">
        <v>687</v>
      </c>
      <c r="I258" s="4">
        <v>300</v>
      </c>
      <c r="J258" s="3" t="s">
        <v>26</v>
      </c>
      <c r="K258" s="4" t="b">
        <v>0</v>
      </c>
      <c r="L258" s="6">
        <v>0.33333333333333298</v>
      </c>
      <c r="M258" s="6">
        <v>0.33333333333333298</v>
      </c>
      <c r="N258" s="3" t="s">
        <v>58</v>
      </c>
      <c r="O258" s="3" t="s">
        <v>59</v>
      </c>
      <c r="P258" s="3" t="s">
        <v>387</v>
      </c>
      <c r="Q258" s="3" t="s">
        <v>1896</v>
      </c>
      <c r="R258" s="3" t="s">
        <v>1029</v>
      </c>
      <c r="S258" s="3" t="s">
        <v>1006</v>
      </c>
      <c r="T258" s="3" t="s">
        <v>1007</v>
      </c>
      <c r="U258" s="11" t="s">
        <v>2079</v>
      </c>
      <c r="V258" s="11" t="s">
        <v>1064</v>
      </c>
      <c r="W258" s="11" t="s">
        <v>1065</v>
      </c>
      <c r="X258" s="13">
        <v>1</v>
      </c>
      <c r="Y258" s="12"/>
      <c r="Z258" s="11"/>
      <c r="AA258" s="11"/>
      <c r="AB258" s="11"/>
      <c r="AC258" s="11">
        <v>0</v>
      </c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 t="s">
        <v>1019</v>
      </c>
      <c r="AO258" s="11" t="s">
        <v>1898</v>
      </c>
      <c r="AP258" s="11" t="s">
        <v>1021</v>
      </c>
      <c r="AQ258" s="11" t="s">
        <v>1899</v>
      </c>
      <c r="AR258" s="11" t="s">
        <v>1048</v>
      </c>
      <c r="AS258" s="11" t="s">
        <v>1900</v>
      </c>
      <c r="AT258" s="11" t="s">
        <v>1050</v>
      </c>
      <c r="AU258" s="11" t="s">
        <v>1899</v>
      </c>
      <c r="AV258" s="11" t="s">
        <v>1900</v>
      </c>
      <c r="AW258" s="12">
        <v>1</v>
      </c>
      <c r="AX258" s="12">
        <v>1</v>
      </c>
      <c r="AY258" s="12">
        <v>1</v>
      </c>
      <c r="AZ258" s="12">
        <v>1</v>
      </c>
      <c r="BA258" s="12">
        <v>4</v>
      </c>
      <c r="BB258" s="12">
        <v>1</v>
      </c>
      <c r="BC258" s="12">
        <v>1</v>
      </c>
      <c r="BD258" s="11" t="s">
        <v>1026</v>
      </c>
      <c r="BE258" s="11" t="s">
        <v>1051</v>
      </c>
    </row>
    <row r="259" spans="1:57" s="8" customFormat="1" ht="72.5" x14ac:dyDescent="0.35">
      <c r="A259" s="7" t="s">
        <v>398</v>
      </c>
      <c r="B259" s="7" t="s">
        <v>399</v>
      </c>
      <c r="C259" s="3" t="s">
        <v>498</v>
      </c>
      <c r="D259" s="3" t="s">
        <v>45</v>
      </c>
      <c r="E259" s="3"/>
      <c r="F259" s="3" t="s">
        <v>46</v>
      </c>
      <c r="G259" s="3" t="s">
        <v>50</v>
      </c>
      <c r="H259" s="4">
        <v>566</v>
      </c>
      <c r="I259" s="4">
        <v>200</v>
      </c>
      <c r="J259" s="3" t="s">
        <v>26</v>
      </c>
      <c r="K259" s="4" t="b">
        <v>0</v>
      </c>
      <c r="L259" s="6">
        <v>1</v>
      </c>
      <c r="M259" s="6">
        <v>0.66666666666666596</v>
      </c>
      <c r="N259" s="3" t="s">
        <v>47</v>
      </c>
      <c r="O259" s="3" t="s">
        <v>90</v>
      </c>
      <c r="P259" s="3" t="s">
        <v>499</v>
      </c>
      <c r="Q259" s="3" t="s">
        <v>2080</v>
      </c>
      <c r="R259" s="3" t="s">
        <v>1154</v>
      </c>
      <c r="S259" s="3" t="s">
        <v>1006</v>
      </c>
      <c r="T259" s="3" t="s">
        <v>1007</v>
      </c>
      <c r="U259" s="11" t="s">
        <v>2081</v>
      </c>
      <c r="V259" s="11" t="s">
        <v>1064</v>
      </c>
      <c r="W259" s="11" t="s">
        <v>1065</v>
      </c>
      <c r="X259" s="13">
        <v>1</v>
      </c>
      <c r="Y259" s="12"/>
      <c r="Z259" s="11"/>
      <c r="AA259" s="11"/>
      <c r="AB259" s="11"/>
      <c r="AC259" s="11">
        <v>0</v>
      </c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 t="s">
        <v>1019</v>
      </c>
      <c r="AO259" s="11" t="s">
        <v>1156</v>
      </c>
      <c r="AP259" s="11" t="s">
        <v>1114</v>
      </c>
      <c r="AQ259" s="11"/>
      <c r="AR259" s="11" t="s">
        <v>1034</v>
      </c>
      <c r="AS259" s="11"/>
      <c r="AT259" s="11" t="s">
        <v>1034</v>
      </c>
      <c r="AU259" s="11"/>
      <c r="AV259" s="11"/>
      <c r="AW259" s="12">
        <v>1</v>
      </c>
      <c r="AX259" s="12">
        <v>1</v>
      </c>
      <c r="AY259" s="12">
        <v>1</v>
      </c>
      <c r="AZ259" s="12"/>
      <c r="BA259" s="12"/>
      <c r="BB259" s="12"/>
      <c r="BC259" s="12"/>
      <c r="BD259" s="11" t="s">
        <v>1115</v>
      </c>
      <c r="BE259" s="11" t="s">
        <v>1116</v>
      </c>
    </row>
    <row r="260" spans="1:57" s="8" customFormat="1" ht="58" x14ac:dyDescent="0.35">
      <c r="A260" s="7" t="s">
        <v>398</v>
      </c>
      <c r="B260" s="7" t="s">
        <v>399</v>
      </c>
      <c r="C260" s="3" t="s">
        <v>500</v>
      </c>
      <c r="D260" s="3" t="s">
        <v>57</v>
      </c>
      <c r="E260" s="3"/>
      <c r="F260" s="3" t="s">
        <v>53</v>
      </c>
      <c r="G260" s="3" t="s">
        <v>50</v>
      </c>
      <c r="H260" s="4">
        <v>351</v>
      </c>
      <c r="I260" s="4">
        <v>300</v>
      </c>
      <c r="J260" s="3" t="s">
        <v>26</v>
      </c>
      <c r="K260" s="4" t="b">
        <v>0</v>
      </c>
      <c r="L260" s="6">
        <v>0.33333333333333298</v>
      </c>
      <c r="M260" s="6">
        <v>0.33333333333333298</v>
      </c>
      <c r="N260" s="3" t="s">
        <v>58</v>
      </c>
      <c r="O260" s="3" t="s">
        <v>59</v>
      </c>
      <c r="P260" s="3" t="s">
        <v>501</v>
      </c>
      <c r="Q260" s="3" t="s">
        <v>2082</v>
      </c>
      <c r="R260" s="3" t="s">
        <v>1074</v>
      </c>
      <c r="S260" s="3" t="s">
        <v>1006</v>
      </c>
      <c r="T260" s="3" t="s">
        <v>1007</v>
      </c>
      <c r="U260" s="11" t="s">
        <v>2083</v>
      </c>
      <c r="V260" s="11" t="s">
        <v>1031</v>
      </c>
      <c r="W260" s="11" t="s">
        <v>1032</v>
      </c>
      <c r="X260" s="13">
        <v>0.7</v>
      </c>
      <c r="Y260" s="12"/>
      <c r="Z260" s="11"/>
      <c r="AA260" s="11"/>
      <c r="AB260" s="11"/>
      <c r="AC260" s="11">
        <v>0</v>
      </c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 t="s">
        <v>1019</v>
      </c>
      <c r="AO260" s="11" t="s">
        <v>1904</v>
      </c>
      <c r="AP260" s="11" t="s">
        <v>1021</v>
      </c>
      <c r="AQ260" s="11" t="s">
        <v>1905</v>
      </c>
      <c r="AR260" s="11" t="s">
        <v>1048</v>
      </c>
      <c r="AS260" s="11" t="s">
        <v>1906</v>
      </c>
      <c r="AT260" s="11" t="s">
        <v>1050</v>
      </c>
      <c r="AU260" s="11" t="s">
        <v>1905</v>
      </c>
      <c r="AV260" s="11" t="s">
        <v>1906</v>
      </c>
      <c r="AW260" s="12">
        <v>1</v>
      </c>
      <c r="AX260" s="12">
        <v>1</v>
      </c>
      <c r="AY260" s="12">
        <v>1</v>
      </c>
      <c r="AZ260" s="12">
        <v>1</v>
      </c>
      <c r="BA260" s="12">
        <v>2</v>
      </c>
      <c r="BB260" s="12">
        <v>1</v>
      </c>
      <c r="BC260" s="12">
        <v>1</v>
      </c>
      <c r="BD260" s="11" t="s">
        <v>1026</v>
      </c>
      <c r="BE260" s="11" t="s">
        <v>1051</v>
      </c>
    </row>
    <row r="261" spans="1:57" s="8" customFormat="1" ht="72.5" x14ac:dyDescent="0.35">
      <c r="A261" s="7" t="s">
        <v>398</v>
      </c>
      <c r="B261" s="7" t="s">
        <v>399</v>
      </c>
      <c r="C261" s="3" t="s">
        <v>502</v>
      </c>
      <c r="D261" s="3" t="s">
        <v>45</v>
      </c>
      <c r="E261" s="3" t="s">
        <v>45</v>
      </c>
      <c r="F261" s="3" t="s">
        <v>46</v>
      </c>
      <c r="G261" s="3" t="s">
        <v>25</v>
      </c>
      <c r="H261" s="4">
        <v>354</v>
      </c>
      <c r="I261" s="4">
        <v>200</v>
      </c>
      <c r="J261" s="3" t="s">
        <v>26</v>
      </c>
      <c r="K261" s="4" t="b">
        <v>1</v>
      </c>
      <c r="L261" s="6">
        <v>1</v>
      </c>
      <c r="M261" s="6">
        <v>1</v>
      </c>
      <c r="N261" s="3" t="s">
        <v>47</v>
      </c>
      <c r="O261" s="3"/>
      <c r="P261" s="3" t="s">
        <v>503</v>
      </c>
      <c r="Q261" s="3" t="s">
        <v>2084</v>
      </c>
      <c r="R261" s="3" t="s">
        <v>1029</v>
      </c>
      <c r="S261" s="3" t="s">
        <v>1006</v>
      </c>
      <c r="T261" s="3" t="s">
        <v>1007</v>
      </c>
      <c r="U261" s="11" t="s">
        <v>2085</v>
      </c>
      <c r="V261" s="11" t="s">
        <v>1031</v>
      </c>
      <c r="W261" s="11" t="s">
        <v>1032</v>
      </c>
      <c r="X261" s="13">
        <v>0.7</v>
      </c>
      <c r="Y261" s="12"/>
      <c r="Z261" s="11"/>
      <c r="AA261" s="11"/>
      <c r="AB261" s="11"/>
      <c r="AC261" s="11">
        <v>0</v>
      </c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 t="s">
        <v>1019</v>
      </c>
      <c r="AO261" s="11" t="s">
        <v>1889</v>
      </c>
      <c r="AP261" s="11" t="s">
        <v>1114</v>
      </c>
      <c r="AQ261" s="11"/>
      <c r="AR261" s="11" t="s">
        <v>1034</v>
      </c>
      <c r="AS261" s="11"/>
      <c r="AT261" s="11" t="s">
        <v>1034</v>
      </c>
      <c r="AU261" s="11"/>
      <c r="AV261" s="11"/>
      <c r="AW261" s="12">
        <v>1</v>
      </c>
      <c r="AX261" s="12">
        <v>1</v>
      </c>
      <c r="AY261" s="12">
        <v>1</v>
      </c>
      <c r="AZ261" s="12"/>
      <c r="BA261" s="12"/>
      <c r="BB261" s="12"/>
      <c r="BC261" s="12"/>
      <c r="BD261" s="11" t="s">
        <v>1115</v>
      </c>
      <c r="BE261" s="11" t="s">
        <v>1116</v>
      </c>
    </row>
    <row r="262" spans="1:57" s="8" customFormat="1" ht="130.5" x14ac:dyDescent="0.35">
      <c r="A262" s="7" t="s">
        <v>398</v>
      </c>
      <c r="B262" s="7" t="s">
        <v>399</v>
      </c>
      <c r="C262" s="3" t="s">
        <v>504</v>
      </c>
      <c r="D262" s="3" t="s">
        <v>231</v>
      </c>
      <c r="E262" s="3"/>
      <c r="F262" s="3" t="s">
        <v>31</v>
      </c>
      <c r="G262" s="3" t="s">
        <v>50</v>
      </c>
      <c r="H262" s="4">
        <v>2450</v>
      </c>
      <c r="I262" s="4">
        <v>400</v>
      </c>
      <c r="J262" s="3" t="s">
        <v>26</v>
      </c>
      <c r="K262" s="4" t="b">
        <v>1</v>
      </c>
      <c r="L262" s="6">
        <v>1</v>
      </c>
      <c r="M262" s="6">
        <v>1</v>
      </c>
      <c r="N262" s="3" t="s">
        <v>232</v>
      </c>
      <c r="O262" s="3"/>
      <c r="P262" s="3" t="s">
        <v>505</v>
      </c>
      <c r="Q262" s="3" t="s">
        <v>2086</v>
      </c>
      <c r="R262" s="3" t="s">
        <v>1029</v>
      </c>
      <c r="S262" s="3" t="s">
        <v>1006</v>
      </c>
      <c r="T262" s="3" t="s">
        <v>1393</v>
      </c>
      <c r="U262" s="11" t="s">
        <v>2087</v>
      </c>
      <c r="V262" s="11" t="s">
        <v>1031</v>
      </c>
      <c r="W262" s="11" t="s">
        <v>1032</v>
      </c>
      <c r="X262" s="13">
        <v>0.7</v>
      </c>
      <c r="Y262" s="12"/>
      <c r="Z262" s="11"/>
      <c r="AA262" s="11"/>
      <c r="AB262" s="11"/>
      <c r="AC262" s="11">
        <v>0</v>
      </c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 t="s">
        <v>1019</v>
      </c>
      <c r="AO262" s="11" t="s">
        <v>1721</v>
      </c>
      <c r="AP262" s="11" t="s">
        <v>1021</v>
      </c>
      <c r="AQ262" s="11" t="s">
        <v>1722</v>
      </c>
      <c r="AR262" s="11" t="s">
        <v>1025</v>
      </c>
      <c r="AS262" s="11" t="s">
        <v>1723</v>
      </c>
      <c r="AT262" s="11" t="s">
        <v>1025</v>
      </c>
      <c r="AU262" s="11" t="s">
        <v>1722</v>
      </c>
      <c r="AV262" s="11" t="s">
        <v>1723</v>
      </c>
      <c r="AW262" s="12">
        <v>136</v>
      </c>
      <c r="AX262" s="12">
        <v>6</v>
      </c>
      <c r="AY262" s="12">
        <v>6</v>
      </c>
      <c r="AZ262" s="12">
        <v>6</v>
      </c>
      <c r="BA262" s="12">
        <v>1</v>
      </c>
      <c r="BB262" s="12">
        <v>6</v>
      </c>
      <c r="BC262" s="12">
        <v>1</v>
      </c>
      <c r="BD262" s="11" t="s">
        <v>1026</v>
      </c>
      <c r="BE262" s="11" t="s">
        <v>1027</v>
      </c>
    </row>
    <row r="263" spans="1:57" s="8" customFormat="1" ht="58" x14ac:dyDescent="0.35">
      <c r="A263" s="7" t="s">
        <v>398</v>
      </c>
      <c r="B263" s="7" t="s">
        <v>399</v>
      </c>
      <c r="C263" s="3" t="s">
        <v>506</v>
      </c>
      <c r="D263" s="3" t="s">
        <v>57</v>
      </c>
      <c r="E263" s="3"/>
      <c r="F263" s="3" t="s">
        <v>53</v>
      </c>
      <c r="G263" s="3" t="s">
        <v>50</v>
      </c>
      <c r="H263" s="4">
        <v>538</v>
      </c>
      <c r="I263" s="4">
        <v>300</v>
      </c>
      <c r="J263" s="3" t="s">
        <v>26</v>
      </c>
      <c r="K263" s="4" t="b">
        <v>0</v>
      </c>
      <c r="L263" s="6">
        <v>0.33333333333333298</v>
      </c>
      <c r="M263" s="6">
        <v>0.33333333333333298</v>
      </c>
      <c r="N263" s="3" t="s">
        <v>58</v>
      </c>
      <c r="O263" s="3" t="s">
        <v>59</v>
      </c>
      <c r="P263" s="3" t="s">
        <v>507</v>
      </c>
      <c r="Q263" s="3" t="s">
        <v>2088</v>
      </c>
      <c r="R263" s="3" t="s">
        <v>1154</v>
      </c>
      <c r="S263" s="3" t="s">
        <v>1006</v>
      </c>
      <c r="T263" s="3" t="s">
        <v>1007</v>
      </c>
      <c r="U263" s="11" t="s">
        <v>2089</v>
      </c>
      <c r="V263" s="11" t="s">
        <v>1031</v>
      </c>
      <c r="W263" s="11" t="s">
        <v>1032</v>
      </c>
      <c r="X263" s="13">
        <v>0.7</v>
      </c>
      <c r="Y263" s="12"/>
      <c r="Z263" s="11"/>
      <c r="AA263" s="11"/>
      <c r="AB263" s="11"/>
      <c r="AC263" s="11">
        <v>0</v>
      </c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 t="s">
        <v>1019</v>
      </c>
      <c r="AO263" s="11" t="s">
        <v>1305</v>
      </c>
      <c r="AP263" s="11" t="s">
        <v>1021</v>
      </c>
      <c r="AQ263" s="11" t="s">
        <v>1306</v>
      </c>
      <c r="AR263" s="11" t="s">
        <v>1023</v>
      </c>
      <c r="AS263" s="11" t="s">
        <v>1307</v>
      </c>
      <c r="AT263" s="11" t="s">
        <v>1025</v>
      </c>
      <c r="AU263" s="11" t="s">
        <v>1306</v>
      </c>
      <c r="AV263" s="11" t="s">
        <v>1307</v>
      </c>
      <c r="AW263" s="12">
        <v>2</v>
      </c>
      <c r="AX263" s="12">
        <v>2</v>
      </c>
      <c r="AY263" s="12">
        <v>2</v>
      </c>
      <c r="AZ263" s="12">
        <v>2</v>
      </c>
      <c r="BA263" s="12">
        <v>4</v>
      </c>
      <c r="BB263" s="12">
        <v>2</v>
      </c>
      <c r="BC263" s="12">
        <v>1</v>
      </c>
      <c r="BD263" s="11" t="s">
        <v>1026</v>
      </c>
      <c r="BE263" s="11" t="s">
        <v>1027</v>
      </c>
    </row>
    <row r="264" spans="1:57" s="8" customFormat="1" ht="58" x14ac:dyDescent="0.35">
      <c r="A264" s="7" t="s">
        <v>398</v>
      </c>
      <c r="B264" s="7" t="s">
        <v>399</v>
      </c>
      <c r="C264" s="3" t="s">
        <v>508</v>
      </c>
      <c r="D264" s="3" t="s">
        <v>52</v>
      </c>
      <c r="E264" s="3"/>
      <c r="F264" s="3" t="s">
        <v>53</v>
      </c>
      <c r="G264" s="3" t="s">
        <v>50</v>
      </c>
      <c r="H264" s="4">
        <v>315</v>
      </c>
      <c r="I264" s="4">
        <v>500</v>
      </c>
      <c r="J264" s="3" t="s">
        <v>74</v>
      </c>
      <c r="K264" s="4" t="b">
        <v>0</v>
      </c>
      <c r="L264" s="6">
        <v>0.33333333333333298</v>
      </c>
      <c r="M264" s="6">
        <v>0.33333333333333298</v>
      </c>
      <c r="N264" s="3" t="s">
        <v>54</v>
      </c>
      <c r="O264" s="3" t="s">
        <v>55</v>
      </c>
      <c r="P264" s="3" t="s">
        <v>150</v>
      </c>
      <c r="Q264" s="3" t="s">
        <v>1289</v>
      </c>
      <c r="R264" s="3" t="s">
        <v>1029</v>
      </c>
      <c r="S264" s="3" t="s">
        <v>1006</v>
      </c>
      <c r="T264" s="3" t="s">
        <v>1007</v>
      </c>
      <c r="U264" s="11" t="s">
        <v>2090</v>
      </c>
      <c r="V264" s="11" t="s">
        <v>1031</v>
      </c>
      <c r="W264" s="11" t="s">
        <v>1032</v>
      </c>
      <c r="X264" s="13">
        <v>0.7</v>
      </c>
      <c r="Y264" s="12"/>
      <c r="Z264" s="11"/>
      <c r="AA264" s="11"/>
      <c r="AB264" s="11"/>
      <c r="AC264" s="11">
        <v>3</v>
      </c>
      <c r="AD264" s="11" t="s">
        <v>1076</v>
      </c>
      <c r="AE264" s="11" t="s">
        <v>1291</v>
      </c>
      <c r="AF264" s="11" t="s">
        <v>1014</v>
      </c>
      <c r="AG264" s="11" t="s">
        <v>1015</v>
      </c>
      <c r="AH264" s="11" t="s">
        <v>1078</v>
      </c>
      <c r="AI264" s="11" t="s">
        <v>1016</v>
      </c>
      <c r="AJ264" s="11"/>
      <c r="AK264" s="11" t="s">
        <v>1079</v>
      </c>
      <c r="AL264" s="11" t="s">
        <v>1017</v>
      </c>
      <c r="AM264" s="11" t="s">
        <v>1080</v>
      </c>
      <c r="AN264" s="11" t="s">
        <v>1019</v>
      </c>
      <c r="AO264" s="11" t="s">
        <v>1186</v>
      </c>
      <c r="AP264" s="11" t="s">
        <v>1021</v>
      </c>
      <c r="AQ264" s="11" t="s">
        <v>1187</v>
      </c>
      <c r="AR264" s="11" t="s">
        <v>1023</v>
      </c>
      <c r="AS264" s="11" t="s">
        <v>1188</v>
      </c>
      <c r="AT264" s="11" t="s">
        <v>1025</v>
      </c>
      <c r="AU264" s="11" t="s">
        <v>1187</v>
      </c>
      <c r="AV264" s="11" t="s">
        <v>1188</v>
      </c>
      <c r="AW264" s="12">
        <v>4</v>
      </c>
      <c r="AX264" s="12">
        <v>4</v>
      </c>
      <c r="AY264" s="12">
        <v>5</v>
      </c>
      <c r="AZ264" s="12">
        <v>4</v>
      </c>
      <c r="BA264" s="12">
        <v>3</v>
      </c>
      <c r="BB264" s="12">
        <v>4</v>
      </c>
      <c r="BC264" s="12">
        <v>1</v>
      </c>
      <c r="BD264" s="11" t="s">
        <v>1026</v>
      </c>
      <c r="BE264" s="11" t="s">
        <v>1027</v>
      </c>
    </row>
    <row r="265" spans="1:57" s="8" customFormat="1" ht="58" x14ac:dyDescent="0.35">
      <c r="A265" s="7" t="s">
        <v>398</v>
      </c>
      <c r="B265" s="7" t="s">
        <v>399</v>
      </c>
      <c r="C265" s="3" t="s">
        <v>508</v>
      </c>
      <c r="D265" s="3" t="s">
        <v>57</v>
      </c>
      <c r="E265" s="3"/>
      <c r="F265" s="3" t="s">
        <v>53</v>
      </c>
      <c r="G265" s="3" t="s">
        <v>50</v>
      </c>
      <c r="H265" s="4">
        <v>315</v>
      </c>
      <c r="I265" s="4">
        <v>300</v>
      </c>
      <c r="J265" s="3" t="s">
        <v>26</v>
      </c>
      <c r="K265" s="4" t="b">
        <v>0</v>
      </c>
      <c r="L265" s="6">
        <v>0.33333333333333298</v>
      </c>
      <c r="M265" s="6">
        <v>0.33333333333333298</v>
      </c>
      <c r="N265" s="3" t="s">
        <v>58</v>
      </c>
      <c r="O265" s="3" t="s">
        <v>59</v>
      </c>
      <c r="P265" s="3" t="s">
        <v>150</v>
      </c>
      <c r="Q265" s="3" t="s">
        <v>1289</v>
      </c>
      <c r="R265" s="3" t="s">
        <v>1029</v>
      </c>
      <c r="S265" s="3" t="s">
        <v>1006</v>
      </c>
      <c r="T265" s="3" t="s">
        <v>1007</v>
      </c>
      <c r="U265" s="11" t="s">
        <v>2090</v>
      </c>
      <c r="V265" s="11" t="s">
        <v>1031</v>
      </c>
      <c r="W265" s="11" t="s">
        <v>1032</v>
      </c>
      <c r="X265" s="13">
        <v>0.7</v>
      </c>
      <c r="Y265" s="12"/>
      <c r="Z265" s="11"/>
      <c r="AA265" s="11"/>
      <c r="AB265" s="11"/>
      <c r="AC265" s="11">
        <v>1</v>
      </c>
      <c r="AD265" s="11" t="s">
        <v>1201</v>
      </c>
      <c r="AE265" s="11" t="s">
        <v>1292</v>
      </c>
      <c r="AF265" s="11" t="s">
        <v>1014</v>
      </c>
      <c r="AG265" s="11" t="s">
        <v>1203</v>
      </c>
      <c r="AH265" s="11"/>
      <c r="AI265" s="11" t="s">
        <v>1016</v>
      </c>
      <c r="AJ265" s="11"/>
      <c r="AK265" s="11" t="s">
        <v>1204</v>
      </c>
      <c r="AL265" s="11" t="s">
        <v>1017</v>
      </c>
      <c r="AM265" s="11" t="s">
        <v>1205</v>
      </c>
      <c r="AN265" s="11" t="s">
        <v>1019</v>
      </c>
      <c r="AO265" s="11" t="s">
        <v>1186</v>
      </c>
      <c r="AP265" s="11" t="s">
        <v>1021</v>
      </c>
      <c r="AQ265" s="11" t="s">
        <v>1187</v>
      </c>
      <c r="AR265" s="11" t="s">
        <v>1023</v>
      </c>
      <c r="AS265" s="11" t="s">
        <v>1188</v>
      </c>
      <c r="AT265" s="11" t="s">
        <v>1025</v>
      </c>
      <c r="AU265" s="11" t="s">
        <v>1187</v>
      </c>
      <c r="AV265" s="11" t="s">
        <v>1188</v>
      </c>
      <c r="AW265" s="12">
        <v>4</v>
      </c>
      <c r="AX265" s="12">
        <v>4</v>
      </c>
      <c r="AY265" s="12">
        <v>5</v>
      </c>
      <c r="AZ265" s="12">
        <v>4</v>
      </c>
      <c r="BA265" s="12">
        <v>3</v>
      </c>
      <c r="BB265" s="12">
        <v>4</v>
      </c>
      <c r="BC265" s="12">
        <v>1</v>
      </c>
      <c r="BD265" s="11" t="s">
        <v>1026</v>
      </c>
      <c r="BE265" s="11" t="s">
        <v>1027</v>
      </c>
    </row>
    <row r="266" spans="1:57" s="8" customFormat="1" ht="58" x14ac:dyDescent="0.35">
      <c r="A266" s="7" t="s">
        <v>398</v>
      </c>
      <c r="B266" s="7" t="s">
        <v>399</v>
      </c>
      <c r="C266" s="3" t="s">
        <v>509</v>
      </c>
      <c r="D266" s="3" t="s">
        <v>57</v>
      </c>
      <c r="E266" s="3"/>
      <c r="F266" s="3" t="s">
        <v>53</v>
      </c>
      <c r="G266" s="3" t="s">
        <v>50</v>
      </c>
      <c r="H266" s="4">
        <v>510</v>
      </c>
      <c r="I266" s="4">
        <v>300</v>
      </c>
      <c r="J266" s="3" t="s">
        <v>26</v>
      </c>
      <c r="K266" s="4" t="b">
        <v>0</v>
      </c>
      <c r="L266" s="6">
        <v>0.33333333333333298</v>
      </c>
      <c r="M266" s="6">
        <v>0.33333333333333298</v>
      </c>
      <c r="N266" s="3" t="s">
        <v>58</v>
      </c>
      <c r="O266" s="3" t="s">
        <v>59</v>
      </c>
      <c r="P266" s="3" t="s">
        <v>95</v>
      </c>
      <c r="Q266" s="3" t="s">
        <v>1164</v>
      </c>
      <c r="R266" s="3" t="s">
        <v>1074</v>
      </c>
      <c r="S266" s="3" t="s">
        <v>1006</v>
      </c>
      <c r="T266" s="3" t="s">
        <v>1007</v>
      </c>
      <c r="U266" s="11" t="s">
        <v>2091</v>
      </c>
      <c r="V266" s="11" t="s">
        <v>1064</v>
      </c>
      <c r="W266" s="11" t="s">
        <v>1065</v>
      </c>
      <c r="X266" s="13">
        <v>1</v>
      </c>
      <c r="Y266" s="12"/>
      <c r="Z266" s="11"/>
      <c r="AA266" s="11"/>
      <c r="AB266" s="11"/>
      <c r="AC266" s="11">
        <v>0</v>
      </c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 t="s">
        <v>1019</v>
      </c>
      <c r="AO266" s="11" t="s">
        <v>1166</v>
      </c>
      <c r="AP266" s="11" t="s">
        <v>1021</v>
      </c>
      <c r="AQ266" s="11" t="s">
        <v>1167</v>
      </c>
      <c r="AR266" s="11" t="s">
        <v>1023</v>
      </c>
      <c r="AS266" s="11" t="s">
        <v>1168</v>
      </c>
      <c r="AT266" s="11" t="s">
        <v>1025</v>
      </c>
      <c r="AU266" s="11" t="s">
        <v>1167</v>
      </c>
      <c r="AV266" s="11" t="s">
        <v>1168</v>
      </c>
      <c r="AW266" s="12">
        <v>2</v>
      </c>
      <c r="AX266" s="12">
        <v>2</v>
      </c>
      <c r="AY266" s="12">
        <v>2</v>
      </c>
      <c r="AZ266" s="12">
        <v>2</v>
      </c>
      <c r="BA266" s="12">
        <v>2</v>
      </c>
      <c r="BB266" s="12">
        <v>2</v>
      </c>
      <c r="BC266" s="12">
        <v>1</v>
      </c>
      <c r="BD266" s="11" t="s">
        <v>1026</v>
      </c>
      <c r="BE266" s="11" t="s">
        <v>1027</v>
      </c>
    </row>
    <row r="267" spans="1:57" s="8" customFormat="1" ht="43.5" x14ac:dyDescent="0.35">
      <c r="A267" s="7" t="s">
        <v>398</v>
      </c>
      <c r="B267" s="7" t="s">
        <v>399</v>
      </c>
      <c r="C267" s="3" t="s">
        <v>510</v>
      </c>
      <c r="D267" s="3" t="s">
        <v>57</v>
      </c>
      <c r="E267" s="3"/>
      <c r="F267" s="3" t="s">
        <v>53</v>
      </c>
      <c r="G267" s="3" t="s">
        <v>50</v>
      </c>
      <c r="H267" s="4">
        <v>1021</v>
      </c>
      <c r="I267" s="4">
        <v>300</v>
      </c>
      <c r="J267" s="3" t="s">
        <v>26</v>
      </c>
      <c r="K267" s="4" t="b">
        <v>0</v>
      </c>
      <c r="L267" s="6">
        <v>0.33333333333333298</v>
      </c>
      <c r="M267" s="6">
        <v>0.33333333333333298</v>
      </c>
      <c r="N267" s="3" t="s">
        <v>58</v>
      </c>
      <c r="O267" s="3" t="s">
        <v>59</v>
      </c>
      <c r="P267" s="3" t="s">
        <v>511</v>
      </c>
      <c r="Q267" s="3" t="s">
        <v>2092</v>
      </c>
      <c r="R267" s="3" t="s">
        <v>2093</v>
      </c>
      <c r="S267" s="3" t="s">
        <v>1006</v>
      </c>
      <c r="T267" s="3" t="s">
        <v>1007</v>
      </c>
      <c r="U267" s="11" t="s">
        <v>2094</v>
      </c>
      <c r="V267" s="11" t="s">
        <v>1096</v>
      </c>
      <c r="W267" s="11" t="s">
        <v>1097</v>
      </c>
      <c r="X267" s="13">
        <v>0.79</v>
      </c>
      <c r="Y267" s="12"/>
      <c r="Z267" s="11" t="s">
        <v>2095</v>
      </c>
      <c r="AA267" s="11"/>
      <c r="AB267" s="11"/>
      <c r="AC267" s="11">
        <v>0</v>
      </c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 t="s">
        <v>1019</v>
      </c>
      <c r="AO267" s="11"/>
      <c r="AP267" s="11" t="s">
        <v>1123</v>
      </c>
      <c r="AQ267" s="11"/>
      <c r="AR267" s="11" t="s">
        <v>1034</v>
      </c>
      <c r="AS267" s="11"/>
      <c r="AT267" s="11" t="s">
        <v>1034</v>
      </c>
      <c r="AU267" s="11"/>
      <c r="AV267" s="11"/>
      <c r="AW267" s="12"/>
      <c r="AX267" s="12"/>
      <c r="AY267" s="12"/>
      <c r="AZ267" s="12"/>
      <c r="BA267" s="12"/>
      <c r="BB267" s="12"/>
      <c r="BC267" s="12"/>
      <c r="BD267" s="11" t="s">
        <v>1115</v>
      </c>
      <c r="BE267" s="11" t="s">
        <v>1124</v>
      </c>
    </row>
    <row r="268" spans="1:57" s="8" customFormat="1" ht="58" x14ac:dyDescent="0.35">
      <c r="A268" s="7" t="s">
        <v>398</v>
      </c>
      <c r="B268" s="7" t="s">
        <v>399</v>
      </c>
      <c r="C268" s="3" t="s">
        <v>512</v>
      </c>
      <c r="D268" s="3" t="s">
        <v>57</v>
      </c>
      <c r="E268" s="3"/>
      <c r="F268" s="3" t="s">
        <v>53</v>
      </c>
      <c r="G268" s="3" t="s">
        <v>50</v>
      </c>
      <c r="H268" s="4">
        <v>356</v>
      </c>
      <c r="I268" s="4">
        <v>300</v>
      </c>
      <c r="J268" s="3" t="s">
        <v>26</v>
      </c>
      <c r="K268" s="4" t="b">
        <v>0</v>
      </c>
      <c r="L268" s="6">
        <v>0.33333333333333298</v>
      </c>
      <c r="M268" s="6">
        <v>0.33333333333333298</v>
      </c>
      <c r="N268" s="3" t="s">
        <v>58</v>
      </c>
      <c r="O268" s="3" t="s">
        <v>59</v>
      </c>
      <c r="P268" s="3" t="s">
        <v>513</v>
      </c>
      <c r="Q268" s="3" t="s">
        <v>1104</v>
      </c>
      <c r="R268" s="3" t="s">
        <v>1074</v>
      </c>
      <c r="S268" s="3" t="s">
        <v>1006</v>
      </c>
      <c r="T268" s="3" t="s">
        <v>1007</v>
      </c>
      <c r="U268" s="11" t="s">
        <v>2096</v>
      </c>
      <c r="V268" s="11" t="s">
        <v>1031</v>
      </c>
      <c r="W268" s="11" t="s">
        <v>1032</v>
      </c>
      <c r="X268" s="13">
        <v>0.7</v>
      </c>
      <c r="Y268" s="12"/>
      <c r="Z268" s="11"/>
      <c r="AA268" s="11"/>
      <c r="AB268" s="11"/>
      <c r="AC268" s="11">
        <v>0</v>
      </c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 t="s">
        <v>1019</v>
      </c>
      <c r="AO268" s="11" t="s">
        <v>1106</v>
      </c>
      <c r="AP268" s="11" t="s">
        <v>1021</v>
      </c>
      <c r="AQ268" s="11" t="s">
        <v>1107</v>
      </c>
      <c r="AR268" s="11" t="s">
        <v>1048</v>
      </c>
      <c r="AS268" s="11" t="s">
        <v>1108</v>
      </c>
      <c r="AT268" s="11" t="s">
        <v>1050</v>
      </c>
      <c r="AU268" s="11" t="s">
        <v>1107</v>
      </c>
      <c r="AV268" s="11" t="s">
        <v>1108</v>
      </c>
      <c r="AW268" s="12">
        <v>2</v>
      </c>
      <c r="AX268" s="12">
        <v>1</v>
      </c>
      <c r="AY268" s="12">
        <v>2</v>
      </c>
      <c r="AZ268" s="12">
        <v>1</v>
      </c>
      <c r="BA268" s="12">
        <v>2</v>
      </c>
      <c r="BB268" s="12">
        <v>1</v>
      </c>
      <c r="BC268" s="12">
        <v>1</v>
      </c>
      <c r="BD268" s="11" t="s">
        <v>1026</v>
      </c>
      <c r="BE268" s="11" t="s">
        <v>1051</v>
      </c>
    </row>
    <row r="269" spans="1:57" s="8" customFormat="1" ht="72.5" x14ac:dyDescent="0.35">
      <c r="A269" s="7" t="s">
        <v>398</v>
      </c>
      <c r="B269" s="7" t="s">
        <v>399</v>
      </c>
      <c r="C269" s="3" t="s">
        <v>514</v>
      </c>
      <c r="D269" s="3" t="s">
        <v>52</v>
      </c>
      <c r="E269" s="3"/>
      <c r="F269" s="3" t="s">
        <v>53</v>
      </c>
      <c r="G269" s="3" t="s">
        <v>50</v>
      </c>
      <c r="H269" s="4">
        <v>557</v>
      </c>
      <c r="I269" s="4">
        <v>500</v>
      </c>
      <c r="J269" s="3" t="s">
        <v>26</v>
      </c>
      <c r="K269" s="4" t="b">
        <v>0</v>
      </c>
      <c r="L269" s="6">
        <v>0.33333333333333298</v>
      </c>
      <c r="M269" s="6">
        <v>0.33333333333333298</v>
      </c>
      <c r="N269" s="3" t="s">
        <v>54</v>
      </c>
      <c r="O269" s="3" t="s">
        <v>55</v>
      </c>
      <c r="P269" s="3" t="s">
        <v>515</v>
      </c>
      <c r="Q269" s="3" t="s">
        <v>2097</v>
      </c>
      <c r="R269" s="3" t="s">
        <v>1029</v>
      </c>
      <c r="S269" s="3" t="s">
        <v>1006</v>
      </c>
      <c r="T269" s="3" t="s">
        <v>1007</v>
      </c>
      <c r="U269" s="11" t="s">
        <v>2098</v>
      </c>
      <c r="V269" s="11" t="s">
        <v>1031</v>
      </c>
      <c r="W269" s="11" t="s">
        <v>1032</v>
      </c>
      <c r="X269" s="13">
        <v>0.7</v>
      </c>
      <c r="Y269" s="12"/>
      <c r="Z269" s="11"/>
      <c r="AA269" s="11"/>
      <c r="AB269" s="11"/>
      <c r="AC269" s="11">
        <v>2</v>
      </c>
      <c r="AD269" s="11" t="s">
        <v>1076</v>
      </c>
      <c r="AE269" s="11" t="s">
        <v>2099</v>
      </c>
      <c r="AF269" s="11" t="s">
        <v>1014</v>
      </c>
      <c r="AG269" s="11" t="s">
        <v>1015</v>
      </c>
      <c r="AH269" s="11" t="s">
        <v>1078</v>
      </c>
      <c r="AI269" s="11" t="s">
        <v>1016</v>
      </c>
      <c r="AJ269" s="11"/>
      <c r="AK269" s="11" t="s">
        <v>1079</v>
      </c>
      <c r="AL269" s="11" t="s">
        <v>1017</v>
      </c>
      <c r="AM269" s="11" t="s">
        <v>1080</v>
      </c>
      <c r="AN269" s="11" t="s">
        <v>1019</v>
      </c>
      <c r="AO269" s="11" t="s">
        <v>1784</v>
      </c>
      <c r="AP269" s="11" t="s">
        <v>1021</v>
      </c>
      <c r="AQ269" s="11" t="s">
        <v>1785</v>
      </c>
      <c r="AR269" s="11" t="s">
        <v>1023</v>
      </c>
      <c r="AS269" s="11" t="s">
        <v>1786</v>
      </c>
      <c r="AT269" s="11" t="s">
        <v>1025</v>
      </c>
      <c r="AU269" s="11" t="s">
        <v>1785</v>
      </c>
      <c r="AV269" s="11" t="s">
        <v>1786</v>
      </c>
      <c r="AW269" s="12">
        <v>2</v>
      </c>
      <c r="AX269" s="12">
        <v>2</v>
      </c>
      <c r="AY269" s="12">
        <v>2</v>
      </c>
      <c r="AZ269" s="12">
        <v>2</v>
      </c>
      <c r="BA269" s="12">
        <v>6</v>
      </c>
      <c r="BB269" s="12">
        <v>2</v>
      </c>
      <c r="BC269" s="12">
        <v>1</v>
      </c>
      <c r="BD269" s="11" t="s">
        <v>1026</v>
      </c>
      <c r="BE269" s="11" t="s">
        <v>1027</v>
      </c>
    </row>
    <row r="270" spans="1:57" s="8" customFormat="1" ht="72.5" x14ac:dyDescent="0.35">
      <c r="A270" s="7" t="s">
        <v>398</v>
      </c>
      <c r="B270" s="7" t="s">
        <v>399</v>
      </c>
      <c r="C270" s="3" t="s">
        <v>514</v>
      </c>
      <c r="D270" s="3" t="s">
        <v>57</v>
      </c>
      <c r="E270" s="3" t="s">
        <v>57</v>
      </c>
      <c r="F270" s="3" t="s">
        <v>53</v>
      </c>
      <c r="G270" s="3" t="s">
        <v>25</v>
      </c>
      <c r="H270" s="4">
        <v>557</v>
      </c>
      <c r="I270" s="4">
        <v>300</v>
      </c>
      <c r="J270" s="3" t="s">
        <v>26</v>
      </c>
      <c r="K270" s="4" t="b">
        <v>1</v>
      </c>
      <c r="L270" s="6">
        <v>1</v>
      </c>
      <c r="M270" s="6">
        <v>1</v>
      </c>
      <c r="N270" s="3" t="s">
        <v>62</v>
      </c>
      <c r="O270" s="3"/>
      <c r="P270" s="3" t="s">
        <v>515</v>
      </c>
      <c r="Q270" s="3" t="s">
        <v>2097</v>
      </c>
      <c r="R270" s="3" t="s">
        <v>1029</v>
      </c>
      <c r="S270" s="3" t="s">
        <v>1006</v>
      </c>
      <c r="T270" s="3" t="s">
        <v>1007</v>
      </c>
      <c r="U270" s="11" t="s">
        <v>2098</v>
      </c>
      <c r="V270" s="11" t="s">
        <v>1031</v>
      </c>
      <c r="W270" s="11" t="s">
        <v>1032</v>
      </c>
      <c r="X270" s="13">
        <v>0.7</v>
      </c>
      <c r="Y270" s="12"/>
      <c r="Z270" s="11"/>
      <c r="AA270" s="11"/>
      <c r="AB270" s="11"/>
      <c r="AC270" s="11">
        <v>0</v>
      </c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 t="s">
        <v>1019</v>
      </c>
      <c r="AO270" s="11" t="s">
        <v>1784</v>
      </c>
      <c r="AP270" s="11" t="s">
        <v>1021</v>
      </c>
      <c r="AQ270" s="11" t="s">
        <v>1785</v>
      </c>
      <c r="AR270" s="11" t="s">
        <v>1023</v>
      </c>
      <c r="AS270" s="11" t="s">
        <v>1786</v>
      </c>
      <c r="AT270" s="11" t="s">
        <v>1025</v>
      </c>
      <c r="AU270" s="11" t="s">
        <v>1785</v>
      </c>
      <c r="AV270" s="11" t="s">
        <v>1786</v>
      </c>
      <c r="AW270" s="12">
        <v>2</v>
      </c>
      <c r="AX270" s="12">
        <v>2</v>
      </c>
      <c r="AY270" s="12">
        <v>2</v>
      </c>
      <c r="AZ270" s="12">
        <v>2</v>
      </c>
      <c r="BA270" s="12">
        <v>6</v>
      </c>
      <c r="BB270" s="12">
        <v>2</v>
      </c>
      <c r="BC270" s="12">
        <v>1</v>
      </c>
      <c r="BD270" s="11" t="s">
        <v>1026</v>
      </c>
      <c r="BE270" s="11" t="s">
        <v>1027</v>
      </c>
    </row>
    <row r="271" spans="1:57" s="8" customFormat="1" ht="72.5" x14ac:dyDescent="0.35">
      <c r="A271" s="7" t="s">
        <v>398</v>
      </c>
      <c r="B271" s="7" t="s">
        <v>399</v>
      </c>
      <c r="C271" s="3" t="s">
        <v>514</v>
      </c>
      <c r="D271" s="3" t="s">
        <v>98</v>
      </c>
      <c r="E271" s="3"/>
      <c r="F271" s="3" t="s">
        <v>53</v>
      </c>
      <c r="G271" s="3" t="s">
        <v>50</v>
      </c>
      <c r="H271" s="4">
        <v>557</v>
      </c>
      <c r="I271" s="4">
        <v>300</v>
      </c>
      <c r="J271" s="3" t="s">
        <v>26</v>
      </c>
      <c r="K271" s="4" t="b">
        <v>0</v>
      </c>
      <c r="L271" s="6">
        <v>0.5</v>
      </c>
      <c r="M271" s="6">
        <v>0.5</v>
      </c>
      <c r="N271" s="3" t="s">
        <v>58</v>
      </c>
      <c r="O271" s="3" t="s">
        <v>99</v>
      </c>
      <c r="P271" s="3" t="s">
        <v>515</v>
      </c>
      <c r="Q271" s="3" t="s">
        <v>2097</v>
      </c>
      <c r="R271" s="3" t="s">
        <v>1029</v>
      </c>
      <c r="S271" s="3" t="s">
        <v>1006</v>
      </c>
      <c r="T271" s="3" t="s">
        <v>1007</v>
      </c>
      <c r="U271" s="11" t="s">
        <v>2098</v>
      </c>
      <c r="V271" s="11" t="s">
        <v>1031</v>
      </c>
      <c r="W271" s="11" t="s">
        <v>1032</v>
      </c>
      <c r="X271" s="13">
        <v>0.7</v>
      </c>
      <c r="Y271" s="12"/>
      <c r="Z271" s="11"/>
      <c r="AA271" s="11"/>
      <c r="AB271" s="11"/>
      <c r="AC271" s="11">
        <v>0</v>
      </c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 t="s">
        <v>1019</v>
      </c>
      <c r="AO271" s="11" t="s">
        <v>1784</v>
      </c>
      <c r="AP271" s="11" t="s">
        <v>1021</v>
      </c>
      <c r="AQ271" s="11" t="s">
        <v>1785</v>
      </c>
      <c r="AR271" s="11" t="s">
        <v>1023</v>
      </c>
      <c r="AS271" s="11" t="s">
        <v>1786</v>
      </c>
      <c r="AT271" s="11" t="s">
        <v>1025</v>
      </c>
      <c r="AU271" s="11" t="s">
        <v>1785</v>
      </c>
      <c r="AV271" s="11" t="s">
        <v>1786</v>
      </c>
      <c r="AW271" s="12">
        <v>2</v>
      </c>
      <c r="AX271" s="12">
        <v>2</v>
      </c>
      <c r="AY271" s="12">
        <v>2</v>
      </c>
      <c r="AZ271" s="12">
        <v>2</v>
      </c>
      <c r="BA271" s="12">
        <v>6</v>
      </c>
      <c r="BB271" s="12">
        <v>2</v>
      </c>
      <c r="BC271" s="12">
        <v>1</v>
      </c>
      <c r="BD271" s="11" t="s">
        <v>1026</v>
      </c>
      <c r="BE271" s="11" t="s">
        <v>1027</v>
      </c>
    </row>
    <row r="272" spans="1:57" s="8" customFormat="1" ht="58" x14ac:dyDescent="0.35">
      <c r="A272" s="7" t="s">
        <v>398</v>
      </c>
      <c r="B272" s="7" t="s">
        <v>399</v>
      </c>
      <c r="C272" s="3" t="s">
        <v>516</v>
      </c>
      <c r="D272" s="3" t="s">
        <v>57</v>
      </c>
      <c r="E272" s="3"/>
      <c r="F272" s="3" t="s">
        <v>53</v>
      </c>
      <c r="G272" s="3" t="s">
        <v>50</v>
      </c>
      <c r="H272" s="4">
        <v>296</v>
      </c>
      <c r="I272" s="4">
        <v>300</v>
      </c>
      <c r="J272" s="3" t="s">
        <v>74</v>
      </c>
      <c r="K272" s="4" t="b">
        <v>0</v>
      </c>
      <c r="L272" s="6">
        <v>0.33333333333333298</v>
      </c>
      <c r="M272" s="6">
        <v>0.33333333333333298</v>
      </c>
      <c r="N272" s="3" t="s">
        <v>58</v>
      </c>
      <c r="O272" s="3" t="s">
        <v>59</v>
      </c>
      <c r="P272" s="3" t="s">
        <v>321</v>
      </c>
      <c r="Q272" s="3" t="s">
        <v>1742</v>
      </c>
      <c r="R272" s="3" t="s">
        <v>1074</v>
      </c>
      <c r="S272" s="3" t="s">
        <v>1006</v>
      </c>
      <c r="T272" s="3" t="s">
        <v>1007</v>
      </c>
      <c r="U272" s="11" t="s">
        <v>2100</v>
      </c>
      <c r="V272" s="11" t="s">
        <v>1031</v>
      </c>
      <c r="W272" s="11" t="s">
        <v>1032</v>
      </c>
      <c r="X272" s="13">
        <v>0.7</v>
      </c>
      <c r="Y272" s="12"/>
      <c r="Z272" s="11"/>
      <c r="AA272" s="11"/>
      <c r="AB272" s="11"/>
      <c r="AC272" s="11">
        <v>0</v>
      </c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 t="s">
        <v>1019</v>
      </c>
      <c r="AO272" s="11" t="s">
        <v>1744</v>
      </c>
      <c r="AP272" s="11" t="s">
        <v>1021</v>
      </c>
      <c r="AQ272" s="11" t="s">
        <v>1745</v>
      </c>
      <c r="AR272" s="11" t="s">
        <v>1048</v>
      </c>
      <c r="AS272" s="11" t="s">
        <v>1746</v>
      </c>
      <c r="AT272" s="11" t="s">
        <v>1050</v>
      </c>
      <c r="AU272" s="11" t="s">
        <v>1745</v>
      </c>
      <c r="AV272" s="11" t="s">
        <v>1746</v>
      </c>
      <c r="AW272" s="12">
        <v>1</v>
      </c>
      <c r="AX272" s="12">
        <v>1</v>
      </c>
      <c r="AY272" s="12">
        <v>1</v>
      </c>
      <c r="AZ272" s="12">
        <v>1</v>
      </c>
      <c r="BA272" s="12">
        <v>3</v>
      </c>
      <c r="BB272" s="12">
        <v>1</v>
      </c>
      <c r="BC272" s="12">
        <v>1</v>
      </c>
      <c r="BD272" s="11" t="s">
        <v>1026</v>
      </c>
      <c r="BE272" s="11" t="s">
        <v>1051</v>
      </c>
    </row>
    <row r="273" spans="1:57" s="8" customFormat="1" ht="58" x14ac:dyDescent="0.35">
      <c r="A273" s="7" t="s">
        <v>398</v>
      </c>
      <c r="B273" s="7" t="s">
        <v>399</v>
      </c>
      <c r="C273" s="3" t="s">
        <v>517</v>
      </c>
      <c r="D273" s="3" t="s">
        <v>52</v>
      </c>
      <c r="E273" s="3"/>
      <c r="F273" s="3" t="s">
        <v>53</v>
      </c>
      <c r="G273" s="3" t="s">
        <v>50</v>
      </c>
      <c r="H273" s="4">
        <v>823</v>
      </c>
      <c r="I273" s="4">
        <v>500</v>
      </c>
      <c r="J273" s="3" t="s">
        <v>26</v>
      </c>
      <c r="K273" s="4" t="b">
        <v>0</v>
      </c>
      <c r="L273" s="6">
        <v>0.33333333333333298</v>
      </c>
      <c r="M273" s="6">
        <v>0.33333333333333298</v>
      </c>
      <c r="N273" s="3" t="s">
        <v>54</v>
      </c>
      <c r="O273" s="3" t="s">
        <v>55</v>
      </c>
      <c r="P273" s="3" t="s">
        <v>518</v>
      </c>
      <c r="Q273" s="3" t="s">
        <v>2101</v>
      </c>
      <c r="R273" s="3" t="s">
        <v>1029</v>
      </c>
      <c r="S273" s="3" t="s">
        <v>1006</v>
      </c>
      <c r="T273" s="3" t="s">
        <v>1007</v>
      </c>
      <c r="U273" s="11" t="s">
        <v>2102</v>
      </c>
      <c r="V273" s="11" t="s">
        <v>1127</v>
      </c>
      <c r="W273" s="11" t="s">
        <v>1128</v>
      </c>
      <c r="X273" s="13">
        <v>0.69</v>
      </c>
      <c r="Y273" s="12"/>
      <c r="Z273" s="11"/>
      <c r="AA273" s="11"/>
      <c r="AB273" s="11"/>
      <c r="AC273" s="11">
        <v>2</v>
      </c>
      <c r="AD273" s="11" t="s">
        <v>1076</v>
      </c>
      <c r="AE273" s="11" t="s">
        <v>2103</v>
      </c>
      <c r="AF273" s="11" t="s">
        <v>1014</v>
      </c>
      <c r="AG273" s="11" t="s">
        <v>1015</v>
      </c>
      <c r="AH273" s="11" t="s">
        <v>1078</v>
      </c>
      <c r="AI273" s="11" t="s">
        <v>1016</v>
      </c>
      <c r="AJ273" s="11"/>
      <c r="AK273" s="11" t="s">
        <v>1079</v>
      </c>
      <c r="AL273" s="11" t="s">
        <v>1017</v>
      </c>
      <c r="AM273" s="11" t="s">
        <v>1080</v>
      </c>
      <c r="AN273" s="11" t="s">
        <v>1019</v>
      </c>
      <c r="AO273" s="11" t="s">
        <v>1192</v>
      </c>
      <c r="AP273" s="11" t="s">
        <v>1021</v>
      </c>
      <c r="AQ273" s="11" t="s">
        <v>1193</v>
      </c>
      <c r="AR273" s="11" t="s">
        <v>1048</v>
      </c>
      <c r="AS273" s="11" t="s">
        <v>1194</v>
      </c>
      <c r="AT273" s="11" t="s">
        <v>1048</v>
      </c>
      <c r="AU273" s="11" t="s">
        <v>1193</v>
      </c>
      <c r="AV273" s="11" t="s">
        <v>1194</v>
      </c>
      <c r="AW273" s="12">
        <v>1</v>
      </c>
      <c r="AX273" s="12">
        <v>1</v>
      </c>
      <c r="AY273" s="12">
        <v>1</v>
      </c>
      <c r="AZ273" s="12">
        <v>1</v>
      </c>
      <c r="BA273" s="12">
        <v>2</v>
      </c>
      <c r="BB273" s="12">
        <v>1</v>
      </c>
      <c r="BC273" s="12">
        <v>2</v>
      </c>
      <c r="BD273" s="11" t="s">
        <v>1026</v>
      </c>
      <c r="BE273" s="11" t="s">
        <v>1027</v>
      </c>
    </row>
    <row r="274" spans="1:57" s="8" customFormat="1" ht="58" x14ac:dyDescent="0.35">
      <c r="A274" s="7" t="s">
        <v>398</v>
      </c>
      <c r="B274" s="7" t="s">
        <v>399</v>
      </c>
      <c r="C274" s="3" t="s">
        <v>519</v>
      </c>
      <c r="D274" s="3" t="s">
        <v>57</v>
      </c>
      <c r="E274" s="3"/>
      <c r="F274" s="3" t="s">
        <v>53</v>
      </c>
      <c r="G274" s="3" t="s">
        <v>50</v>
      </c>
      <c r="H274" s="4">
        <v>282</v>
      </c>
      <c r="I274" s="4">
        <v>300</v>
      </c>
      <c r="J274" s="3" t="s">
        <v>74</v>
      </c>
      <c r="K274" s="4" t="b">
        <v>0</v>
      </c>
      <c r="L274" s="6">
        <v>0.33333333333333298</v>
      </c>
      <c r="M274" s="6">
        <v>0.33333333333333298</v>
      </c>
      <c r="N274" s="3" t="s">
        <v>58</v>
      </c>
      <c r="O274" s="3" t="s">
        <v>59</v>
      </c>
      <c r="P274" s="3" t="s">
        <v>520</v>
      </c>
      <c r="Q274" s="3" t="s">
        <v>2104</v>
      </c>
      <c r="R274" s="3" t="s">
        <v>1074</v>
      </c>
      <c r="S274" s="3" t="s">
        <v>1006</v>
      </c>
      <c r="T274" s="3" t="s">
        <v>1007</v>
      </c>
      <c r="U274" s="11" t="s">
        <v>2105</v>
      </c>
      <c r="V274" s="11" t="s">
        <v>1127</v>
      </c>
      <c r="W274" s="11" t="s">
        <v>1128</v>
      </c>
      <c r="X274" s="13">
        <v>1</v>
      </c>
      <c r="Y274" s="12"/>
      <c r="Z274" s="11"/>
      <c r="AA274" s="11"/>
      <c r="AB274" s="11"/>
      <c r="AC274" s="11">
        <v>0</v>
      </c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 t="s">
        <v>1019</v>
      </c>
      <c r="AO274" s="11" t="s">
        <v>1318</v>
      </c>
      <c r="AP274" s="11" t="s">
        <v>1021</v>
      </c>
      <c r="AQ274" s="11" t="s">
        <v>1319</v>
      </c>
      <c r="AR274" s="11" t="s">
        <v>1048</v>
      </c>
      <c r="AS274" s="11" t="s">
        <v>1320</v>
      </c>
      <c r="AT274" s="11" t="s">
        <v>1050</v>
      </c>
      <c r="AU274" s="11" t="s">
        <v>1319</v>
      </c>
      <c r="AV274" s="11" t="s">
        <v>1320</v>
      </c>
      <c r="AW274" s="12">
        <v>1</v>
      </c>
      <c r="AX274" s="12">
        <v>1</v>
      </c>
      <c r="AY274" s="12">
        <v>1</v>
      </c>
      <c r="AZ274" s="12">
        <v>1</v>
      </c>
      <c r="BA274" s="12">
        <v>3</v>
      </c>
      <c r="BB274" s="12">
        <v>1</v>
      </c>
      <c r="BC274" s="12">
        <v>1</v>
      </c>
      <c r="BD274" s="11" t="s">
        <v>1026</v>
      </c>
      <c r="BE274" s="11" t="s">
        <v>1051</v>
      </c>
    </row>
    <row r="275" spans="1:57" s="8" customFormat="1" ht="87" x14ac:dyDescent="0.35">
      <c r="A275" s="7" t="s">
        <v>398</v>
      </c>
      <c r="B275" s="7" t="s">
        <v>399</v>
      </c>
      <c r="C275" s="3" t="s">
        <v>521</v>
      </c>
      <c r="D275" s="3" t="s">
        <v>98</v>
      </c>
      <c r="E275" s="3"/>
      <c r="F275" s="3" t="s">
        <v>53</v>
      </c>
      <c r="G275" s="3" t="s">
        <v>50</v>
      </c>
      <c r="H275" s="4">
        <v>351</v>
      </c>
      <c r="I275" s="4">
        <v>300</v>
      </c>
      <c r="J275" s="3" t="s">
        <v>26</v>
      </c>
      <c r="K275" s="4" t="b">
        <v>0</v>
      </c>
      <c r="L275" s="6">
        <v>0.5</v>
      </c>
      <c r="M275" s="6">
        <v>0.66666666666666596</v>
      </c>
      <c r="N275" s="3" t="s">
        <v>303</v>
      </c>
      <c r="O275" s="3" t="s">
        <v>304</v>
      </c>
      <c r="P275" s="3" t="s">
        <v>522</v>
      </c>
      <c r="Q275" s="3" t="s">
        <v>2106</v>
      </c>
      <c r="R275" s="3" t="s">
        <v>1074</v>
      </c>
      <c r="S275" s="3" t="s">
        <v>1006</v>
      </c>
      <c r="T275" s="3" t="s">
        <v>1007</v>
      </c>
      <c r="U275" s="11" t="s">
        <v>2107</v>
      </c>
      <c r="V275" s="11" t="s">
        <v>1031</v>
      </c>
      <c r="W275" s="11" t="s">
        <v>1032</v>
      </c>
      <c r="X275" s="13">
        <v>0.7</v>
      </c>
      <c r="Y275" s="12"/>
      <c r="Z275" s="11"/>
      <c r="AA275" s="11"/>
      <c r="AB275" s="11"/>
      <c r="AC275" s="11">
        <v>0</v>
      </c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 t="s">
        <v>1019</v>
      </c>
      <c r="AO275" s="11" t="s">
        <v>2108</v>
      </c>
      <c r="AP275" s="11" t="s">
        <v>1021</v>
      </c>
      <c r="AQ275" s="11" t="s">
        <v>2109</v>
      </c>
      <c r="AR275" s="11" t="s">
        <v>1048</v>
      </c>
      <c r="AS275" s="11" t="s">
        <v>2110</v>
      </c>
      <c r="AT275" s="11" t="s">
        <v>1025</v>
      </c>
      <c r="AU275" s="11" t="s">
        <v>2111</v>
      </c>
      <c r="AV275" s="11" t="s">
        <v>2110</v>
      </c>
      <c r="AW275" s="12">
        <v>2</v>
      </c>
      <c r="AX275" s="12">
        <v>2</v>
      </c>
      <c r="AY275" s="12">
        <v>2</v>
      </c>
      <c r="AZ275" s="12">
        <v>1</v>
      </c>
      <c r="BA275" s="12">
        <v>2</v>
      </c>
      <c r="BB275" s="12">
        <v>2</v>
      </c>
      <c r="BC275" s="12">
        <v>1</v>
      </c>
      <c r="BD275" s="11" t="s">
        <v>1026</v>
      </c>
      <c r="BE275" s="11" t="s">
        <v>1027</v>
      </c>
    </row>
    <row r="276" spans="1:57" s="8" customFormat="1" ht="58" x14ac:dyDescent="0.35">
      <c r="A276" s="7" t="s">
        <v>398</v>
      </c>
      <c r="B276" s="7" t="s">
        <v>399</v>
      </c>
      <c r="C276" s="3" t="s">
        <v>523</v>
      </c>
      <c r="D276" s="3" t="s">
        <v>30</v>
      </c>
      <c r="E276" s="3" t="s">
        <v>30</v>
      </c>
      <c r="F276" s="3" t="s">
        <v>31</v>
      </c>
      <c r="G276" s="3" t="s">
        <v>25</v>
      </c>
      <c r="H276" s="4">
        <v>376</v>
      </c>
      <c r="I276" s="4">
        <v>250</v>
      </c>
      <c r="J276" s="3" t="s">
        <v>26</v>
      </c>
      <c r="K276" s="4" t="b">
        <v>1</v>
      </c>
      <c r="L276" s="6">
        <v>1</v>
      </c>
      <c r="M276" s="6">
        <v>1</v>
      </c>
      <c r="N276" s="3" t="s">
        <v>32</v>
      </c>
      <c r="O276" s="3"/>
      <c r="P276" s="3" t="s">
        <v>182</v>
      </c>
      <c r="Q276" s="3" t="s">
        <v>1370</v>
      </c>
      <c r="R276" s="3" t="s">
        <v>1074</v>
      </c>
      <c r="S276" s="3" t="s">
        <v>1006</v>
      </c>
      <c r="T276" s="3" t="s">
        <v>1007</v>
      </c>
      <c r="U276" s="11" t="s">
        <v>2112</v>
      </c>
      <c r="V276" s="11" t="s">
        <v>1031</v>
      </c>
      <c r="W276" s="11" t="s">
        <v>1032</v>
      </c>
      <c r="X276" s="13">
        <v>1</v>
      </c>
      <c r="Y276" s="12"/>
      <c r="Z276" s="11"/>
      <c r="AA276" s="11"/>
      <c r="AB276" s="11"/>
      <c r="AC276" s="11">
        <v>0</v>
      </c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 t="s">
        <v>1019</v>
      </c>
      <c r="AO276" s="11" t="s">
        <v>1372</v>
      </c>
      <c r="AP276" s="11" t="s">
        <v>1021</v>
      </c>
      <c r="AQ276" s="11" t="s">
        <v>1373</v>
      </c>
      <c r="AR276" s="11" t="s">
        <v>1023</v>
      </c>
      <c r="AS276" s="11" t="s">
        <v>1374</v>
      </c>
      <c r="AT276" s="11" t="s">
        <v>1023</v>
      </c>
      <c r="AU276" s="11" t="s">
        <v>1373</v>
      </c>
      <c r="AV276" s="11" t="s">
        <v>1374</v>
      </c>
      <c r="AW276" s="12">
        <v>5</v>
      </c>
      <c r="AX276" s="12">
        <v>4</v>
      </c>
      <c r="AY276" s="12">
        <v>6</v>
      </c>
      <c r="AZ276" s="12">
        <v>4</v>
      </c>
      <c r="BA276" s="12">
        <v>5</v>
      </c>
      <c r="BB276" s="12">
        <v>4</v>
      </c>
      <c r="BC276" s="12">
        <v>4</v>
      </c>
      <c r="BD276" s="11" t="s">
        <v>1026</v>
      </c>
      <c r="BE276" s="11" t="s">
        <v>1027</v>
      </c>
    </row>
    <row r="277" spans="1:57" s="8" customFormat="1" ht="58" x14ac:dyDescent="0.35">
      <c r="A277" s="7" t="s">
        <v>398</v>
      </c>
      <c r="B277" s="7" t="s">
        <v>399</v>
      </c>
      <c r="C277" s="3" t="s">
        <v>524</v>
      </c>
      <c r="D277" s="3" t="s">
        <v>30</v>
      </c>
      <c r="E277" s="3" t="s">
        <v>30</v>
      </c>
      <c r="F277" s="3" t="s">
        <v>31</v>
      </c>
      <c r="G277" s="3" t="s">
        <v>25</v>
      </c>
      <c r="H277" s="4">
        <v>373</v>
      </c>
      <c r="I277" s="4">
        <v>250</v>
      </c>
      <c r="J277" s="3" t="s">
        <v>26</v>
      </c>
      <c r="K277" s="4" t="b">
        <v>1</v>
      </c>
      <c r="L277" s="6">
        <v>1</v>
      </c>
      <c r="M277" s="6">
        <v>1</v>
      </c>
      <c r="N277" s="3" t="s">
        <v>32</v>
      </c>
      <c r="O277" s="3"/>
      <c r="P277" s="3" t="s">
        <v>525</v>
      </c>
      <c r="Q277" s="3" t="s">
        <v>2113</v>
      </c>
      <c r="R277" s="3" t="s">
        <v>1074</v>
      </c>
      <c r="S277" s="3" t="s">
        <v>1006</v>
      </c>
      <c r="T277" s="3" t="s">
        <v>1007</v>
      </c>
      <c r="U277" s="11" t="s">
        <v>2114</v>
      </c>
      <c r="V277" s="11" t="s">
        <v>1031</v>
      </c>
      <c r="W277" s="11" t="s">
        <v>1032</v>
      </c>
      <c r="X277" s="13">
        <v>1</v>
      </c>
      <c r="Y277" s="12"/>
      <c r="Z277" s="11"/>
      <c r="AA277" s="11"/>
      <c r="AB277" s="11"/>
      <c r="AC277" s="11">
        <v>0</v>
      </c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 t="s">
        <v>1019</v>
      </c>
      <c r="AO277" s="11" t="s">
        <v>1372</v>
      </c>
      <c r="AP277" s="11" t="s">
        <v>1021</v>
      </c>
      <c r="AQ277" s="11" t="s">
        <v>1373</v>
      </c>
      <c r="AR277" s="11" t="s">
        <v>1023</v>
      </c>
      <c r="AS277" s="11" t="s">
        <v>1374</v>
      </c>
      <c r="AT277" s="11" t="s">
        <v>1023</v>
      </c>
      <c r="AU277" s="11" t="s">
        <v>1373</v>
      </c>
      <c r="AV277" s="11" t="s">
        <v>1374</v>
      </c>
      <c r="AW277" s="12">
        <v>5</v>
      </c>
      <c r="AX277" s="12">
        <v>4</v>
      </c>
      <c r="AY277" s="12">
        <v>6</v>
      </c>
      <c r="AZ277" s="12">
        <v>4</v>
      </c>
      <c r="BA277" s="12">
        <v>5</v>
      </c>
      <c r="BB277" s="12">
        <v>4</v>
      </c>
      <c r="BC277" s="12">
        <v>4</v>
      </c>
      <c r="BD277" s="11" t="s">
        <v>1026</v>
      </c>
      <c r="BE277" s="11" t="s">
        <v>1027</v>
      </c>
    </row>
    <row r="278" spans="1:57" s="8" customFormat="1" ht="87" x14ac:dyDescent="0.35">
      <c r="A278" s="7" t="s">
        <v>398</v>
      </c>
      <c r="B278" s="7" t="s">
        <v>399</v>
      </c>
      <c r="C278" s="3" t="s">
        <v>526</v>
      </c>
      <c r="D278" s="3" t="s">
        <v>49</v>
      </c>
      <c r="E278" s="3" t="s">
        <v>49</v>
      </c>
      <c r="F278" s="3" t="s">
        <v>46</v>
      </c>
      <c r="G278" s="3" t="s">
        <v>25</v>
      </c>
      <c r="H278" s="4">
        <v>586</v>
      </c>
      <c r="I278" s="4">
        <v>200</v>
      </c>
      <c r="J278" s="3" t="s">
        <v>26</v>
      </c>
      <c r="K278" s="4" t="b">
        <v>1</v>
      </c>
      <c r="L278" s="6">
        <v>1</v>
      </c>
      <c r="M278" s="6">
        <v>1</v>
      </c>
      <c r="N278" s="3" t="s">
        <v>47</v>
      </c>
      <c r="O278" s="3"/>
      <c r="P278" s="3" t="s">
        <v>527</v>
      </c>
      <c r="Q278" s="3" t="s">
        <v>2115</v>
      </c>
      <c r="R278" s="3" t="s">
        <v>1029</v>
      </c>
      <c r="S278" s="3" t="s">
        <v>1006</v>
      </c>
      <c r="T278" s="3" t="s">
        <v>1007</v>
      </c>
      <c r="U278" s="11" t="s">
        <v>2116</v>
      </c>
      <c r="V278" s="11" t="s">
        <v>1031</v>
      </c>
      <c r="W278" s="11" t="s">
        <v>1032</v>
      </c>
      <c r="X278" s="13">
        <v>0.7</v>
      </c>
      <c r="Y278" s="12"/>
      <c r="Z278" s="11"/>
      <c r="AA278" s="11"/>
      <c r="AB278" s="11"/>
      <c r="AC278" s="11">
        <v>0</v>
      </c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 t="s">
        <v>1019</v>
      </c>
      <c r="AO278" s="11" t="s">
        <v>1739</v>
      </c>
      <c r="AP278" s="11" t="s">
        <v>1021</v>
      </c>
      <c r="AQ278" s="11" t="s">
        <v>1740</v>
      </c>
      <c r="AR278" s="11" t="s">
        <v>1048</v>
      </c>
      <c r="AS278" s="11" t="s">
        <v>1741</v>
      </c>
      <c r="AT278" s="11" t="s">
        <v>1050</v>
      </c>
      <c r="AU278" s="11" t="s">
        <v>1740</v>
      </c>
      <c r="AV278" s="11" t="s">
        <v>1741</v>
      </c>
      <c r="AW278" s="12">
        <v>1</v>
      </c>
      <c r="AX278" s="12">
        <v>1</v>
      </c>
      <c r="AY278" s="12">
        <v>1</v>
      </c>
      <c r="AZ278" s="12">
        <v>1</v>
      </c>
      <c r="BA278" s="12">
        <v>6</v>
      </c>
      <c r="BB278" s="12">
        <v>1</v>
      </c>
      <c r="BC278" s="12">
        <v>1</v>
      </c>
      <c r="BD278" s="11" t="s">
        <v>1026</v>
      </c>
      <c r="BE278" s="11" t="s">
        <v>1051</v>
      </c>
    </row>
    <row r="279" spans="1:57" s="8" customFormat="1" ht="72.5" x14ac:dyDescent="0.35">
      <c r="A279" s="7" t="s">
        <v>398</v>
      </c>
      <c r="B279" s="7" t="s">
        <v>399</v>
      </c>
      <c r="C279" s="3" t="s">
        <v>528</v>
      </c>
      <c r="D279" s="3" t="s">
        <v>57</v>
      </c>
      <c r="E279" s="3"/>
      <c r="F279" s="3" t="s">
        <v>53</v>
      </c>
      <c r="G279" s="3" t="s">
        <v>50</v>
      </c>
      <c r="H279" s="4">
        <v>328</v>
      </c>
      <c r="I279" s="4">
        <v>300</v>
      </c>
      <c r="J279" s="3" t="s">
        <v>26</v>
      </c>
      <c r="K279" s="4" t="b">
        <v>0</v>
      </c>
      <c r="L279" s="6">
        <v>0.33333333333333298</v>
      </c>
      <c r="M279" s="6">
        <v>0.33333333333333298</v>
      </c>
      <c r="N279" s="3" t="s">
        <v>58</v>
      </c>
      <c r="O279" s="3" t="s">
        <v>59</v>
      </c>
      <c r="P279" s="3" t="s">
        <v>529</v>
      </c>
      <c r="Q279" s="3" t="s">
        <v>2117</v>
      </c>
      <c r="R279" s="3" t="s">
        <v>1074</v>
      </c>
      <c r="S279" s="3" t="s">
        <v>1006</v>
      </c>
      <c r="T279" s="3" t="s">
        <v>1007</v>
      </c>
      <c r="U279" s="11" t="s">
        <v>2118</v>
      </c>
      <c r="V279" s="11" t="s">
        <v>1064</v>
      </c>
      <c r="W279" s="11" t="s">
        <v>1065</v>
      </c>
      <c r="X279" s="13">
        <v>1</v>
      </c>
      <c r="Y279" s="12"/>
      <c r="Z279" s="11"/>
      <c r="AA279" s="11"/>
      <c r="AB279" s="11"/>
      <c r="AC279" s="11">
        <v>0</v>
      </c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 t="s">
        <v>1019</v>
      </c>
      <c r="AO279" s="11" t="s">
        <v>1251</v>
      </c>
      <c r="AP279" s="11" t="s">
        <v>1114</v>
      </c>
      <c r="AQ279" s="11"/>
      <c r="AR279" s="11" t="s">
        <v>1034</v>
      </c>
      <c r="AS279" s="11"/>
      <c r="AT279" s="11" t="s">
        <v>1034</v>
      </c>
      <c r="AU279" s="11"/>
      <c r="AV279" s="11"/>
      <c r="AW279" s="12">
        <v>1</v>
      </c>
      <c r="AX279" s="12">
        <v>1</v>
      </c>
      <c r="AY279" s="12">
        <v>1</v>
      </c>
      <c r="AZ279" s="12"/>
      <c r="BA279" s="12"/>
      <c r="BB279" s="12"/>
      <c r="BC279" s="12"/>
      <c r="BD279" s="11" t="s">
        <v>1115</v>
      </c>
      <c r="BE279" s="11" t="s">
        <v>1116</v>
      </c>
    </row>
    <row r="280" spans="1:57" s="8" customFormat="1" ht="58" x14ac:dyDescent="0.35">
      <c r="A280" s="7" t="s">
        <v>398</v>
      </c>
      <c r="B280" s="7" t="s">
        <v>399</v>
      </c>
      <c r="C280" s="3" t="s">
        <v>530</v>
      </c>
      <c r="D280" s="3" t="s">
        <v>57</v>
      </c>
      <c r="E280" s="3"/>
      <c r="F280" s="3" t="s">
        <v>53</v>
      </c>
      <c r="G280" s="3" t="s">
        <v>50</v>
      </c>
      <c r="H280" s="4">
        <v>643</v>
      </c>
      <c r="I280" s="4">
        <v>300</v>
      </c>
      <c r="J280" s="3" t="s">
        <v>26</v>
      </c>
      <c r="K280" s="4" t="b">
        <v>0</v>
      </c>
      <c r="L280" s="6">
        <v>0.33333333333333298</v>
      </c>
      <c r="M280" s="6">
        <v>0.33333333333333298</v>
      </c>
      <c r="N280" s="3" t="s">
        <v>58</v>
      </c>
      <c r="O280" s="3" t="s">
        <v>59</v>
      </c>
      <c r="P280" s="3" t="s">
        <v>531</v>
      </c>
      <c r="Q280" s="3" t="s">
        <v>2119</v>
      </c>
      <c r="R280" s="3" t="s">
        <v>1029</v>
      </c>
      <c r="S280" s="3" t="s">
        <v>1006</v>
      </c>
      <c r="T280" s="3" t="s">
        <v>1007</v>
      </c>
      <c r="U280" s="11" t="s">
        <v>2120</v>
      </c>
      <c r="V280" s="11" t="s">
        <v>1064</v>
      </c>
      <c r="W280" s="11" t="s">
        <v>1065</v>
      </c>
      <c r="X280" s="13">
        <v>1</v>
      </c>
      <c r="Y280" s="12"/>
      <c r="Z280" s="11"/>
      <c r="AA280" s="11"/>
      <c r="AB280" s="11"/>
      <c r="AC280" s="11">
        <v>1</v>
      </c>
      <c r="AD280" s="11" t="s">
        <v>1227</v>
      </c>
      <c r="AE280" s="11" t="s">
        <v>2121</v>
      </c>
      <c r="AF280" s="11" t="s">
        <v>1014</v>
      </c>
      <c r="AG280" s="11" t="s">
        <v>1015</v>
      </c>
      <c r="AH280" s="11"/>
      <c r="AI280" s="11" t="s">
        <v>1016</v>
      </c>
      <c r="AJ280" s="11"/>
      <c r="AK280" s="11" t="s">
        <v>1229</v>
      </c>
      <c r="AL280" s="11" t="s">
        <v>1017</v>
      </c>
      <c r="AM280" s="11" t="s">
        <v>1230</v>
      </c>
      <c r="AN280" s="11" t="s">
        <v>1019</v>
      </c>
      <c r="AO280" s="11" t="s">
        <v>1595</v>
      </c>
      <c r="AP280" s="11" t="s">
        <v>1021</v>
      </c>
      <c r="AQ280" s="11" t="s">
        <v>1596</v>
      </c>
      <c r="AR280" s="11" t="s">
        <v>1048</v>
      </c>
      <c r="AS280" s="11" t="s">
        <v>1597</v>
      </c>
      <c r="AT280" s="11" t="s">
        <v>1048</v>
      </c>
      <c r="AU280" s="11" t="s">
        <v>1596</v>
      </c>
      <c r="AV280" s="11" t="s">
        <v>1597</v>
      </c>
      <c r="AW280" s="12">
        <v>2</v>
      </c>
      <c r="AX280" s="12">
        <v>1</v>
      </c>
      <c r="AY280" s="12">
        <v>2</v>
      </c>
      <c r="AZ280" s="12">
        <v>1</v>
      </c>
      <c r="BA280" s="12">
        <v>2</v>
      </c>
      <c r="BB280" s="12">
        <v>1</v>
      </c>
      <c r="BC280" s="12">
        <v>2</v>
      </c>
      <c r="BD280" s="11" t="s">
        <v>1026</v>
      </c>
      <c r="BE280" s="11" t="s">
        <v>1027</v>
      </c>
    </row>
    <row r="281" spans="1:57" s="8" customFormat="1" ht="87" x14ac:dyDescent="0.35">
      <c r="A281" s="7" t="s">
        <v>398</v>
      </c>
      <c r="B281" s="7" t="s">
        <v>399</v>
      </c>
      <c r="C281" s="3" t="s">
        <v>532</v>
      </c>
      <c r="D281" s="3" t="s">
        <v>52</v>
      </c>
      <c r="E281" s="3"/>
      <c r="F281" s="3" t="s">
        <v>53</v>
      </c>
      <c r="G281" s="3" t="s">
        <v>50</v>
      </c>
      <c r="H281" s="4">
        <v>544</v>
      </c>
      <c r="I281" s="4">
        <v>500</v>
      </c>
      <c r="J281" s="3" t="s">
        <v>26</v>
      </c>
      <c r="K281" s="4" t="b">
        <v>0</v>
      </c>
      <c r="L281" s="6">
        <v>0.33333333333333298</v>
      </c>
      <c r="M281" s="6">
        <v>0.33333333333333298</v>
      </c>
      <c r="N281" s="3" t="s">
        <v>54</v>
      </c>
      <c r="O281" s="3" t="s">
        <v>55</v>
      </c>
      <c r="P281" s="3" t="s">
        <v>533</v>
      </c>
      <c r="Q281" s="3" t="s">
        <v>2122</v>
      </c>
      <c r="R281" s="3" t="s">
        <v>1074</v>
      </c>
      <c r="S281" s="3" t="s">
        <v>1006</v>
      </c>
      <c r="T281" s="3" t="s">
        <v>2123</v>
      </c>
      <c r="U281" s="11" t="s">
        <v>2124</v>
      </c>
      <c r="V281" s="11" t="s">
        <v>1064</v>
      </c>
      <c r="W281" s="11" t="s">
        <v>1065</v>
      </c>
      <c r="X281" s="13">
        <v>1</v>
      </c>
      <c r="Y281" s="12"/>
      <c r="Z281" s="11"/>
      <c r="AA281" s="11"/>
      <c r="AB281" s="11"/>
      <c r="AC281" s="11">
        <v>6</v>
      </c>
      <c r="AD281" s="11" t="s">
        <v>1076</v>
      </c>
      <c r="AE281" s="11" t="s">
        <v>2125</v>
      </c>
      <c r="AF281" s="11" t="s">
        <v>1014</v>
      </c>
      <c r="AG281" s="11" t="s">
        <v>1015</v>
      </c>
      <c r="AH281" s="11" t="s">
        <v>1579</v>
      </c>
      <c r="AI281" s="11" t="s">
        <v>1016</v>
      </c>
      <c r="AJ281" s="11"/>
      <c r="AK281" s="11" t="s">
        <v>1079</v>
      </c>
      <c r="AL281" s="11" t="s">
        <v>1017</v>
      </c>
      <c r="AM281" s="11" t="s">
        <v>1080</v>
      </c>
      <c r="AN281" s="11" t="s">
        <v>1019</v>
      </c>
      <c r="AO281" s="11" t="s">
        <v>1580</v>
      </c>
      <c r="AP281" s="11" t="s">
        <v>1021</v>
      </c>
      <c r="AQ281" s="11" t="s">
        <v>1581</v>
      </c>
      <c r="AR281" s="11" t="s">
        <v>1048</v>
      </c>
      <c r="AS281" s="11" t="s">
        <v>1582</v>
      </c>
      <c r="AT281" s="11" t="s">
        <v>1025</v>
      </c>
      <c r="AU281" s="11" t="s">
        <v>1583</v>
      </c>
      <c r="AV281" s="11" t="s">
        <v>1582</v>
      </c>
      <c r="AW281" s="12">
        <v>2</v>
      </c>
      <c r="AX281" s="12">
        <v>2</v>
      </c>
      <c r="AY281" s="12">
        <v>2</v>
      </c>
      <c r="AZ281" s="12">
        <v>1</v>
      </c>
      <c r="BA281" s="12">
        <v>2</v>
      </c>
      <c r="BB281" s="12">
        <v>2</v>
      </c>
      <c r="BC281" s="12">
        <v>1</v>
      </c>
      <c r="BD281" s="11" t="s">
        <v>1026</v>
      </c>
      <c r="BE281" s="11" t="s">
        <v>1027</v>
      </c>
    </row>
    <row r="282" spans="1:57" s="8" customFormat="1" ht="58" x14ac:dyDescent="0.35">
      <c r="A282" s="7" t="s">
        <v>398</v>
      </c>
      <c r="B282" s="7" t="s">
        <v>399</v>
      </c>
      <c r="C282" s="3" t="s">
        <v>534</v>
      </c>
      <c r="D282" s="3" t="s">
        <v>57</v>
      </c>
      <c r="E282" s="3"/>
      <c r="F282" s="3" t="s">
        <v>53</v>
      </c>
      <c r="G282" s="3" t="s">
        <v>50</v>
      </c>
      <c r="H282" s="4">
        <v>675</v>
      </c>
      <c r="I282" s="4">
        <v>300</v>
      </c>
      <c r="J282" s="3" t="s">
        <v>26</v>
      </c>
      <c r="K282" s="4" t="b">
        <v>0</v>
      </c>
      <c r="L282" s="6">
        <v>0.33333333333333298</v>
      </c>
      <c r="M282" s="6">
        <v>0.33333333333333298</v>
      </c>
      <c r="N282" s="3" t="s">
        <v>58</v>
      </c>
      <c r="O282" s="3" t="s">
        <v>59</v>
      </c>
      <c r="P282" s="3" t="s">
        <v>535</v>
      </c>
      <c r="Q282" s="3" t="s">
        <v>1344</v>
      </c>
      <c r="R282" s="3" t="s">
        <v>1029</v>
      </c>
      <c r="S282" s="3" t="s">
        <v>1006</v>
      </c>
      <c r="T282" s="3" t="s">
        <v>1007</v>
      </c>
      <c r="U282" s="11" t="s">
        <v>2126</v>
      </c>
      <c r="V282" s="11" t="s">
        <v>1031</v>
      </c>
      <c r="W282" s="11" t="s">
        <v>1032</v>
      </c>
      <c r="X282" s="13">
        <v>0.7</v>
      </c>
      <c r="Y282" s="12"/>
      <c r="Z282" s="11"/>
      <c r="AA282" s="11"/>
      <c r="AB282" s="11"/>
      <c r="AC282" s="11">
        <v>1</v>
      </c>
      <c r="AD282" s="11" t="s">
        <v>1227</v>
      </c>
      <c r="AE282" s="11" t="s">
        <v>2127</v>
      </c>
      <c r="AF282" s="11" t="s">
        <v>1014</v>
      </c>
      <c r="AG282" s="11" t="s">
        <v>1015</v>
      </c>
      <c r="AH282" s="11"/>
      <c r="AI282" s="11" t="s">
        <v>1016</v>
      </c>
      <c r="AJ282" s="11"/>
      <c r="AK282" s="11" t="s">
        <v>1229</v>
      </c>
      <c r="AL282" s="11" t="s">
        <v>1017</v>
      </c>
      <c r="AM282" s="11" t="s">
        <v>1230</v>
      </c>
      <c r="AN282" s="11" t="s">
        <v>1019</v>
      </c>
      <c r="AO282" s="11" t="s">
        <v>1346</v>
      </c>
      <c r="AP282" s="11" t="s">
        <v>1021</v>
      </c>
      <c r="AQ282" s="11" t="s">
        <v>1347</v>
      </c>
      <c r="AR282" s="11" t="s">
        <v>1048</v>
      </c>
      <c r="AS282" s="11" t="s">
        <v>1348</v>
      </c>
      <c r="AT282" s="11" t="s">
        <v>1050</v>
      </c>
      <c r="AU282" s="11" t="s">
        <v>1347</v>
      </c>
      <c r="AV282" s="11" t="s">
        <v>1348</v>
      </c>
      <c r="AW282" s="12">
        <v>1</v>
      </c>
      <c r="AX282" s="12">
        <v>1</v>
      </c>
      <c r="AY282" s="12">
        <v>1</v>
      </c>
      <c r="AZ282" s="12">
        <v>1</v>
      </c>
      <c r="BA282" s="12">
        <v>2</v>
      </c>
      <c r="BB282" s="12">
        <v>1</v>
      </c>
      <c r="BC282" s="12">
        <v>1</v>
      </c>
      <c r="BD282" s="11" t="s">
        <v>1026</v>
      </c>
      <c r="BE282" s="11" t="s">
        <v>1051</v>
      </c>
    </row>
    <row r="283" spans="1:57" s="8" customFormat="1" ht="72.5" x14ac:dyDescent="0.35">
      <c r="A283" s="7" t="s">
        <v>398</v>
      </c>
      <c r="B283" s="7" t="s">
        <v>399</v>
      </c>
      <c r="C283" s="3" t="s">
        <v>536</v>
      </c>
      <c r="D283" s="3" t="s">
        <v>41</v>
      </c>
      <c r="E283" s="3"/>
      <c r="F283" s="3" t="s">
        <v>36</v>
      </c>
      <c r="G283" s="3" t="s">
        <v>50</v>
      </c>
      <c r="H283" s="4">
        <v>407</v>
      </c>
      <c r="I283" s="4">
        <v>150</v>
      </c>
      <c r="J283" s="3" t="s">
        <v>26</v>
      </c>
      <c r="K283" s="4" t="b">
        <v>1</v>
      </c>
      <c r="L283" s="6">
        <v>1</v>
      </c>
      <c r="M283" s="6">
        <v>1</v>
      </c>
      <c r="N283" s="3" t="s">
        <v>42</v>
      </c>
      <c r="O283" s="3"/>
      <c r="P283" s="3" t="s">
        <v>537</v>
      </c>
      <c r="Q283" s="3" t="s">
        <v>1493</v>
      </c>
      <c r="R283" s="3" t="s">
        <v>1139</v>
      </c>
      <c r="S283" s="3" t="s">
        <v>2128</v>
      </c>
      <c r="T283" s="3" t="s">
        <v>1007</v>
      </c>
      <c r="U283" s="11" t="s">
        <v>2129</v>
      </c>
      <c r="V283" s="11" t="s">
        <v>1031</v>
      </c>
      <c r="W283" s="11" t="s">
        <v>1032</v>
      </c>
      <c r="X283" s="13">
        <v>0.7</v>
      </c>
      <c r="Y283" s="12"/>
      <c r="Z283" s="11"/>
      <c r="AA283" s="11"/>
      <c r="AB283" s="11"/>
      <c r="AC283" s="11">
        <v>0</v>
      </c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 t="s">
        <v>1019</v>
      </c>
      <c r="AO283" s="11" t="s">
        <v>1825</v>
      </c>
      <c r="AP283" s="11" t="s">
        <v>1114</v>
      </c>
      <c r="AQ283" s="11"/>
      <c r="AR283" s="11" t="s">
        <v>1034</v>
      </c>
      <c r="AS283" s="11"/>
      <c r="AT283" s="11" t="s">
        <v>1034</v>
      </c>
      <c r="AU283" s="11"/>
      <c r="AV283" s="11"/>
      <c r="AW283" s="12">
        <v>1</v>
      </c>
      <c r="AX283" s="12">
        <v>1</v>
      </c>
      <c r="AY283" s="12">
        <v>1</v>
      </c>
      <c r="AZ283" s="12"/>
      <c r="BA283" s="12"/>
      <c r="BB283" s="12"/>
      <c r="BC283" s="12"/>
      <c r="BD283" s="11" t="s">
        <v>1115</v>
      </c>
      <c r="BE283" s="11" t="s">
        <v>1116</v>
      </c>
    </row>
    <row r="284" spans="1:57" s="8" customFormat="1" ht="58" x14ac:dyDescent="0.35">
      <c r="A284" s="7" t="s">
        <v>398</v>
      </c>
      <c r="B284" s="7" t="s">
        <v>399</v>
      </c>
      <c r="C284" s="3" t="s">
        <v>538</v>
      </c>
      <c r="D284" s="3" t="s">
        <v>57</v>
      </c>
      <c r="E284" s="3"/>
      <c r="F284" s="3" t="s">
        <v>53</v>
      </c>
      <c r="G284" s="3" t="s">
        <v>50</v>
      </c>
      <c r="H284" s="4">
        <v>569</v>
      </c>
      <c r="I284" s="4">
        <v>300</v>
      </c>
      <c r="J284" s="3" t="s">
        <v>26</v>
      </c>
      <c r="K284" s="4" t="b">
        <v>0</v>
      </c>
      <c r="L284" s="6">
        <v>0.33333333333333298</v>
      </c>
      <c r="M284" s="6">
        <v>0.33333333333333298</v>
      </c>
      <c r="N284" s="3" t="s">
        <v>58</v>
      </c>
      <c r="O284" s="3" t="s">
        <v>59</v>
      </c>
      <c r="P284" s="3" t="s">
        <v>539</v>
      </c>
      <c r="Q284" s="3" t="s">
        <v>2130</v>
      </c>
      <c r="R284" s="3" t="s">
        <v>1074</v>
      </c>
      <c r="S284" s="3" t="s">
        <v>1006</v>
      </c>
      <c r="T284" s="3" t="s">
        <v>1007</v>
      </c>
      <c r="U284" s="11" t="s">
        <v>2131</v>
      </c>
      <c r="V284" s="11" t="s">
        <v>1064</v>
      </c>
      <c r="W284" s="11" t="s">
        <v>1065</v>
      </c>
      <c r="X284" s="13">
        <v>1</v>
      </c>
      <c r="Y284" s="12"/>
      <c r="Z284" s="11"/>
      <c r="AA284" s="11"/>
      <c r="AB284" s="11"/>
      <c r="AC284" s="11">
        <v>0</v>
      </c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 t="s">
        <v>1019</v>
      </c>
      <c r="AO284" s="11" t="s">
        <v>2132</v>
      </c>
      <c r="AP284" s="11" t="s">
        <v>1021</v>
      </c>
      <c r="AQ284" s="11" t="s">
        <v>2133</v>
      </c>
      <c r="AR284" s="11" t="s">
        <v>1048</v>
      </c>
      <c r="AS284" s="11" t="s">
        <v>2134</v>
      </c>
      <c r="AT284" s="11" t="s">
        <v>1050</v>
      </c>
      <c r="AU284" s="11" t="s">
        <v>2133</v>
      </c>
      <c r="AV284" s="11" t="s">
        <v>2134</v>
      </c>
      <c r="AW284" s="12">
        <v>1</v>
      </c>
      <c r="AX284" s="12">
        <v>1</v>
      </c>
      <c r="AY284" s="12">
        <v>1</v>
      </c>
      <c r="AZ284" s="12">
        <v>1</v>
      </c>
      <c r="BA284" s="12">
        <v>2</v>
      </c>
      <c r="BB284" s="12">
        <v>1</v>
      </c>
      <c r="BC284" s="12">
        <v>1</v>
      </c>
      <c r="BD284" s="11" t="s">
        <v>1026</v>
      </c>
      <c r="BE284" s="11" t="s">
        <v>1051</v>
      </c>
    </row>
    <row r="285" spans="1:57" s="8" customFormat="1" ht="58" x14ac:dyDescent="0.35">
      <c r="A285" s="7" t="s">
        <v>398</v>
      </c>
      <c r="B285" s="7" t="s">
        <v>399</v>
      </c>
      <c r="C285" s="3" t="s">
        <v>540</v>
      </c>
      <c r="D285" s="3" t="s">
        <v>57</v>
      </c>
      <c r="E285" s="3"/>
      <c r="F285" s="3" t="s">
        <v>53</v>
      </c>
      <c r="G285" s="3" t="s">
        <v>50</v>
      </c>
      <c r="H285" s="4">
        <v>515</v>
      </c>
      <c r="I285" s="4">
        <v>300</v>
      </c>
      <c r="J285" s="3" t="s">
        <v>26</v>
      </c>
      <c r="K285" s="4" t="b">
        <v>1</v>
      </c>
      <c r="L285" s="6">
        <v>1</v>
      </c>
      <c r="M285" s="6">
        <v>1</v>
      </c>
      <c r="N285" s="3" t="s">
        <v>62</v>
      </c>
      <c r="O285" s="3"/>
      <c r="P285" s="3" t="s">
        <v>541</v>
      </c>
      <c r="Q285" s="3" t="s">
        <v>2135</v>
      </c>
      <c r="R285" s="3" t="s">
        <v>1029</v>
      </c>
      <c r="S285" s="3" t="s">
        <v>1006</v>
      </c>
      <c r="T285" s="3" t="s">
        <v>1007</v>
      </c>
      <c r="U285" s="11" t="s">
        <v>2136</v>
      </c>
      <c r="V285" s="11" t="s">
        <v>1031</v>
      </c>
      <c r="W285" s="11" t="s">
        <v>1032</v>
      </c>
      <c r="X285" s="13">
        <v>0.7</v>
      </c>
      <c r="Y285" s="12"/>
      <c r="Z285" s="11"/>
      <c r="AA285" s="11"/>
      <c r="AB285" s="11"/>
      <c r="AC285" s="11">
        <v>0</v>
      </c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 t="s">
        <v>1019</v>
      </c>
      <c r="AO285" s="11" t="s">
        <v>1828</v>
      </c>
      <c r="AP285" s="11" t="s">
        <v>1021</v>
      </c>
      <c r="AQ285" s="11" t="s">
        <v>1829</v>
      </c>
      <c r="AR285" s="11" t="s">
        <v>1048</v>
      </c>
      <c r="AS285" s="11" t="s">
        <v>1830</v>
      </c>
      <c r="AT285" s="11" t="s">
        <v>1050</v>
      </c>
      <c r="AU285" s="11" t="s">
        <v>1829</v>
      </c>
      <c r="AV285" s="11" t="s">
        <v>1830</v>
      </c>
      <c r="AW285" s="12">
        <v>1</v>
      </c>
      <c r="AX285" s="12">
        <v>1</v>
      </c>
      <c r="AY285" s="12">
        <v>1</v>
      </c>
      <c r="AZ285" s="12">
        <v>1</v>
      </c>
      <c r="BA285" s="12">
        <v>2</v>
      </c>
      <c r="BB285" s="12">
        <v>1</v>
      </c>
      <c r="BC285" s="12">
        <v>1</v>
      </c>
      <c r="BD285" s="11" t="s">
        <v>1026</v>
      </c>
      <c r="BE285" s="11" t="s">
        <v>1051</v>
      </c>
    </row>
    <row r="286" spans="1:57" s="8" customFormat="1" ht="58" x14ac:dyDescent="0.35">
      <c r="A286" s="7" t="s">
        <v>398</v>
      </c>
      <c r="B286" s="7" t="s">
        <v>399</v>
      </c>
      <c r="C286" s="3" t="s">
        <v>542</v>
      </c>
      <c r="D286" s="3" t="s">
        <v>23</v>
      </c>
      <c r="E286" s="3"/>
      <c r="F286" s="3" t="s">
        <v>24</v>
      </c>
      <c r="G286" s="3" t="s">
        <v>50</v>
      </c>
      <c r="H286" s="4">
        <v>1120</v>
      </c>
      <c r="I286" s="4">
        <v>800</v>
      </c>
      <c r="J286" s="3" t="s">
        <v>26</v>
      </c>
      <c r="K286" s="4" t="b">
        <v>0</v>
      </c>
      <c r="L286" s="6">
        <v>0.5</v>
      </c>
      <c r="M286" s="6">
        <v>0.5</v>
      </c>
      <c r="N286" s="3" t="s">
        <v>75</v>
      </c>
      <c r="O286" s="3" t="s">
        <v>76</v>
      </c>
      <c r="P286" s="3" t="s">
        <v>543</v>
      </c>
      <c r="Q286" s="3" t="s">
        <v>2137</v>
      </c>
      <c r="R286" s="3" t="s">
        <v>1029</v>
      </c>
      <c r="S286" s="3" t="s">
        <v>1006</v>
      </c>
      <c r="T286" s="3" t="s">
        <v>1007</v>
      </c>
      <c r="U286" s="11" t="s">
        <v>2138</v>
      </c>
      <c r="V286" s="11" t="s">
        <v>1031</v>
      </c>
      <c r="W286" s="11" t="s">
        <v>1032</v>
      </c>
      <c r="X286" s="13">
        <v>0.7</v>
      </c>
      <c r="Y286" s="12"/>
      <c r="Z286" s="11"/>
      <c r="AA286" s="11"/>
      <c r="AB286" s="11"/>
      <c r="AC286" s="11">
        <v>0</v>
      </c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 t="s">
        <v>1019</v>
      </c>
      <c r="AO286" s="11" t="s">
        <v>1437</v>
      </c>
      <c r="AP286" s="11" t="s">
        <v>1021</v>
      </c>
      <c r="AQ286" s="11" t="s">
        <v>1438</v>
      </c>
      <c r="AR286" s="11" t="s">
        <v>1048</v>
      </c>
      <c r="AS286" s="11" t="s">
        <v>1439</v>
      </c>
      <c r="AT286" s="11" t="s">
        <v>1048</v>
      </c>
      <c r="AU286" s="11" t="s">
        <v>1438</v>
      </c>
      <c r="AV286" s="11" t="s">
        <v>1439</v>
      </c>
      <c r="AW286" s="12">
        <v>1</v>
      </c>
      <c r="AX286" s="12">
        <v>1</v>
      </c>
      <c r="AY286" s="12">
        <v>1</v>
      </c>
      <c r="AZ286" s="12">
        <v>1</v>
      </c>
      <c r="BA286" s="12">
        <v>2</v>
      </c>
      <c r="BB286" s="12">
        <v>1</v>
      </c>
      <c r="BC286" s="12">
        <v>2</v>
      </c>
      <c r="BD286" s="11" t="s">
        <v>1026</v>
      </c>
      <c r="BE286" s="11" t="s">
        <v>1027</v>
      </c>
    </row>
    <row r="287" spans="1:57" s="8" customFormat="1" ht="43.5" x14ac:dyDescent="0.35">
      <c r="A287" s="7" t="s">
        <v>398</v>
      </c>
      <c r="B287" s="7" t="s">
        <v>399</v>
      </c>
      <c r="C287" s="3" t="s">
        <v>544</v>
      </c>
      <c r="D287" s="3" t="s">
        <v>30</v>
      </c>
      <c r="E287" s="3" t="s">
        <v>30</v>
      </c>
      <c r="F287" s="3" t="s">
        <v>31</v>
      </c>
      <c r="G287" s="3" t="s">
        <v>25</v>
      </c>
      <c r="H287" s="4">
        <v>336</v>
      </c>
      <c r="I287" s="4">
        <v>250</v>
      </c>
      <c r="J287" s="3" t="s">
        <v>26</v>
      </c>
      <c r="K287" s="4" t="b">
        <v>1</v>
      </c>
      <c r="L287" s="6">
        <v>1</v>
      </c>
      <c r="M287" s="6">
        <v>1</v>
      </c>
      <c r="N287" s="3" t="s">
        <v>32</v>
      </c>
      <c r="O287" s="3"/>
      <c r="P287" s="3" t="s">
        <v>545</v>
      </c>
      <c r="Q287" s="3" t="s">
        <v>2139</v>
      </c>
      <c r="R287" s="3" t="s">
        <v>1074</v>
      </c>
      <c r="S287" s="3" t="s">
        <v>1006</v>
      </c>
      <c r="T287" s="3" t="s">
        <v>1007</v>
      </c>
      <c r="U287" s="11" t="s">
        <v>2140</v>
      </c>
      <c r="V287" s="11" t="s">
        <v>1031</v>
      </c>
      <c r="W287" s="11" t="s">
        <v>1032</v>
      </c>
      <c r="X287" s="13">
        <v>0.7</v>
      </c>
      <c r="Y287" s="12"/>
      <c r="Z287" s="11"/>
      <c r="AA287" s="11"/>
      <c r="AB287" s="11"/>
      <c r="AC287" s="11">
        <v>0</v>
      </c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 t="s">
        <v>1019</v>
      </c>
      <c r="AO287" s="11" t="s">
        <v>1645</v>
      </c>
      <c r="AP287" s="11" t="s">
        <v>1021</v>
      </c>
      <c r="AQ287" s="11" t="s">
        <v>1646</v>
      </c>
      <c r="AR287" s="11" t="s">
        <v>1050</v>
      </c>
      <c r="AS287" s="11" t="s">
        <v>1647</v>
      </c>
      <c r="AT287" s="11" t="s">
        <v>1050</v>
      </c>
      <c r="AU287" s="11" t="s">
        <v>1646</v>
      </c>
      <c r="AV287" s="11" t="s">
        <v>1647</v>
      </c>
      <c r="AW287" s="12">
        <v>1</v>
      </c>
      <c r="AX287" s="12">
        <v>1</v>
      </c>
      <c r="AY287" s="12">
        <v>1</v>
      </c>
      <c r="AZ287" s="12">
        <v>1</v>
      </c>
      <c r="BA287" s="12">
        <v>1</v>
      </c>
      <c r="BB287" s="12">
        <v>1</v>
      </c>
      <c r="BC287" s="12">
        <v>1</v>
      </c>
      <c r="BD287" s="11" t="s">
        <v>1026</v>
      </c>
      <c r="BE287" s="11" t="s">
        <v>1103</v>
      </c>
    </row>
    <row r="288" spans="1:57" s="8" customFormat="1" ht="72.5" x14ac:dyDescent="0.35">
      <c r="A288" s="7" t="s">
        <v>398</v>
      </c>
      <c r="B288" s="7" t="s">
        <v>399</v>
      </c>
      <c r="C288" s="3" t="s">
        <v>546</v>
      </c>
      <c r="D288" s="3" t="s">
        <v>231</v>
      </c>
      <c r="E288" s="3" t="s">
        <v>231</v>
      </c>
      <c r="F288" s="3" t="s">
        <v>31</v>
      </c>
      <c r="G288" s="3" t="s">
        <v>25</v>
      </c>
      <c r="H288" s="4">
        <v>899</v>
      </c>
      <c r="I288" s="4">
        <v>400</v>
      </c>
      <c r="J288" s="3" t="s">
        <v>26</v>
      </c>
      <c r="K288" s="4" t="b">
        <v>1</v>
      </c>
      <c r="L288" s="6">
        <v>1</v>
      </c>
      <c r="M288" s="6">
        <v>1</v>
      </c>
      <c r="N288" s="3" t="s">
        <v>232</v>
      </c>
      <c r="O288" s="3"/>
      <c r="P288" s="3" t="s">
        <v>547</v>
      </c>
      <c r="Q288" s="3" t="s">
        <v>2141</v>
      </c>
      <c r="R288" s="3" t="s">
        <v>1029</v>
      </c>
      <c r="S288" s="3" t="s">
        <v>1006</v>
      </c>
      <c r="T288" s="3" t="s">
        <v>1367</v>
      </c>
      <c r="U288" s="11" t="s">
        <v>2142</v>
      </c>
      <c r="V288" s="11" t="s">
        <v>1031</v>
      </c>
      <c r="W288" s="11" t="s">
        <v>1032</v>
      </c>
      <c r="X288" s="13">
        <v>0.7</v>
      </c>
      <c r="Y288" s="12"/>
      <c r="Z288" s="11"/>
      <c r="AA288" s="11"/>
      <c r="AB288" s="11"/>
      <c r="AC288" s="11">
        <v>0</v>
      </c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 t="s">
        <v>1019</v>
      </c>
      <c r="AO288" s="11" t="s">
        <v>1563</v>
      </c>
      <c r="AP288" s="11" t="s">
        <v>1021</v>
      </c>
      <c r="AQ288" s="11" t="s">
        <v>1564</v>
      </c>
      <c r="AR288" s="11" t="s">
        <v>1023</v>
      </c>
      <c r="AS288" s="11" t="s">
        <v>1565</v>
      </c>
      <c r="AT288" s="11" t="s">
        <v>1025</v>
      </c>
      <c r="AU288" s="11" t="s">
        <v>1564</v>
      </c>
      <c r="AV288" s="11" t="s">
        <v>1565</v>
      </c>
      <c r="AW288" s="12">
        <v>2</v>
      </c>
      <c r="AX288" s="12">
        <v>2</v>
      </c>
      <c r="AY288" s="12">
        <v>2</v>
      </c>
      <c r="AZ288" s="12">
        <v>2</v>
      </c>
      <c r="BA288" s="12">
        <v>4</v>
      </c>
      <c r="BB288" s="12">
        <v>2</v>
      </c>
      <c r="BC288" s="12">
        <v>1</v>
      </c>
      <c r="BD288" s="11" t="s">
        <v>1026</v>
      </c>
      <c r="BE288" s="11" t="s">
        <v>1027</v>
      </c>
    </row>
    <row r="289" spans="1:57" s="8" customFormat="1" ht="159.5" x14ac:dyDescent="0.35">
      <c r="A289" s="7" t="s">
        <v>398</v>
      </c>
      <c r="B289" s="7" t="s">
        <v>399</v>
      </c>
      <c r="C289" s="3" t="s">
        <v>548</v>
      </c>
      <c r="D289" s="3" t="s">
        <v>35</v>
      </c>
      <c r="E289" s="3"/>
      <c r="F289" s="3" t="s">
        <v>36</v>
      </c>
      <c r="G289" s="3" t="s">
        <v>50</v>
      </c>
      <c r="H289" s="4">
        <v>1562</v>
      </c>
      <c r="I289" s="4">
        <v>400</v>
      </c>
      <c r="J289" s="3" t="s">
        <v>26</v>
      </c>
      <c r="K289" s="4" t="b">
        <v>1</v>
      </c>
      <c r="L289" s="6">
        <v>1</v>
      </c>
      <c r="M289" s="6">
        <v>1</v>
      </c>
      <c r="N289" s="3" t="s">
        <v>37</v>
      </c>
      <c r="O289" s="3"/>
      <c r="P289" s="3" t="s">
        <v>549</v>
      </c>
      <c r="Q289" s="3" t="s">
        <v>2143</v>
      </c>
      <c r="R289" s="3" t="s">
        <v>1139</v>
      </c>
      <c r="S289" s="3" t="s">
        <v>1791</v>
      </c>
      <c r="T289" s="3" t="s">
        <v>2144</v>
      </c>
      <c r="U289" s="11" t="s">
        <v>2145</v>
      </c>
      <c r="V289" s="11" t="s">
        <v>1043</v>
      </c>
      <c r="W289" s="11" t="s">
        <v>1044</v>
      </c>
      <c r="X289" s="13">
        <v>0.98</v>
      </c>
      <c r="Y289" s="12" t="s">
        <v>1794</v>
      </c>
      <c r="Z289" s="11"/>
      <c r="AA289" s="11"/>
      <c r="AB289" s="11"/>
      <c r="AC289" s="11">
        <v>0</v>
      </c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 t="s">
        <v>1019</v>
      </c>
      <c r="AO289" s="11" t="s">
        <v>1363</v>
      </c>
      <c r="AP289" s="11" t="s">
        <v>1021</v>
      </c>
      <c r="AQ289" s="11" t="s">
        <v>1364</v>
      </c>
      <c r="AR289" s="11" t="s">
        <v>1048</v>
      </c>
      <c r="AS289" s="11" t="s">
        <v>1365</v>
      </c>
      <c r="AT289" s="11" t="s">
        <v>1050</v>
      </c>
      <c r="AU289" s="11" t="s">
        <v>1364</v>
      </c>
      <c r="AV289" s="11" t="s">
        <v>1365</v>
      </c>
      <c r="AW289" s="12">
        <v>1</v>
      </c>
      <c r="AX289" s="12">
        <v>1</v>
      </c>
      <c r="AY289" s="12">
        <v>1</v>
      </c>
      <c r="AZ289" s="12">
        <v>1</v>
      </c>
      <c r="BA289" s="12">
        <v>2</v>
      </c>
      <c r="BB289" s="12">
        <v>1</v>
      </c>
      <c r="BC289" s="12">
        <v>1</v>
      </c>
      <c r="BD289" s="11" t="s">
        <v>1026</v>
      </c>
      <c r="BE289" s="11" t="s">
        <v>1051</v>
      </c>
    </row>
    <row r="290" spans="1:57" s="8" customFormat="1" ht="101.5" x14ac:dyDescent="0.35">
      <c r="A290" s="7" t="s">
        <v>398</v>
      </c>
      <c r="B290" s="7" t="s">
        <v>399</v>
      </c>
      <c r="C290" s="3" t="s">
        <v>550</v>
      </c>
      <c r="D290" s="3" t="s">
        <v>41</v>
      </c>
      <c r="E290" s="3" t="s">
        <v>41</v>
      </c>
      <c r="F290" s="3" t="s">
        <v>36</v>
      </c>
      <c r="G290" s="3" t="s">
        <v>25</v>
      </c>
      <c r="H290" s="4">
        <v>1769</v>
      </c>
      <c r="I290" s="4">
        <v>150</v>
      </c>
      <c r="J290" s="3" t="s">
        <v>26</v>
      </c>
      <c r="K290" s="4" t="b">
        <v>1</v>
      </c>
      <c r="L290" s="6">
        <v>1</v>
      </c>
      <c r="M290" s="6">
        <v>1</v>
      </c>
      <c r="N290" s="3" t="s">
        <v>42</v>
      </c>
      <c r="O290" s="3"/>
      <c r="P290" s="3" t="s">
        <v>551</v>
      </c>
      <c r="Q290" s="3" t="s">
        <v>2146</v>
      </c>
      <c r="R290" s="3" t="s">
        <v>1039</v>
      </c>
      <c r="S290" s="3" t="s">
        <v>1863</v>
      </c>
      <c r="T290" s="3" t="s">
        <v>2147</v>
      </c>
      <c r="U290" s="11" t="s">
        <v>2148</v>
      </c>
      <c r="V290" s="11" t="s">
        <v>1043</v>
      </c>
      <c r="W290" s="11" t="s">
        <v>1044</v>
      </c>
      <c r="X290" s="13">
        <v>1</v>
      </c>
      <c r="Y290" s="12"/>
      <c r="Z290" s="11"/>
      <c r="AA290" s="11"/>
      <c r="AB290" s="11"/>
      <c r="AC290" s="11">
        <v>2</v>
      </c>
      <c r="AD290" s="11" t="s">
        <v>1148</v>
      </c>
      <c r="AE290" s="11" t="s">
        <v>2149</v>
      </c>
      <c r="AF290" s="11" t="s">
        <v>1014</v>
      </c>
      <c r="AG290" s="11" t="s">
        <v>1873</v>
      </c>
      <c r="AH290" s="11" t="s">
        <v>42</v>
      </c>
      <c r="AI290" s="11" t="s">
        <v>1016</v>
      </c>
      <c r="AJ290" s="11"/>
      <c r="AK290" s="11" t="s">
        <v>1151</v>
      </c>
      <c r="AL290" s="11" t="s">
        <v>1017</v>
      </c>
      <c r="AM290" s="11" t="s">
        <v>1152</v>
      </c>
      <c r="AN290" s="11" t="s">
        <v>1019</v>
      </c>
      <c r="AO290" s="11" t="s">
        <v>1059</v>
      </c>
      <c r="AP290" s="11" t="s">
        <v>1021</v>
      </c>
      <c r="AQ290" s="11" t="s">
        <v>1060</v>
      </c>
      <c r="AR290" s="11" t="s">
        <v>1023</v>
      </c>
      <c r="AS290" s="11" t="s">
        <v>1061</v>
      </c>
      <c r="AT290" s="11" t="s">
        <v>1023</v>
      </c>
      <c r="AU290" s="11" t="s">
        <v>1060</v>
      </c>
      <c r="AV290" s="11" t="s">
        <v>1061</v>
      </c>
      <c r="AW290" s="12">
        <v>3</v>
      </c>
      <c r="AX290" s="12">
        <v>4</v>
      </c>
      <c r="AY290" s="12">
        <v>4</v>
      </c>
      <c r="AZ290" s="12">
        <v>4</v>
      </c>
      <c r="BA290" s="12">
        <v>6</v>
      </c>
      <c r="BB290" s="12">
        <v>4</v>
      </c>
      <c r="BC290" s="12">
        <v>2</v>
      </c>
      <c r="BD290" s="11" t="s">
        <v>1026</v>
      </c>
      <c r="BE290" s="11" t="s">
        <v>1027</v>
      </c>
    </row>
    <row r="291" spans="1:57" s="8" customFormat="1" ht="101.5" x14ac:dyDescent="0.35">
      <c r="A291" s="7" t="s">
        <v>398</v>
      </c>
      <c r="B291" s="7" t="s">
        <v>399</v>
      </c>
      <c r="C291" s="3" t="s">
        <v>552</v>
      </c>
      <c r="D291" s="3" t="s">
        <v>41</v>
      </c>
      <c r="E291" s="3" t="s">
        <v>41</v>
      </c>
      <c r="F291" s="3" t="s">
        <v>36</v>
      </c>
      <c r="G291" s="3" t="s">
        <v>25</v>
      </c>
      <c r="H291" s="4">
        <v>1777</v>
      </c>
      <c r="I291" s="4">
        <v>150</v>
      </c>
      <c r="J291" s="3" t="s">
        <v>26</v>
      </c>
      <c r="K291" s="4" t="b">
        <v>1</v>
      </c>
      <c r="L291" s="6">
        <v>1</v>
      </c>
      <c r="M291" s="6">
        <v>1</v>
      </c>
      <c r="N291" s="3" t="s">
        <v>42</v>
      </c>
      <c r="O291" s="3"/>
      <c r="P291" s="3" t="s">
        <v>553</v>
      </c>
      <c r="Q291" s="3" t="s">
        <v>2150</v>
      </c>
      <c r="R291" s="3" t="s">
        <v>1039</v>
      </c>
      <c r="S291" s="3" t="s">
        <v>1144</v>
      </c>
      <c r="T291" s="3" t="s">
        <v>2151</v>
      </c>
      <c r="U291" s="11" t="s">
        <v>2152</v>
      </c>
      <c r="V291" s="11" t="s">
        <v>1043</v>
      </c>
      <c r="W291" s="11" t="s">
        <v>1044</v>
      </c>
      <c r="X291" s="13">
        <v>0.73</v>
      </c>
      <c r="Y291" s="12" t="s">
        <v>1147</v>
      </c>
      <c r="Z291" s="11"/>
      <c r="AA291" s="11"/>
      <c r="AB291" s="11"/>
      <c r="AC291" s="11">
        <v>1</v>
      </c>
      <c r="AD291" s="11" t="s">
        <v>1148</v>
      </c>
      <c r="AE291" s="11" t="s">
        <v>1149</v>
      </c>
      <c r="AF291" s="11" t="s">
        <v>1014</v>
      </c>
      <c r="AG291" s="11" t="s">
        <v>1150</v>
      </c>
      <c r="AH291" s="11" t="s">
        <v>42</v>
      </c>
      <c r="AI291" s="11" t="s">
        <v>1016</v>
      </c>
      <c r="AJ291" s="11"/>
      <c r="AK291" s="11" t="s">
        <v>1151</v>
      </c>
      <c r="AL291" s="11" t="s">
        <v>1017</v>
      </c>
      <c r="AM291" s="11" t="s">
        <v>1152</v>
      </c>
      <c r="AN291" s="11" t="s">
        <v>1019</v>
      </c>
      <c r="AO291" s="11" t="s">
        <v>1059</v>
      </c>
      <c r="AP291" s="11" t="s">
        <v>1021</v>
      </c>
      <c r="AQ291" s="11" t="s">
        <v>1060</v>
      </c>
      <c r="AR291" s="11" t="s">
        <v>1023</v>
      </c>
      <c r="AS291" s="11" t="s">
        <v>1061</v>
      </c>
      <c r="AT291" s="11" t="s">
        <v>1023</v>
      </c>
      <c r="AU291" s="11" t="s">
        <v>1060</v>
      </c>
      <c r="AV291" s="11" t="s">
        <v>1061</v>
      </c>
      <c r="AW291" s="12">
        <v>3</v>
      </c>
      <c r="AX291" s="12">
        <v>4</v>
      </c>
      <c r="AY291" s="12">
        <v>4</v>
      </c>
      <c r="AZ291" s="12">
        <v>4</v>
      </c>
      <c r="BA291" s="12">
        <v>6</v>
      </c>
      <c r="BB291" s="12">
        <v>4</v>
      </c>
      <c r="BC291" s="12">
        <v>2</v>
      </c>
      <c r="BD291" s="11" t="s">
        <v>1026</v>
      </c>
      <c r="BE291" s="11" t="s">
        <v>1027</v>
      </c>
    </row>
    <row r="292" spans="1:57" s="8" customFormat="1" ht="116" x14ac:dyDescent="0.35">
      <c r="A292" s="7" t="s">
        <v>398</v>
      </c>
      <c r="B292" s="7" t="s">
        <v>399</v>
      </c>
      <c r="C292" s="3" t="s">
        <v>554</v>
      </c>
      <c r="D292" s="3" t="s">
        <v>41</v>
      </c>
      <c r="E292" s="3" t="s">
        <v>41</v>
      </c>
      <c r="F292" s="3" t="s">
        <v>36</v>
      </c>
      <c r="G292" s="3" t="s">
        <v>25</v>
      </c>
      <c r="H292" s="4">
        <v>1658</v>
      </c>
      <c r="I292" s="4">
        <v>150</v>
      </c>
      <c r="J292" s="3" t="s">
        <v>26</v>
      </c>
      <c r="K292" s="4" t="b">
        <v>1</v>
      </c>
      <c r="L292" s="6">
        <v>1</v>
      </c>
      <c r="M292" s="6">
        <v>1</v>
      </c>
      <c r="N292" s="3" t="s">
        <v>42</v>
      </c>
      <c r="O292" s="3"/>
      <c r="P292" s="3" t="s">
        <v>555</v>
      </c>
      <c r="Q292" s="3" t="s">
        <v>2153</v>
      </c>
      <c r="R292" s="3" t="s">
        <v>1074</v>
      </c>
      <c r="S292" s="3" t="s">
        <v>1006</v>
      </c>
      <c r="T292" s="3" t="s">
        <v>1007</v>
      </c>
      <c r="U292" s="11" t="s">
        <v>2154</v>
      </c>
      <c r="V292" s="11" t="s">
        <v>1031</v>
      </c>
      <c r="W292" s="11" t="s">
        <v>1032</v>
      </c>
      <c r="X292" s="13">
        <v>0.7</v>
      </c>
      <c r="Y292" s="12"/>
      <c r="Z292" s="11"/>
      <c r="AA292" s="11"/>
      <c r="AB292" s="11"/>
      <c r="AC292" s="11">
        <v>2</v>
      </c>
      <c r="AD292" s="11" t="s">
        <v>1148</v>
      </c>
      <c r="AE292" s="11" t="s">
        <v>2155</v>
      </c>
      <c r="AF292" s="11" t="s">
        <v>1014</v>
      </c>
      <c r="AG292" s="11" t="s">
        <v>1873</v>
      </c>
      <c r="AH292" s="11" t="s">
        <v>42</v>
      </c>
      <c r="AI292" s="11" t="s">
        <v>1016</v>
      </c>
      <c r="AJ292" s="11"/>
      <c r="AK292" s="11" t="s">
        <v>1151</v>
      </c>
      <c r="AL292" s="11" t="s">
        <v>1017</v>
      </c>
      <c r="AM292" s="11" t="s">
        <v>1152</v>
      </c>
      <c r="AN292" s="11" t="s">
        <v>1019</v>
      </c>
      <c r="AO292" s="11" t="s">
        <v>1059</v>
      </c>
      <c r="AP292" s="11" t="s">
        <v>1021</v>
      </c>
      <c r="AQ292" s="11" t="s">
        <v>1060</v>
      </c>
      <c r="AR292" s="11" t="s">
        <v>1023</v>
      </c>
      <c r="AS292" s="11" t="s">
        <v>1061</v>
      </c>
      <c r="AT292" s="11" t="s">
        <v>1023</v>
      </c>
      <c r="AU292" s="11" t="s">
        <v>1060</v>
      </c>
      <c r="AV292" s="11" t="s">
        <v>1061</v>
      </c>
      <c r="AW292" s="12">
        <v>3</v>
      </c>
      <c r="AX292" s="12">
        <v>4</v>
      </c>
      <c r="AY292" s="12">
        <v>4</v>
      </c>
      <c r="AZ292" s="12">
        <v>4</v>
      </c>
      <c r="BA292" s="12">
        <v>6</v>
      </c>
      <c r="BB292" s="12">
        <v>4</v>
      </c>
      <c r="BC292" s="12">
        <v>2</v>
      </c>
      <c r="BD292" s="11" t="s">
        <v>1026</v>
      </c>
      <c r="BE292" s="11" t="s">
        <v>1027</v>
      </c>
    </row>
    <row r="293" spans="1:57" s="8" customFormat="1" ht="72.5" x14ac:dyDescent="0.35">
      <c r="A293" s="7" t="s">
        <v>398</v>
      </c>
      <c r="B293" s="7" t="s">
        <v>399</v>
      </c>
      <c r="C293" s="3" t="s">
        <v>556</v>
      </c>
      <c r="D293" s="3" t="s">
        <v>83</v>
      </c>
      <c r="E293" s="3"/>
      <c r="F293" s="3" t="s">
        <v>84</v>
      </c>
      <c r="G293" s="3" t="s">
        <v>50</v>
      </c>
      <c r="H293" s="4">
        <v>1409</v>
      </c>
      <c r="I293" s="4">
        <v>500</v>
      </c>
      <c r="J293" s="3" t="s">
        <v>26</v>
      </c>
      <c r="K293" s="4" t="b">
        <v>0</v>
      </c>
      <c r="L293" s="6">
        <v>0.5</v>
      </c>
      <c r="M293" s="6">
        <v>0.5</v>
      </c>
      <c r="N293" s="3" t="s">
        <v>225</v>
      </c>
      <c r="O293" s="3" t="s">
        <v>226</v>
      </c>
      <c r="P293" s="3" t="s">
        <v>557</v>
      </c>
      <c r="Q293" s="3" t="s">
        <v>2156</v>
      </c>
      <c r="R293" s="3" t="s">
        <v>1139</v>
      </c>
      <c r="S293" s="3" t="s">
        <v>2157</v>
      </c>
      <c r="T293" s="3" t="s">
        <v>1007</v>
      </c>
      <c r="U293" s="11" t="s">
        <v>2158</v>
      </c>
      <c r="V293" s="11" t="s">
        <v>1096</v>
      </c>
      <c r="W293" s="11" t="s">
        <v>1097</v>
      </c>
      <c r="X293" s="13">
        <v>0.82</v>
      </c>
      <c r="Y293" s="12"/>
      <c r="Z293" s="11" t="s">
        <v>2159</v>
      </c>
      <c r="AA293" s="11"/>
      <c r="AB293" s="11"/>
      <c r="AC293" s="11">
        <v>0</v>
      </c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 t="s">
        <v>1019</v>
      </c>
      <c r="AO293" s="11" t="s">
        <v>1142</v>
      </c>
      <c r="AP293" s="11" t="s">
        <v>1114</v>
      </c>
      <c r="AQ293" s="11"/>
      <c r="AR293" s="11" t="s">
        <v>1034</v>
      </c>
      <c r="AS293" s="11"/>
      <c r="AT293" s="11" t="s">
        <v>1034</v>
      </c>
      <c r="AU293" s="11"/>
      <c r="AV293" s="11"/>
      <c r="AW293" s="12">
        <v>1</v>
      </c>
      <c r="AX293" s="12">
        <v>1</v>
      </c>
      <c r="AY293" s="12">
        <v>1</v>
      </c>
      <c r="AZ293" s="12"/>
      <c r="BA293" s="12"/>
      <c r="BB293" s="12"/>
      <c r="BC293" s="12"/>
      <c r="BD293" s="11" t="s">
        <v>1115</v>
      </c>
      <c r="BE293" s="11" t="s">
        <v>1116</v>
      </c>
    </row>
    <row r="294" spans="1:57" s="8" customFormat="1" ht="319" x14ac:dyDescent="0.35">
      <c r="A294" s="7" t="s">
        <v>398</v>
      </c>
      <c r="B294" s="7" t="s">
        <v>399</v>
      </c>
      <c r="C294" s="3" t="s">
        <v>558</v>
      </c>
      <c r="D294" s="3" t="s">
        <v>221</v>
      </c>
      <c r="E294" s="3" t="s">
        <v>221</v>
      </c>
      <c r="F294" s="3" t="s">
        <v>31</v>
      </c>
      <c r="G294" s="3" t="s">
        <v>25</v>
      </c>
      <c r="H294" s="4">
        <v>2492</v>
      </c>
      <c r="I294" s="4">
        <v>500</v>
      </c>
      <c r="J294" s="3" t="s">
        <v>26</v>
      </c>
      <c r="K294" s="4" t="b">
        <v>1</v>
      </c>
      <c r="L294" s="6">
        <v>1</v>
      </c>
      <c r="M294" s="6">
        <v>1</v>
      </c>
      <c r="N294" s="3" t="s">
        <v>222</v>
      </c>
      <c r="O294" s="3"/>
      <c r="P294" s="3" t="s">
        <v>559</v>
      </c>
      <c r="Q294" s="3" t="s">
        <v>2160</v>
      </c>
      <c r="R294" s="3" t="s">
        <v>1029</v>
      </c>
      <c r="S294" s="3" t="s">
        <v>1006</v>
      </c>
      <c r="T294" s="3" t="s">
        <v>1007</v>
      </c>
      <c r="U294" s="11" t="s">
        <v>2161</v>
      </c>
      <c r="V294" s="11" t="s">
        <v>1009</v>
      </c>
      <c r="W294" s="11" t="s">
        <v>1010</v>
      </c>
      <c r="X294" s="13">
        <v>0.88</v>
      </c>
      <c r="Y294" s="12"/>
      <c r="Z294" s="11" t="s">
        <v>1489</v>
      </c>
      <c r="AA294" s="11"/>
      <c r="AB294" s="11"/>
      <c r="AC294" s="11">
        <v>0</v>
      </c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 t="s">
        <v>1019</v>
      </c>
      <c r="AO294" s="11" t="s">
        <v>1490</v>
      </c>
      <c r="AP294" s="11" t="s">
        <v>1021</v>
      </c>
      <c r="AQ294" s="11" t="s">
        <v>1491</v>
      </c>
      <c r="AR294" s="11" t="s">
        <v>1023</v>
      </c>
      <c r="AS294" s="11" t="s">
        <v>1492</v>
      </c>
      <c r="AT294" s="11" t="s">
        <v>1025</v>
      </c>
      <c r="AU294" s="11" t="s">
        <v>1491</v>
      </c>
      <c r="AV294" s="11" t="s">
        <v>1492</v>
      </c>
      <c r="AW294" s="12">
        <v>2</v>
      </c>
      <c r="AX294" s="12">
        <v>2</v>
      </c>
      <c r="AY294" s="12">
        <v>2</v>
      </c>
      <c r="AZ294" s="12">
        <v>2</v>
      </c>
      <c r="BA294" s="12">
        <v>3</v>
      </c>
      <c r="BB294" s="12">
        <v>2</v>
      </c>
      <c r="BC294" s="12">
        <v>1</v>
      </c>
      <c r="BD294" s="11" t="s">
        <v>1026</v>
      </c>
      <c r="BE294" s="11" t="s">
        <v>1027</v>
      </c>
    </row>
    <row r="295" spans="1:57" s="8" customFormat="1" ht="58" x14ac:dyDescent="0.35">
      <c r="A295" s="7" t="s">
        <v>398</v>
      </c>
      <c r="B295" s="7" t="s">
        <v>399</v>
      </c>
      <c r="C295" s="3" t="s">
        <v>560</v>
      </c>
      <c r="D295" s="3" t="s">
        <v>57</v>
      </c>
      <c r="E295" s="3"/>
      <c r="F295" s="3" t="s">
        <v>53</v>
      </c>
      <c r="G295" s="3" t="s">
        <v>50</v>
      </c>
      <c r="H295" s="4">
        <v>628</v>
      </c>
      <c r="I295" s="4">
        <v>300</v>
      </c>
      <c r="J295" s="3" t="s">
        <v>26</v>
      </c>
      <c r="K295" s="4" t="b">
        <v>0</v>
      </c>
      <c r="L295" s="6">
        <v>0.33333333333333298</v>
      </c>
      <c r="M295" s="6">
        <v>0.33333333333333298</v>
      </c>
      <c r="N295" s="3" t="s">
        <v>58</v>
      </c>
      <c r="O295" s="3" t="s">
        <v>59</v>
      </c>
      <c r="P295" s="3" t="s">
        <v>561</v>
      </c>
      <c r="Q295" s="3" t="s">
        <v>2162</v>
      </c>
      <c r="R295" s="3" t="s">
        <v>1154</v>
      </c>
      <c r="S295" s="3" t="s">
        <v>1006</v>
      </c>
      <c r="T295" s="3" t="s">
        <v>1007</v>
      </c>
      <c r="U295" s="11" t="s">
        <v>2163</v>
      </c>
      <c r="V295" s="11" t="s">
        <v>1064</v>
      </c>
      <c r="W295" s="11" t="s">
        <v>1065</v>
      </c>
      <c r="X295" s="13">
        <v>1</v>
      </c>
      <c r="Y295" s="12"/>
      <c r="Z295" s="11"/>
      <c r="AA295" s="11"/>
      <c r="AB295" s="11"/>
      <c r="AC295" s="11">
        <v>0</v>
      </c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 t="s">
        <v>1019</v>
      </c>
      <c r="AO295" s="11" t="s">
        <v>2164</v>
      </c>
      <c r="AP295" s="11" t="s">
        <v>1021</v>
      </c>
      <c r="AQ295" s="11" t="s">
        <v>2165</v>
      </c>
      <c r="AR295" s="11" t="s">
        <v>1025</v>
      </c>
      <c r="AS295" s="11" t="s">
        <v>2166</v>
      </c>
      <c r="AT295" s="11" t="s">
        <v>1025</v>
      </c>
      <c r="AU295" s="11" t="s">
        <v>2165</v>
      </c>
      <c r="AV295" s="11" t="s">
        <v>2166</v>
      </c>
      <c r="AW295" s="12">
        <v>4</v>
      </c>
      <c r="AX295" s="12">
        <v>5</v>
      </c>
      <c r="AY295" s="12">
        <v>5</v>
      </c>
      <c r="AZ295" s="12">
        <v>5</v>
      </c>
      <c r="BA295" s="12">
        <v>1</v>
      </c>
      <c r="BB295" s="12">
        <v>5</v>
      </c>
      <c r="BC295" s="12">
        <v>1</v>
      </c>
      <c r="BD295" s="11" t="s">
        <v>1026</v>
      </c>
      <c r="BE295" s="11" t="s">
        <v>1027</v>
      </c>
    </row>
    <row r="296" spans="1:57" s="8" customFormat="1" ht="58" x14ac:dyDescent="0.35">
      <c r="A296" s="7" t="s">
        <v>398</v>
      </c>
      <c r="B296" s="7" t="s">
        <v>399</v>
      </c>
      <c r="C296" s="3" t="s">
        <v>562</v>
      </c>
      <c r="D296" s="3" t="s">
        <v>57</v>
      </c>
      <c r="E296" s="3"/>
      <c r="F296" s="3" t="s">
        <v>53</v>
      </c>
      <c r="G296" s="3" t="s">
        <v>50</v>
      </c>
      <c r="H296" s="4">
        <v>664</v>
      </c>
      <c r="I296" s="4">
        <v>300</v>
      </c>
      <c r="J296" s="3" t="s">
        <v>26</v>
      </c>
      <c r="K296" s="4" t="b">
        <v>0</v>
      </c>
      <c r="L296" s="6">
        <v>0.33333333333333298</v>
      </c>
      <c r="M296" s="6">
        <v>0.33333333333333298</v>
      </c>
      <c r="N296" s="3" t="s">
        <v>58</v>
      </c>
      <c r="O296" s="3" t="s">
        <v>59</v>
      </c>
      <c r="P296" s="3" t="s">
        <v>563</v>
      </c>
      <c r="Q296" s="3" t="s">
        <v>2167</v>
      </c>
      <c r="R296" s="3" t="s">
        <v>1074</v>
      </c>
      <c r="S296" s="3" t="s">
        <v>1006</v>
      </c>
      <c r="T296" s="3" t="s">
        <v>1007</v>
      </c>
      <c r="U296" s="11" t="s">
        <v>2168</v>
      </c>
      <c r="V296" s="11" t="s">
        <v>1064</v>
      </c>
      <c r="W296" s="11" t="s">
        <v>1065</v>
      </c>
      <c r="X296" s="13">
        <v>1</v>
      </c>
      <c r="Y296" s="12"/>
      <c r="Z296" s="11"/>
      <c r="AA296" s="11"/>
      <c r="AB296" s="11"/>
      <c r="AC296" s="11">
        <v>0</v>
      </c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 t="s">
        <v>1019</v>
      </c>
      <c r="AO296" s="11" t="s">
        <v>1220</v>
      </c>
      <c r="AP296" s="11" t="s">
        <v>1021</v>
      </c>
      <c r="AQ296" s="11" t="s">
        <v>1221</v>
      </c>
      <c r="AR296" s="11" t="s">
        <v>1025</v>
      </c>
      <c r="AS296" s="11" t="s">
        <v>1222</v>
      </c>
      <c r="AT296" s="11" t="s">
        <v>1025</v>
      </c>
      <c r="AU296" s="11" t="s">
        <v>1221</v>
      </c>
      <c r="AV296" s="11" t="s">
        <v>1222</v>
      </c>
      <c r="AW296" s="12">
        <v>3</v>
      </c>
      <c r="AX296" s="12">
        <v>3</v>
      </c>
      <c r="AY296" s="12">
        <v>3</v>
      </c>
      <c r="AZ296" s="12">
        <v>3</v>
      </c>
      <c r="BA296" s="12">
        <v>1</v>
      </c>
      <c r="BB296" s="12">
        <v>3</v>
      </c>
      <c r="BC296" s="12">
        <v>1</v>
      </c>
      <c r="BD296" s="11" t="s">
        <v>1026</v>
      </c>
      <c r="BE296" s="11" t="s">
        <v>1027</v>
      </c>
    </row>
    <row r="297" spans="1:57" s="8" customFormat="1" ht="101.5" x14ac:dyDescent="0.35">
      <c r="A297" s="7" t="s">
        <v>398</v>
      </c>
      <c r="B297" s="7" t="s">
        <v>399</v>
      </c>
      <c r="C297" s="3" t="s">
        <v>564</v>
      </c>
      <c r="D297" s="3" t="s">
        <v>23</v>
      </c>
      <c r="E297" s="3" t="s">
        <v>23</v>
      </c>
      <c r="F297" s="3" t="s">
        <v>24</v>
      </c>
      <c r="G297" s="3" t="s">
        <v>25</v>
      </c>
      <c r="H297" s="4">
        <v>3244</v>
      </c>
      <c r="I297" s="4">
        <v>800</v>
      </c>
      <c r="J297" s="3" t="s">
        <v>26</v>
      </c>
      <c r="K297" s="4" t="b">
        <v>1</v>
      </c>
      <c r="L297" s="6">
        <v>1</v>
      </c>
      <c r="M297" s="6">
        <v>1</v>
      </c>
      <c r="N297" s="3" t="s">
        <v>27</v>
      </c>
      <c r="O297" s="3"/>
      <c r="P297" s="3" t="s">
        <v>565</v>
      </c>
      <c r="Q297" s="3" t="s">
        <v>2169</v>
      </c>
      <c r="R297" s="3" t="s">
        <v>1005</v>
      </c>
      <c r="S297" s="3" t="s">
        <v>1006</v>
      </c>
      <c r="T297" s="3" t="s">
        <v>1361</v>
      </c>
      <c r="U297" s="11" t="s">
        <v>2170</v>
      </c>
      <c r="V297" s="11" t="s">
        <v>1031</v>
      </c>
      <c r="W297" s="11" t="s">
        <v>1032</v>
      </c>
      <c r="X297" s="13">
        <v>0.51</v>
      </c>
      <c r="Y297" s="12"/>
      <c r="Z297" s="11"/>
      <c r="AA297" s="11"/>
      <c r="AB297" s="11"/>
      <c r="AC297" s="11">
        <v>4</v>
      </c>
      <c r="AD297" s="11" t="s">
        <v>1012</v>
      </c>
      <c r="AE297" s="11" t="s">
        <v>2171</v>
      </c>
      <c r="AF297" s="11" t="s">
        <v>1014</v>
      </c>
      <c r="AG297" s="11" t="s">
        <v>1015</v>
      </c>
      <c r="AH297" s="11" t="s">
        <v>75</v>
      </c>
      <c r="AI297" s="11" t="s">
        <v>1016</v>
      </c>
      <c r="AJ297" s="11"/>
      <c r="AK297" s="11" t="s">
        <v>262</v>
      </c>
      <c r="AL297" s="11" t="s">
        <v>1017</v>
      </c>
      <c r="AM297" s="11" t="s">
        <v>1018</v>
      </c>
      <c r="AN297" s="11" t="s">
        <v>1019</v>
      </c>
      <c r="AO297" s="11" t="s">
        <v>1020</v>
      </c>
      <c r="AP297" s="11" t="s">
        <v>1021</v>
      </c>
      <c r="AQ297" s="11" t="s">
        <v>1022</v>
      </c>
      <c r="AR297" s="11" t="s">
        <v>1023</v>
      </c>
      <c r="AS297" s="11" t="s">
        <v>1024</v>
      </c>
      <c r="AT297" s="11" t="s">
        <v>1025</v>
      </c>
      <c r="AU297" s="11" t="s">
        <v>1022</v>
      </c>
      <c r="AV297" s="11" t="s">
        <v>1024</v>
      </c>
      <c r="AW297" s="12">
        <v>2</v>
      </c>
      <c r="AX297" s="12">
        <v>2</v>
      </c>
      <c r="AY297" s="12">
        <v>2</v>
      </c>
      <c r="AZ297" s="12">
        <v>2</v>
      </c>
      <c r="BA297" s="12">
        <v>3</v>
      </c>
      <c r="BB297" s="12">
        <v>2</v>
      </c>
      <c r="BC297" s="12">
        <v>1</v>
      </c>
      <c r="BD297" s="11" t="s">
        <v>1026</v>
      </c>
      <c r="BE297" s="11" t="s">
        <v>1027</v>
      </c>
    </row>
    <row r="298" spans="1:57" s="8" customFormat="1" ht="43.5" x14ac:dyDescent="0.35">
      <c r="A298" s="7" t="s">
        <v>398</v>
      </c>
      <c r="B298" s="7" t="s">
        <v>399</v>
      </c>
      <c r="C298" s="3" t="s">
        <v>566</v>
      </c>
      <c r="D298" s="3" t="s">
        <v>57</v>
      </c>
      <c r="E298" s="3"/>
      <c r="F298" s="3" t="s">
        <v>53</v>
      </c>
      <c r="G298" s="3" t="s">
        <v>50</v>
      </c>
      <c r="H298" s="4">
        <v>399</v>
      </c>
      <c r="I298" s="4">
        <v>300</v>
      </c>
      <c r="J298" s="3" t="s">
        <v>26</v>
      </c>
      <c r="K298" s="4" t="b">
        <v>0</v>
      </c>
      <c r="L298" s="6">
        <v>0.33333333333333298</v>
      </c>
      <c r="M298" s="6">
        <v>0.33333333333333298</v>
      </c>
      <c r="N298" s="3" t="s">
        <v>58</v>
      </c>
      <c r="O298" s="3" t="s">
        <v>59</v>
      </c>
      <c r="P298" s="3" t="s">
        <v>567</v>
      </c>
      <c r="Q298" s="3" t="s">
        <v>2172</v>
      </c>
      <c r="R298" s="3" t="s">
        <v>1074</v>
      </c>
      <c r="S298" s="3" t="s">
        <v>1006</v>
      </c>
      <c r="T298" s="3" t="s">
        <v>1007</v>
      </c>
      <c r="U298" s="11" t="s">
        <v>2173</v>
      </c>
      <c r="V298" s="11" t="s">
        <v>1031</v>
      </c>
      <c r="W298" s="11" t="s">
        <v>1032</v>
      </c>
      <c r="X298" s="13">
        <v>0.7</v>
      </c>
      <c r="Y298" s="12"/>
      <c r="Z298" s="11"/>
      <c r="AA298" s="11"/>
      <c r="AB298" s="11"/>
      <c r="AC298" s="11">
        <v>0</v>
      </c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 t="s">
        <v>1019</v>
      </c>
      <c r="AO298" s="11" t="s">
        <v>2174</v>
      </c>
      <c r="AP298" s="11" t="s">
        <v>1021</v>
      </c>
      <c r="AQ298" s="11" t="s">
        <v>2175</v>
      </c>
      <c r="AR298" s="11" t="s">
        <v>1050</v>
      </c>
      <c r="AS298" s="11" t="s">
        <v>2176</v>
      </c>
      <c r="AT298" s="11" t="s">
        <v>1050</v>
      </c>
      <c r="AU298" s="11" t="s">
        <v>2175</v>
      </c>
      <c r="AV298" s="11" t="s">
        <v>2176</v>
      </c>
      <c r="AW298" s="12">
        <v>0</v>
      </c>
      <c r="AX298" s="12">
        <v>1</v>
      </c>
      <c r="AY298" s="12">
        <v>1</v>
      </c>
      <c r="AZ298" s="12">
        <v>1</v>
      </c>
      <c r="BA298" s="12">
        <v>1</v>
      </c>
      <c r="BB298" s="12">
        <v>1</v>
      </c>
      <c r="BC298" s="12">
        <v>1</v>
      </c>
      <c r="BD298" s="11" t="s">
        <v>1026</v>
      </c>
      <c r="BE298" s="11" t="s">
        <v>1103</v>
      </c>
    </row>
    <row r="299" spans="1:57" s="8" customFormat="1" ht="72.5" x14ac:dyDescent="0.35">
      <c r="A299" s="7" t="s">
        <v>398</v>
      </c>
      <c r="B299" s="7" t="s">
        <v>399</v>
      </c>
      <c r="C299" s="3" t="s">
        <v>568</v>
      </c>
      <c r="D299" s="3" t="s">
        <v>221</v>
      </c>
      <c r="E299" s="3"/>
      <c r="F299" s="3" t="s">
        <v>31</v>
      </c>
      <c r="G299" s="3" t="s">
        <v>50</v>
      </c>
      <c r="H299" s="4">
        <v>389</v>
      </c>
      <c r="I299" s="4">
        <v>500</v>
      </c>
      <c r="J299" s="3" t="s">
        <v>74</v>
      </c>
      <c r="K299" s="4" t="b">
        <v>0</v>
      </c>
      <c r="L299" s="6">
        <v>0.5</v>
      </c>
      <c r="M299" s="6">
        <v>0.33333333333333298</v>
      </c>
      <c r="N299" s="3" t="s">
        <v>243</v>
      </c>
      <c r="O299" s="3" t="s">
        <v>244</v>
      </c>
      <c r="P299" s="3" t="s">
        <v>569</v>
      </c>
      <c r="Q299" s="3" t="s">
        <v>2177</v>
      </c>
      <c r="R299" s="3" t="s">
        <v>1029</v>
      </c>
      <c r="S299" s="3" t="s">
        <v>1006</v>
      </c>
      <c r="T299" s="3" t="s">
        <v>1007</v>
      </c>
      <c r="U299" s="11" t="s">
        <v>2178</v>
      </c>
      <c r="V299" s="11" t="s">
        <v>1064</v>
      </c>
      <c r="W299" s="11" t="s">
        <v>1065</v>
      </c>
      <c r="X299" s="13">
        <v>1</v>
      </c>
      <c r="Y299" s="12"/>
      <c r="Z299" s="11"/>
      <c r="AA299" s="11"/>
      <c r="AB299" s="11"/>
      <c r="AC299" s="11">
        <v>0</v>
      </c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 t="s">
        <v>1019</v>
      </c>
      <c r="AO299" s="11" t="s">
        <v>1688</v>
      </c>
      <c r="AP299" s="11" t="s">
        <v>1021</v>
      </c>
      <c r="AQ299" s="11" t="s">
        <v>1689</v>
      </c>
      <c r="AR299" s="11" t="s">
        <v>1023</v>
      </c>
      <c r="AS299" s="11" t="s">
        <v>1690</v>
      </c>
      <c r="AT299" s="11" t="s">
        <v>1025</v>
      </c>
      <c r="AU299" s="11" t="s">
        <v>1691</v>
      </c>
      <c r="AV299" s="11" t="s">
        <v>1690</v>
      </c>
      <c r="AW299" s="12">
        <v>2</v>
      </c>
      <c r="AX299" s="12">
        <v>3</v>
      </c>
      <c r="AY299" s="12">
        <v>2</v>
      </c>
      <c r="AZ299" s="12">
        <v>2</v>
      </c>
      <c r="BA299" s="12">
        <v>3</v>
      </c>
      <c r="BB299" s="12">
        <v>3</v>
      </c>
      <c r="BC299" s="12">
        <v>1</v>
      </c>
      <c r="BD299" s="11" t="s">
        <v>1026</v>
      </c>
      <c r="BE299" s="11" t="s">
        <v>1027</v>
      </c>
    </row>
    <row r="300" spans="1:57" s="8" customFormat="1" ht="72.5" x14ac:dyDescent="0.35">
      <c r="A300" s="7" t="s">
        <v>398</v>
      </c>
      <c r="B300" s="7" t="s">
        <v>399</v>
      </c>
      <c r="C300" s="3" t="s">
        <v>570</v>
      </c>
      <c r="D300" s="3" t="s">
        <v>130</v>
      </c>
      <c r="E300" s="3" t="s">
        <v>130</v>
      </c>
      <c r="F300" s="3" t="s">
        <v>24</v>
      </c>
      <c r="G300" s="3" t="s">
        <v>25</v>
      </c>
      <c r="H300" s="4">
        <v>1189</v>
      </c>
      <c r="I300" s="4">
        <v>400</v>
      </c>
      <c r="J300" s="3" t="s">
        <v>26</v>
      </c>
      <c r="K300" s="4" t="b">
        <v>1</v>
      </c>
      <c r="L300" s="6">
        <v>1</v>
      </c>
      <c r="M300" s="6">
        <v>1</v>
      </c>
      <c r="N300" s="3" t="s">
        <v>131</v>
      </c>
      <c r="O300" s="3"/>
      <c r="P300" s="3" t="s">
        <v>571</v>
      </c>
      <c r="Q300" s="3" t="s">
        <v>2179</v>
      </c>
      <c r="R300" s="3" t="s">
        <v>1029</v>
      </c>
      <c r="S300" s="3" t="s">
        <v>1006</v>
      </c>
      <c r="T300" s="3" t="s">
        <v>1007</v>
      </c>
      <c r="U300" s="11" t="s">
        <v>2180</v>
      </c>
      <c r="V300" s="11" t="s">
        <v>1096</v>
      </c>
      <c r="W300" s="11" t="s">
        <v>1097</v>
      </c>
      <c r="X300" s="13">
        <v>0.7</v>
      </c>
      <c r="Y300" s="12"/>
      <c r="Z300" s="11" t="s">
        <v>2181</v>
      </c>
      <c r="AA300" s="11"/>
      <c r="AB300" s="11"/>
      <c r="AC300" s="11">
        <v>0</v>
      </c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 t="s">
        <v>1019</v>
      </c>
      <c r="AO300" s="11" t="s">
        <v>1821</v>
      </c>
      <c r="AP300" s="11" t="s">
        <v>1114</v>
      </c>
      <c r="AQ300" s="11"/>
      <c r="AR300" s="11" t="s">
        <v>1034</v>
      </c>
      <c r="AS300" s="11"/>
      <c r="AT300" s="11" t="s">
        <v>1034</v>
      </c>
      <c r="AU300" s="11"/>
      <c r="AV300" s="11"/>
      <c r="AW300" s="12">
        <v>1</v>
      </c>
      <c r="AX300" s="12">
        <v>1</v>
      </c>
      <c r="AY300" s="12">
        <v>1</v>
      </c>
      <c r="AZ300" s="12"/>
      <c r="BA300" s="12"/>
      <c r="BB300" s="12"/>
      <c r="BC300" s="12"/>
      <c r="BD300" s="11" t="s">
        <v>1115</v>
      </c>
      <c r="BE300" s="11" t="s">
        <v>1116</v>
      </c>
    </row>
    <row r="301" spans="1:57" s="8" customFormat="1" ht="43.5" x14ac:dyDescent="0.35">
      <c r="A301" s="7" t="s">
        <v>398</v>
      </c>
      <c r="B301" s="7" t="s">
        <v>399</v>
      </c>
      <c r="C301" s="3" t="s">
        <v>572</v>
      </c>
      <c r="D301" s="3" t="s">
        <v>221</v>
      </c>
      <c r="E301" s="3"/>
      <c r="F301" s="3" t="s">
        <v>31</v>
      </c>
      <c r="G301" s="3" t="s">
        <v>50</v>
      </c>
      <c r="H301" s="4">
        <v>737</v>
      </c>
      <c r="I301" s="4">
        <v>500</v>
      </c>
      <c r="J301" s="3" t="s">
        <v>26</v>
      </c>
      <c r="K301" s="4" t="b">
        <v>0</v>
      </c>
      <c r="L301" s="6">
        <v>0.5</v>
      </c>
      <c r="M301" s="6">
        <v>0.33333333333333298</v>
      </c>
      <c r="N301" s="3" t="s">
        <v>243</v>
      </c>
      <c r="O301" s="3" t="s">
        <v>244</v>
      </c>
      <c r="P301" s="3" t="s">
        <v>573</v>
      </c>
      <c r="Q301" s="3" t="s">
        <v>2182</v>
      </c>
      <c r="R301" s="3" t="s">
        <v>1029</v>
      </c>
      <c r="S301" s="3" t="s">
        <v>1006</v>
      </c>
      <c r="T301" s="3" t="s">
        <v>1007</v>
      </c>
      <c r="U301" s="11" t="s">
        <v>2183</v>
      </c>
      <c r="V301" s="11" t="s">
        <v>1031</v>
      </c>
      <c r="W301" s="11" t="s">
        <v>1032</v>
      </c>
      <c r="X301" s="13">
        <v>0.7</v>
      </c>
      <c r="Y301" s="12"/>
      <c r="Z301" s="11"/>
      <c r="AA301" s="11"/>
      <c r="AB301" s="11"/>
      <c r="AC301" s="11">
        <v>0</v>
      </c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 t="s">
        <v>1019</v>
      </c>
      <c r="AO301" s="11" t="s">
        <v>1542</v>
      </c>
      <c r="AP301" s="11" t="s">
        <v>1021</v>
      </c>
      <c r="AQ301" s="11" t="s">
        <v>1543</v>
      </c>
      <c r="AR301" s="11" t="s">
        <v>1050</v>
      </c>
      <c r="AS301" s="11" t="s">
        <v>1544</v>
      </c>
      <c r="AT301" s="11" t="s">
        <v>1050</v>
      </c>
      <c r="AU301" s="11" t="s">
        <v>1543</v>
      </c>
      <c r="AV301" s="11" t="s">
        <v>1544</v>
      </c>
      <c r="AW301" s="12">
        <v>1</v>
      </c>
      <c r="AX301" s="12">
        <v>1</v>
      </c>
      <c r="AY301" s="12">
        <v>1</v>
      </c>
      <c r="AZ301" s="12">
        <v>1</v>
      </c>
      <c r="BA301" s="12">
        <v>1</v>
      </c>
      <c r="BB301" s="12">
        <v>1</v>
      </c>
      <c r="BC301" s="12">
        <v>1</v>
      </c>
      <c r="BD301" s="11" t="s">
        <v>1026</v>
      </c>
      <c r="BE301" s="11" t="s">
        <v>1103</v>
      </c>
    </row>
    <row r="302" spans="1:57" s="8" customFormat="1" ht="58" x14ac:dyDescent="0.35">
      <c r="A302" s="7" t="s">
        <v>398</v>
      </c>
      <c r="B302" s="7" t="s">
        <v>399</v>
      </c>
      <c r="C302" s="3" t="s">
        <v>574</v>
      </c>
      <c r="D302" s="3" t="s">
        <v>57</v>
      </c>
      <c r="E302" s="3"/>
      <c r="F302" s="3" t="s">
        <v>53</v>
      </c>
      <c r="G302" s="3" t="s">
        <v>50</v>
      </c>
      <c r="H302" s="4">
        <v>357</v>
      </c>
      <c r="I302" s="4">
        <v>300</v>
      </c>
      <c r="J302" s="3" t="s">
        <v>26</v>
      </c>
      <c r="K302" s="4" t="b">
        <v>0</v>
      </c>
      <c r="L302" s="6">
        <v>0.33333333333333298</v>
      </c>
      <c r="M302" s="6">
        <v>0.33333333333333298</v>
      </c>
      <c r="N302" s="3" t="s">
        <v>58</v>
      </c>
      <c r="O302" s="3" t="s">
        <v>59</v>
      </c>
      <c r="P302" s="3" t="s">
        <v>575</v>
      </c>
      <c r="Q302" s="3" t="s">
        <v>1660</v>
      </c>
      <c r="R302" s="3" t="s">
        <v>1074</v>
      </c>
      <c r="S302" s="3" t="s">
        <v>1006</v>
      </c>
      <c r="T302" s="3" t="s">
        <v>1007</v>
      </c>
      <c r="U302" s="11" t="s">
        <v>2184</v>
      </c>
      <c r="V302" s="11" t="s">
        <v>1031</v>
      </c>
      <c r="W302" s="11" t="s">
        <v>1032</v>
      </c>
      <c r="X302" s="13">
        <v>0.7</v>
      </c>
      <c r="Y302" s="12"/>
      <c r="Z302" s="11"/>
      <c r="AA302" s="11"/>
      <c r="AB302" s="11"/>
      <c r="AC302" s="11">
        <v>0</v>
      </c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 t="s">
        <v>1019</v>
      </c>
      <c r="AO302" s="11" t="s">
        <v>1662</v>
      </c>
      <c r="AP302" s="11" t="s">
        <v>1021</v>
      </c>
      <c r="AQ302" s="11" t="s">
        <v>1663</v>
      </c>
      <c r="AR302" s="11" t="s">
        <v>1048</v>
      </c>
      <c r="AS302" s="11" t="s">
        <v>1664</v>
      </c>
      <c r="AT302" s="11" t="s">
        <v>1050</v>
      </c>
      <c r="AU302" s="11" t="s">
        <v>1663</v>
      </c>
      <c r="AV302" s="11" t="s">
        <v>1664</v>
      </c>
      <c r="AW302" s="12">
        <v>1</v>
      </c>
      <c r="AX302" s="12">
        <v>1</v>
      </c>
      <c r="AY302" s="12">
        <v>1</v>
      </c>
      <c r="AZ302" s="12">
        <v>1</v>
      </c>
      <c r="BA302" s="12">
        <v>2</v>
      </c>
      <c r="BB302" s="12">
        <v>1</v>
      </c>
      <c r="BC302" s="12">
        <v>1</v>
      </c>
      <c r="BD302" s="11" t="s">
        <v>1026</v>
      </c>
      <c r="BE302" s="11" t="s">
        <v>1051</v>
      </c>
    </row>
    <row r="303" spans="1:57" s="8" customFormat="1" ht="58" x14ac:dyDescent="0.35">
      <c r="A303" s="7" t="s">
        <v>398</v>
      </c>
      <c r="B303" s="7" t="s">
        <v>399</v>
      </c>
      <c r="C303" s="3" t="s">
        <v>574</v>
      </c>
      <c r="D303" s="3" t="s">
        <v>98</v>
      </c>
      <c r="E303" s="3"/>
      <c r="F303" s="3" t="s">
        <v>53</v>
      </c>
      <c r="G303" s="3" t="s">
        <v>50</v>
      </c>
      <c r="H303" s="4">
        <v>357</v>
      </c>
      <c r="I303" s="4">
        <v>300</v>
      </c>
      <c r="J303" s="3" t="s">
        <v>26</v>
      </c>
      <c r="K303" s="4" t="b">
        <v>0</v>
      </c>
      <c r="L303" s="6">
        <v>0.5</v>
      </c>
      <c r="M303" s="6">
        <v>0.5</v>
      </c>
      <c r="N303" s="3" t="s">
        <v>58</v>
      </c>
      <c r="O303" s="3" t="s">
        <v>99</v>
      </c>
      <c r="P303" s="3" t="s">
        <v>575</v>
      </c>
      <c r="Q303" s="3" t="s">
        <v>1660</v>
      </c>
      <c r="R303" s="3" t="s">
        <v>1074</v>
      </c>
      <c r="S303" s="3" t="s">
        <v>1006</v>
      </c>
      <c r="T303" s="3" t="s">
        <v>1007</v>
      </c>
      <c r="U303" s="11" t="s">
        <v>2184</v>
      </c>
      <c r="V303" s="11" t="s">
        <v>1031</v>
      </c>
      <c r="W303" s="11" t="s">
        <v>1032</v>
      </c>
      <c r="X303" s="13">
        <v>0.7</v>
      </c>
      <c r="Y303" s="12"/>
      <c r="Z303" s="11"/>
      <c r="AA303" s="11"/>
      <c r="AB303" s="11"/>
      <c r="AC303" s="11">
        <v>0</v>
      </c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 t="s">
        <v>1019</v>
      </c>
      <c r="AO303" s="11" t="s">
        <v>1662</v>
      </c>
      <c r="AP303" s="11" t="s">
        <v>1021</v>
      </c>
      <c r="AQ303" s="11" t="s">
        <v>1663</v>
      </c>
      <c r="AR303" s="11" t="s">
        <v>1048</v>
      </c>
      <c r="AS303" s="11" t="s">
        <v>1664</v>
      </c>
      <c r="AT303" s="11" t="s">
        <v>1050</v>
      </c>
      <c r="AU303" s="11" t="s">
        <v>1663</v>
      </c>
      <c r="AV303" s="11" t="s">
        <v>1664</v>
      </c>
      <c r="AW303" s="12">
        <v>1</v>
      </c>
      <c r="AX303" s="12">
        <v>1</v>
      </c>
      <c r="AY303" s="12">
        <v>1</v>
      </c>
      <c r="AZ303" s="12">
        <v>1</v>
      </c>
      <c r="BA303" s="12">
        <v>2</v>
      </c>
      <c r="BB303" s="12">
        <v>1</v>
      </c>
      <c r="BC303" s="12">
        <v>1</v>
      </c>
      <c r="BD303" s="11" t="s">
        <v>1026</v>
      </c>
      <c r="BE303" s="11" t="s">
        <v>1051</v>
      </c>
    </row>
    <row r="304" spans="1:57" s="8" customFormat="1" ht="43.5" x14ac:dyDescent="0.35">
      <c r="A304" s="7" t="s">
        <v>398</v>
      </c>
      <c r="B304" s="7" t="s">
        <v>399</v>
      </c>
      <c r="C304" s="3" t="s">
        <v>576</v>
      </c>
      <c r="D304" s="3" t="s">
        <v>52</v>
      </c>
      <c r="E304" s="3"/>
      <c r="F304" s="3" t="s">
        <v>53</v>
      </c>
      <c r="G304" s="3" t="s">
        <v>50</v>
      </c>
      <c r="H304" s="4">
        <v>631</v>
      </c>
      <c r="I304" s="4">
        <v>500</v>
      </c>
      <c r="J304" s="3" t="s">
        <v>26</v>
      </c>
      <c r="K304" s="4" t="b">
        <v>0</v>
      </c>
      <c r="L304" s="6">
        <v>0.33333333333333298</v>
      </c>
      <c r="M304" s="6">
        <v>0.33333333333333298</v>
      </c>
      <c r="N304" s="3" t="s">
        <v>54</v>
      </c>
      <c r="O304" s="3" t="s">
        <v>55</v>
      </c>
      <c r="P304" s="3" t="s">
        <v>577</v>
      </c>
      <c r="Q304" s="3" t="s">
        <v>2185</v>
      </c>
      <c r="R304" s="3" t="s">
        <v>2186</v>
      </c>
      <c r="S304" s="3" t="s">
        <v>2187</v>
      </c>
      <c r="T304" s="3" t="s">
        <v>1007</v>
      </c>
      <c r="U304" s="11" t="s">
        <v>2188</v>
      </c>
      <c r="V304" s="11" t="s">
        <v>1096</v>
      </c>
      <c r="W304" s="11" t="s">
        <v>1097</v>
      </c>
      <c r="X304" s="13">
        <v>0.62</v>
      </c>
      <c r="Y304" s="12"/>
      <c r="Z304" s="11" t="s">
        <v>2189</v>
      </c>
      <c r="AA304" s="11"/>
      <c r="AB304" s="11"/>
      <c r="AC304" s="11">
        <v>0</v>
      </c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 t="s">
        <v>1019</v>
      </c>
      <c r="AO304" s="11" t="s">
        <v>1547</v>
      </c>
      <c r="AP304" s="11" t="s">
        <v>1021</v>
      </c>
      <c r="AQ304" s="11" t="s">
        <v>1548</v>
      </c>
      <c r="AR304" s="11" t="s">
        <v>1050</v>
      </c>
      <c r="AS304" s="11" t="s">
        <v>1549</v>
      </c>
      <c r="AT304" s="11" t="s">
        <v>1050</v>
      </c>
      <c r="AU304" s="11" t="s">
        <v>1548</v>
      </c>
      <c r="AV304" s="11" t="s">
        <v>1549</v>
      </c>
      <c r="AW304" s="12">
        <v>1</v>
      </c>
      <c r="AX304" s="12">
        <v>1</v>
      </c>
      <c r="AY304" s="12">
        <v>1</v>
      </c>
      <c r="AZ304" s="12">
        <v>1</v>
      </c>
      <c r="BA304" s="12">
        <v>1</v>
      </c>
      <c r="BB304" s="12">
        <v>1</v>
      </c>
      <c r="BC304" s="12">
        <v>1</v>
      </c>
      <c r="BD304" s="11" t="s">
        <v>1026</v>
      </c>
      <c r="BE304" s="11" t="s">
        <v>1103</v>
      </c>
    </row>
    <row r="305" spans="1:57" s="8" customFormat="1" ht="43.5" x14ac:dyDescent="0.35">
      <c r="A305" s="7" t="s">
        <v>398</v>
      </c>
      <c r="B305" s="7" t="s">
        <v>399</v>
      </c>
      <c r="C305" s="3" t="s">
        <v>576</v>
      </c>
      <c r="D305" s="3" t="s">
        <v>57</v>
      </c>
      <c r="E305" s="3"/>
      <c r="F305" s="3" t="s">
        <v>53</v>
      </c>
      <c r="G305" s="3" t="s">
        <v>50</v>
      </c>
      <c r="H305" s="4">
        <v>631</v>
      </c>
      <c r="I305" s="4">
        <v>300</v>
      </c>
      <c r="J305" s="3" t="s">
        <v>26</v>
      </c>
      <c r="K305" s="4" t="b">
        <v>0</v>
      </c>
      <c r="L305" s="6">
        <v>0.33333333333333298</v>
      </c>
      <c r="M305" s="6">
        <v>0.33333333333333298</v>
      </c>
      <c r="N305" s="3" t="s">
        <v>58</v>
      </c>
      <c r="O305" s="3" t="s">
        <v>59</v>
      </c>
      <c r="P305" s="3" t="s">
        <v>577</v>
      </c>
      <c r="Q305" s="3" t="s">
        <v>2185</v>
      </c>
      <c r="R305" s="3" t="s">
        <v>2186</v>
      </c>
      <c r="S305" s="3" t="s">
        <v>2187</v>
      </c>
      <c r="T305" s="3" t="s">
        <v>1007</v>
      </c>
      <c r="U305" s="11" t="s">
        <v>2188</v>
      </c>
      <c r="V305" s="11" t="s">
        <v>1096</v>
      </c>
      <c r="W305" s="11" t="s">
        <v>1097</v>
      </c>
      <c r="X305" s="13">
        <v>0.62</v>
      </c>
      <c r="Y305" s="12"/>
      <c r="Z305" s="11" t="s">
        <v>2189</v>
      </c>
      <c r="AA305" s="11"/>
      <c r="AB305" s="11"/>
      <c r="AC305" s="11">
        <v>0</v>
      </c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 t="s">
        <v>1019</v>
      </c>
      <c r="AO305" s="11" t="s">
        <v>1547</v>
      </c>
      <c r="AP305" s="11" t="s">
        <v>1021</v>
      </c>
      <c r="AQ305" s="11" t="s">
        <v>1548</v>
      </c>
      <c r="AR305" s="11" t="s">
        <v>1050</v>
      </c>
      <c r="AS305" s="11" t="s">
        <v>1549</v>
      </c>
      <c r="AT305" s="11" t="s">
        <v>1050</v>
      </c>
      <c r="AU305" s="11" t="s">
        <v>1548</v>
      </c>
      <c r="AV305" s="11" t="s">
        <v>1549</v>
      </c>
      <c r="AW305" s="12">
        <v>1</v>
      </c>
      <c r="AX305" s="12">
        <v>1</v>
      </c>
      <c r="AY305" s="12">
        <v>1</v>
      </c>
      <c r="AZ305" s="12">
        <v>1</v>
      </c>
      <c r="BA305" s="12">
        <v>1</v>
      </c>
      <c r="BB305" s="12">
        <v>1</v>
      </c>
      <c r="BC305" s="12">
        <v>1</v>
      </c>
      <c r="BD305" s="11" t="s">
        <v>1026</v>
      </c>
      <c r="BE305" s="11" t="s">
        <v>1103</v>
      </c>
    </row>
    <row r="306" spans="1:57" s="8" customFormat="1" ht="43.5" x14ac:dyDescent="0.35">
      <c r="A306" s="7" t="s">
        <v>398</v>
      </c>
      <c r="B306" s="7" t="s">
        <v>399</v>
      </c>
      <c r="C306" s="3" t="s">
        <v>576</v>
      </c>
      <c r="D306" s="3" t="s">
        <v>98</v>
      </c>
      <c r="E306" s="3"/>
      <c r="F306" s="3" t="s">
        <v>53</v>
      </c>
      <c r="G306" s="3" t="s">
        <v>50</v>
      </c>
      <c r="H306" s="4">
        <v>631</v>
      </c>
      <c r="I306" s="4">
        <v>300</v>
      </c>
      <c r="J306" s="3" t="s">
        <v>26</v>
      </c>
      <c r="K306" s="4" t="b">
        <v>0</v>
      </c>
      <c r="L306" s="6">
        <v>0.5</v>
      </c>
      <c r="M306" s="6">
        <v>0.5</v>
      </c>
      <c r="N306" s="3" t="s">
        <v>58</v>
      </c>
      <c r="O306" s="3" t="s">
        <v>99</v>
      </c>
      <c r="P306" s="3" t="s">
        <v>577</v>
      </c>
      <c r="Q306" s="3" t="s">
        <v>2185</v>
      </c>
      <c r="R306" s="3" t="s">
        <v>2186</v>
      </c>
      <c r="S306" s="3" t="s">
        <v>2187</v>
      </c>
      <c r="T306" s="3" t="s">
        <v>1007</v>
      </c>
      <c r="U306" s="11" t="s">
        <v>2188</v>
      </c>
      <c r="V306" s="11" t="s">
        <v>1096</v>
      </c>
      <c r="W306" s="11" t="s">
        <v>1097</v>
      </c>
      <c r="X306" s="13">
        <v>0.62</v>
      </c>
      <c r="Y306" s="12"/>
      <c r="Z306" s="11" t="s">
        <v>2189</v>
      </c>
      <c r="AA306" s="11"/>
      <c r="AB306" s="11"/>
      <c r="AC306" s="11">
        <v>0</v>
      </c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 t="s">
        <v>1019</v>
      </c>
      <c r="AO306" s="11" t="s">
        <v>1547</v>
      </c>
      <c r="AP306" s="11" t="s">
        <v>1021</v>
      </c>
      <c r="AQ306" s="11" t="s">
        <v>1548</v>
      </c>
      <c r="AR306" s="11" t="s">
        <v>1050</v>
      </c>
      <c r="AS306" s="11" t="s">
        <v>1549</v>
      </c>
      <c r="AT306" s="11" t="s">
        <v>1050</v>
      </c>
      <c r="AU306" s="11" t="s">
        <v>1548</v>
      </c>
      <c r="AV306" s="11" t="s">
        <v>1549</v>
      </c>
      <c r="AW306" s="12">
        <v>1</v>
      </c>
      <c r="AX306" s="12">
        <v>1</v>
      </c>
      <c r="AY306" s="12">
        <v>1</v>
      </c>
      <c r="AZ306" s="12">
        <v>1</v>
      </c>
      <c r="BA306" s="12">
        <v>1</v>
      </c>
      <c r="BB306" s="12">
        <v>1</v>
      </c>
      <c r="BC306" s="12">
        <v>1</v>
      </c>
      <c r="BD306" s="11" t="s">
        <v>1026</v>
      </c>
      <c r="BE306" s="11" t="s">
        <v>1103</v>
      </c>
    </row>
    <row r="307" spans="1:57" s="8" customFormat="1" ht="58" x14ac:dyDescent="0.35">
      <c r="A307" s="7" t="s">
        <v>398</v>
      </c>
      <c r="B307" s="7" t="s">
        <v>399</v>
      </c>
      <c r="C307" s="3" t="s">
        <v>578</v>
      </c>
      <c r="D307" s="3" t="s">
        <v>172</v>
      </c>
      <c r="E307" s="3"/>
      <c r="F307" s="3" t="s">
        <v>31</v>
      </c>
      <c r="G307" s="3" t="s">
        <v>50</v>
      </c>
      <c r="H307" s="4">
        <v>509</v>
      </c>
      <c r="I307" s="4">
        <v>90</v>
      </c>
      <c r="J307" s="3" t="s">
        <v>26</v>
      </c>
      <c r="K307" s="4" t="b">
        <v>1</v>
      </c>
      <c r="L307" s="6">
        <v>1</v>
      </c>
      <c r="M307" s="6">
        <v>1</v>
      </c>
      <c r="N307" s="3" t="s">
        <v>173</v>
      </c>
      <c r="O307" s="3"/>
      <c r="P307" s="3" t="s">
        <v>579</v>
      </c>
      <c r="Q307" s="3" t="s">
        <v>2190</v>
      </c>
      <c r="R307" s="3" t="s">
        <v>1029</v>
      </c>
      <c r="S307" s="3" t="s">
        <v>1006</v>
      </c>
      <c r="T307" s="3" t="s">
        <v>1007</v>
      </c>
      <c r="U307" s="11" t="s">
        <v>2191</v>
      </c>
      <c r="V307" s="11" t="s">
        <v>1031</v>
      </c>
      <c r="W307" s="11" t="s">
        <v>1032</v>
      </c>
      <c r="X307" s="13">
        <v>0.7</v>
      </c>
      <c r="Y307" s="12"/>
      <c r="Z307" s="11"/>
      <c r="AA307" s="11"/>
      <c r="AB307" s="11"/>
      <c r="AC307" s="11">
        <v>0</v>
      </c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 t="s">
        <v>1019</v>
      </c>
      <c r="AO307" s="11" t="s">
        <v>1656</v>
      </c>
      <c r="AP307" s="11" t="s">
        <v>1021</v>
      </c>
      <c r="AQ307" s="11" t="s">
        <v>1657</v>
      </c>
      <c r="AR307" s="11" t="s">
        <v>1048</v>
      </c>
      <c r="AS307" s="11" t="s">
        <v>1658</v>
      </c>
      <c r="AT307" s="11" t="s">
        <v>1025</v>
      </c>
      <c r="AU307" s="11" t="s">
        <v>1659</v>
      </c>
      <c r="AV307" s="11" t="s">
        <v>1658</v>
      </c>
      <c r="AW307" s="12">
        <v>1</v>
      </c>
      <c r="AX307" s="12">
        <v>2</v>
      </c>
      <c r="AY307" s="12">
        <v>1</v>
      </c>
      <c r="AZ307" s="12">
        <v>1</v>
      </c>
      <c r="BA307" s="12">
        <v>2</v>
      </c>
      <c r="BB307" s="12">
        <v>2</v>
      </c>
      <c r="BC307" s="12">
        <v>1</v>
      </c>
      <c r="BD307" s="11" t="s">
        <v>1026</v>
      </c>
      <c r="BE307" s="11" t="s">
        <v>1027</v>
      </c>
    </row>
    <row r="308" spans="1:57" s="8" customFormat="1" ht="116" x14ac:dyDescent="0.35">
      <c r="A308" s="7" t="s">
        <v>398</v>
      </c>
      <c r="B308" s="7" t="s">
        <v>399</v>
      </c>
      <c r="C308" s="3" t="s">
        <v>580</v>
      </c>
      <c r="D308" s="3" t="s">
        <v>52</v>
      </c>
      <c r="E308" s="3" t="s">
        <v>52</v>
      </c>
      <c r="F308" s="3" t="s">
        <v>53</v>
      </c>
      <c r="G308" s="3" t="s">
        <v>25</v>
      </c>
      <c r="H308" s="4">
        <v>882</v>
      </c>
      <c r="I308" s="4">
        <v>500</v>
      </c>
      <c r="J308" s="3" t="s">
        <v>26</v>
      </c>
      <c r="K308" s="4" t="b">
        <v>0</v>
      </c>
      <c r="L308" s="6">
        <v>0.66666666666666596</v>
      </c>
      <c r="M308" s="6">
        <v>0.66666666666666596</v>
      </c>
      <c r="N308" s="3" t="s">
        <v>581</v>
      </c>
      <c r="O308" s="3" t="s">
        <v>582</v>
      </c>
      <c r="P308" s="3" t="s">
        <v>583</v>
      </c>
      <c r="Q308" s="3" t="s">
        <v>2192</v>
      </c>
      <c r="R308" s="3" t="s">
        <v>1029</v>
      </c>
      <c r="S308" s="3" t="s">
        <v>1006</v>
      </c>
      <c r="T308" s="3" t="s">
        <v>1007</v>
      </c>
      <c r="U308" s="11" t="s">
        <v>2193</v>
      </c>
      <c r="V308" s="11" t="s">
        <v>1064</v>
      </c>
      <c r="W308" s="11" t="s">
        <v>1065</v>
      </c>
      <c r="X308" s="13">
        <v>1</v>
      </c>
      <c r="Y308" s="12"/>
      <c r="Z308" s="11"/>
      <c r="AA308" s="11"/>
      <c r="AB308" s="11"/>
      <c r="AC308" s="11">
        <v>9</v>
      </c>
      <c r="AD308" s="11" t="s">
        <v>2194</v>
      </c>
      <c r="AE308" s="11" t="s">
        <v>2195</v>
      </c>
      <c r="AF308" s="11" t="s">
        <v>1014</v>
      </c>
      <c r="AG308" s="11" t="s">
        <v>1015</v>
      </c>
      <c r="AH308" s="11" t="s">
        <v>1078</v>
      </c>
      <c r="AI308" s="11" t="s">
        <v>1016</v>
      </c>
      <c r="AJ308" s="11"/>
      <c r="AK308" s="11" t="s">
        <v>2196</v>
      </c>
      <c r="AL308" s="11" t="s">
        <v>1017</v>
      </c>
      <c r="AM308" s="11" t="s">
        <v>2197</v>
      </c>
      <c r="AN308" s="11" t="s">
        <v>1019</v>
      </c>
      <c r="AO308" s="11" t="s">
        <v>1215</v>
      </c>
      <c r="AP308" s="11" t="s">
        <v>1021</v>
      </c>
      <c r="AQ308" s="11" t="s">
        <v>1216</v>
      </c>
      <c r="AR308" s="11" t="s">
        <v>1048</v>
      </c>
      <c r="AS308" s="11" t="s">
        <v>1217</v>
      </c>
      <c r="AT308" s="11" t="s">
        <v>1050</v>
      </c>
      <c r="AU308" s="11" t="s">
        <v>1216</v>
      </c>
      <c r="AV308" s="11" t="s">
        <v>1217</v>
      </c>
      <c r="AW308" s="12">
        <v>1</v>
      </c>
      <c r="AX308" s="12">
        <v>1</v>
      </c>
      <c r="AY308" s="12">
        <v>1</v>
      </c>
      <c r="AZ308" s="12">
        <v>1</v>
      </c>
      <c r="BA308" s="12">
        <v>3</v>
      </c>
      <c r="BB308" s="12">
        <v>1</v>
      </c>
      <c r="BC308" s="12">
        <v>1</v>
      </c>
      <c r="BD308" s="11" t="s">
        <v>1026</v>
      </c>
      <c r="BE308" s="11" t="s">
        <v>1051</v>
      </c>
    </row>
    <row r="309" spans="1:57" s="8" customFormat="1" ht="58" x14ac:dyDescent="0.35">
      <c r="A309" s="7" t="s">
        <v>398</v>
      </c>
      <c r="B309" s="7" t="s">
        <v>399</v>
      </c>
      <c r="C309" s="3" t="s">
        <v>580</v>
      </c>
      <c r="D309" s="3" t="s">
        <v>57</v>
      </c>
      <c r="E309" s="3"/>
      <c r="F309" s="3" t="s">
        <v>53</v>
      </c>
      <c r="G309" s="3" t="s">
        <v>50</v>
      </c>
      <c r="H309" s="4">
        <v>882</v>
      </c>
      <c r="I309" s="4">
        <v>300</v>
      </c>
      <c r="J309" s="3" t="s">
        <v>26</v>
      </c>
      <c r="K309" s="4" t="b">
        <v>0</v>
      </c>
      <c r="L309" s="6">
        <v>0.33333333333333298</v>
      </c>
      <c r="M309" s="6">
        <v>0.33333333333333298</v>
      </c>
      <c r="N309" s="3" t="s">
        <v>58</v>
      </c>
      <c r="O309" s="3" t="s">
        <v>59</v>
      </c>
      <c r="P309" s="3" t="s">
        <v>583</v>
      </c>
      <c r="Q309" s="3" t="s">
        <v>2192</v>
      </c>
      <c r="R309" s="3" t="s">
        <v>1029</v>
      </c>
      <c r="S309" s="3" t="s">
        <v>1006</v>
      </c>
      <c r="T309" s="3" t="s">
        <v>1007</v>
      </c>
      <c r="U309" s="11" t="s">
        <v>2193</v>
      </c>
      <c r="V309" s="11" t="s">
        <v>1064</v>
      </c>
      <c r="W309" s="11" t="s">
        <v>1065</v>
      </c>
      <c r="X309" s="13">
        <v>1</v>
      </c>
      <c r="Y309" s="12"/>
      <c r="Z309" s="11"/>
      <c r="AA309" s="11"/>
      <c r="AB309" s="11"/>
      <c r="AC309" s="11">
        <v>0</v>
      </c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 t="s">
        <v>1019</v>
      </c>
      <c r="AO309" s="11" t="s">
        <v>1215</v>
      </c>
      <c r="AP309" s="11" t="s">
        <v>1021</v>
      </c>
      <c r="AQ309" s="11" t="s">
        <v>1216</v>
      </c>
      <c r="AR309" s="11" t="s">
        <v>1048</v>
      </c>
      <c r="AS309" s="11" t="s">
        <v>1217</v>
      </c>
      <c r="AT309" s="11" t="s">
        <v>1050</v>
      </c>
      <c r="AU309" s="11" t="s">
        <v>1216</v>
      </c>
      <c r="AV309" s="11" t="s">
        <v>1217</v>
      </c>
      <c r="AW309" s="12">
        <v>1</v>
      </c>
      <c r="AX309" s="12">
        <v>1</v>
      </c>
      <c r="AY309" s="12">
        <v>1</v>
      </c>
      <c r="AZ309" s="12">
        <v>1</v>
      </c>
      <c r="BA309" s="12">
        <v>3</v>
      </c>
      <c r="BB309" s="12">
        <v>1</v>
      </c>
      <c r="BC309" s="12">
        <v>1</v>
      </c>
      <c r="BD309" s="11" t="s">
        <v>1026</v>
      </c>
      <c r="BE309" s="11" t="s">
        <v>1051</v>
      </c>
    </row>
    <row r="310" spans="1:57" s="8" customFormat="1" ht="58" x14ac:dyDescent="0.35">
      <c r="A310" s="7" t="s">
        <v>398</v>
      </c>
      <c r="B310" s="7" t="s">
        <v>399</v>
      </c>
      <c r="C310" s="3" t="s">
        <v>580</v>
      </c>
      <c r="D310" s="3" t="s">
        <v>98</v>
      </c>
      <c r="E310" s="3"/>
      <c r="F310" s="3" t="s">
        <v>53</v>
      </c>
      <c r="G310" s="3" t="s">
        <v>50</v>
      </c>
      <c r="H310" s="4">
        <v>882</v>
      </c>
      <c r="I310" s="4">
        <v>300</v>
      </c>
      <c r="J310" s="3" t="s">
        <v>26</v>
      </c>
      <c r="K310" s="4" t="b">
        <v>0</v>
      </c>
      <c r="L310" s="6">
        <v>0.5</v>
      </c>
      <c r="M310" s="6">
        <v>0.5</v>
      </c>
      <c r="N310" s="3" t="s">
        <v>58</v>
      </c>
      <c r="O310" s="3" t="s">
        <v>99</v>
      </c>
      <c r="P310" s="3" t="s">
        <v>583</v>
      </c>
      <c r="Q310" s="3" t="s">
        <v>2192</v>
      </c>
      <c r="R310" s="3" t="s">
        <v>1029</v>
      </c>
      <c r="S310" s="3" t="s">
        <v>1006</v>
      </c>
      <c r="T310" s="3" t="s">
        <v>1007</v>
      </c>
      <c r="U310" s="11" t="s">
        <v>2193</v>
      </c>
      <c r="V310" s="11" t="s">
        <v>1064</v>
      </c>
      <c r="W310" s="11" t="s">
        <v>1065</v>
      </c>
      <c r="X310" s="13">
        <v>1</v>
      </c>
      <c r="Y310" s="12"/>
      <c r="Z310" s="11"/>
      <c r="AA310" s="11"/>
      <c r="AB310" s="11"/>
      <c r="AC310" s="11">
        <v>0</v>
      </c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 t="s">
        <v>1019</v>
      </c>
      <c r="AO310" s="11" t="s">
        <v>1215</v>
      </c>
      <c r="AP310" s="11" t="s">
        <v>1021</v>
      </c>
      <c r="AQ310" s="11" t="s">
        <v>1216</v>
      </c>
      <c r="AR310" s="11" t="s">
        <v>1048</v>
      </c>
      <c r="AS310" s="11" t="s">
        <v>1217</v>
      </c>
      <c r="AT310" s="11" t="s">
        <v>1050</v>
      </c>
      <c r="AU310" s="11" t="s">
        <v>1216</v>
      </c>
      <c r="AV310" s="11" t="s">
        <v>1217</v>
      </c>
      <c r="AW310" s="12">
        <v>1</v>
      </c>
      <c r="AX310" s="12">
        <v>1</v>
      </c>
      <c r="AY310" s="12">
        <v>1</v>
      </c>
      <c r="AZ310" s="12">
        <v>1</v>
      </c>
      <c r="BA310" s="12">
        <v>3</v>
      </c>
      <c r="BB310" s="12">
        <v>1</v>
      </c>
      <c r="BC310" s="12">
        <v>1</v>
      </c>
      <c r="BD310" s="11" t="s">
        <v>1026</v>
      </c>
      <c r="BE310" s="11" t="s">
        <v>1051</v>
      </c>
    </row>
    <row r="311" spans="1:57" s="8" customFormat="1" ht="58" x14ac:dyDescent="0.35">
      <c r="A311" s="7" t="s">
        <v>398</v>
      </c>
      <c r="B311" s="7" t="s">
        <v>399</v>
      </c>
      <c r="C311" s="3" t="s">
        <v>584</v>
      </c>
      <c r="D311" s="3" t="s">
        <v>41</v>
      </c>
      <c r="E311" s="3" t="s">
        <v>41</v>
      </c>
      <c r="F311" s="3" t="s">
        <v>36</v>
      </c>
      <c r="G311" s="3" t="s">
        <v>25</v>
      </c>
      <c r="H311" s="4">
        <v>1327</v>
      </c>
      <c r="I311" s="4">
        <v>150</v>
      </c>
      <c r="J311" s="3" t="s">
        <v>26</v>
      </c>
      <c r="K311" s="4" t="b">
        <v>1</v>
      </c>
      <c r="L311" s="6">
        <v>1</v>
      </c>
      <c r="M311" s="6">
        <v>1</v>
      </c>
      <c r="N311" s="3" t="s">
        <v>42</v>
      </c>
      <c r="O311" s="3"/>
      <c r="P311" s="3" t="s">
        <v>585</v>
      </c>
      <c r="Q311" s="3" t="s">
        <v>2198</v>
      </c>
      <c r="R311" s="3" t="s">
        <v>1039</v>
      </c>
      <c r="S311" s="3" t="s">
        <v>2199</v>
      </c>
      <c r="T311" s="3" t="s">
        <v>2200</v>
      </c>
      <c r="U311" s="11" t="s">
        <v>2201</v>
      </c>
      <c r="V311" s="11" t="s">
        <v>1043</v>
      </c>
      <c r="W311" s="11" t="s">
        <v>1044</v>
      </c>
      <c r="X311" s="13">
        <v>0.7</v>
      </c>
      <c r="Y311" s="12"/>
      <c r="Z311" s="11"/>
      <c r="AA311" s="11"/>
      <c r="AB311" s="11"/>
      <c r="AC311" s="11">
        <v>1</v>
      </c>
      <c r="AD311" s="11" t="s">
        <v>1148</v>
      </c>
      <c r="AE311" s="11" t="s">
        <v>2202</v>
      </c>
      <c r="AF311" s="11" t="s">
        <v>1014</v>
      </c>
      <c r="AG311" s="11" t="s">
        <v>1150</v>
      </c>
      <c r="AH311" s="11"/>
      <c r="AI311" s="11" t="s">
        <v>1016</v>
      </c>
      <c r="AJ311" s="11"/>
      <c r="AK311" s="11" t="s">
        <v>1151</v>
      </c>
      <c r="AL311" s="11" t="s">
        <v>1017</v>
      </c>
      <c r="AM311" s="11" t="s">
        <v>1152</v>
      </c>
      <c r="AN311" s="11" t="s">
        <v>1019</v>
      </c>
      <c r="AO311" s="11" t="s">
        <v>1480</v>
      </c>
      <c r="AP311" s="11" t="s">
        <v>1021</v>
      </c>
      <c r="AQ311" s="11" t="s">
        <v>1481</v>
      </c>
      <c r="AR311" s="11" t="s">
        <v>1023</v>
      </c>
      <c r="AS311" s="11"/>
      <c r="AT311" s="11" t="s">
        <v>1034</v>
      </c>
      <c r="AU311" s="11" t="s">
        <v>1481</v>
      </c>
      <c r="AV311" s="11"/>
      <c r="AW311" s="12">
        <v>3</v>
      </c>
      <c r="AX311" s="12">
        <v>3</v>
      </c>
      <c r="AY311" s="12">
        <v>3</v>
      </c>
      <c r="AZ311" s="12">
        <v>3</v>
      </c>
      <c r="BA311" s="12">
        <v>5</v>
      </c>
      <c r="BB311" s="12"/>
      <c r="BC311" s="12"/>
      <c r="BD311" s="11" t="s">
        <v>1093</v>
      </c>
      <c r="BE311" s="11" t="s">
        <v>1037</v>
      </c>
    </row>
    <row r="312" spans="1:57" s="8" customFormat="1" ht="58" x14ac:dyDescent="0.35">
      <c r="A312" s="7" t="s">
        <v>398</v>
      </c>
      <c r="B312" s="7" t="s">
        <v>399</v>
      </c>
      <c r="C312" s="3" t="s">
        <v>586</v>
      </c>
      <c r="D312" s="3" t="s">
        <v>30</v>
      </c>
      <c r="E312" s="3" t="s">
        <v>30</v>
      </c>
      <c r="F312" s="3" t="s">
        <v>31</v>
      </c>
      <c r="G312" s="3" t="s">
        <v>25</v>
      </c>
      <c r="H312" s="4">
        <v>421</v>
      </c>
      <c r="I312" s="4">
        <v>250</v>
      </c>
      <c r="J312" s="3" t="s">
        <v>26</v>
      </c>
      <c r="K312" s="4" t="b">
        <v>1</v>
      </c>
      <c r="L312" s="6">
        <v>1</v>
      </c>
      <c r="M312" s="6">
        <v>1</v>
      </c>
      <c r="N312" s="3" t="s">
        <v>32</v>
      </c>
      <c r="O312" s="3"/>
      <c r="P312" s="3" t="s">
        <v>397</v>
      </c>
      <c r="Q312" s="3" t="s">
        <v>1921</v>
      </c>
      <c r="R312" s="3" t="s">
        <v>1074</v>
      </c>
      <c r="S312" s="3" t="s">
        <v>1006</v>
      </c>
      <c r="T312" s="3" t="s">
        <v>1007</v>
      </c>
      <c r="U312" s="11" t="s">
        <v>2203</v>
      </c>
      <c r="V312" s="11" t="s">
        <v>1031</v>
      </c>
      <c r="W312" s="11" t="s">
        <v>1032</v>
      </c>
      <c r="X312" s="13">
        <v>1</v>
      </c>
      <c r="Y312" s="12"/>
      <c r="Z312" s="11"/>
      <c r="AA312" s="11"/>
      <c r="AB312" s="11"/>
      <c r="AC312" s="11">
        <v>0</v>
      </c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 t="s">
        <v>1019</v>
      </c>
      <c r="AO312" s="11" t="s">
        <v>1923</v>
      </c>
      <c r="AP312" s="11" t="s">
        <v>1021</v>
      </c>
      <c r="AQ312" s="11" t="s">
        <v>1924</v>
      </c>
      <c r="AR312" s="11" t="s">
        <v>1048</v>
      </c>
      <c r="AS312" s="11" t="s">
        <v>1925</v>
      </c>
      <c r="AT312" s="11" t="s">
        <v>1050</v>
      </c>
      <c r="AU312" s="11" t="s">
        <v>1924</v>
      </c>
      <c r="AV312" s="11" t="s">
        <v>1925</v>
      </c>
      <c r="AW312" s="12">
        <v>1</v>
      </c>
      <c r="AX312" s="12">
        <v>1</v>
      </c>
      <c r="AY312" s="12">
        <v>1</v>
      </c>
      <c r="AZ312" s="12">
        <v>1</v>
      </c>
      <c r="BA312" s="12">
        <v>2</v>
      </c>
      <c r="BB312" s="12">
        <v>1</v>
      </c>
      <c r="BC312" s="12">
        <v>1</v>
      </c>
      <c r="BD312" s="11" t="s">
        <v>1026</v>
      </c>
      <c r="BE312" s="11" t="s">
        <v>1051</v>
      </c>
    </row>
    <row r="313" spans="1:57" s="8" customFormat="1" ht="58" x14ac:dyDescent="0.35">
      <c r="A313" s="7" t="s">
        <v>398</v>
      </c>
      <c r="B313" s="7" t="s">
        <v>399</v>
      </c>
      <c r="C313" s="3" t="s">
        <v>587</v>
      </c>
      <c r="D313" s="3" t="s">
        <v>57</v>
      </c>
      <c r="E313" s="3"/>
      <c r="F313" s="3" t="s">
        <v>53</v>
      </c>
      <c r="G313" s="3" t="s">
        <v>50</v>
      </c>
      <c r="H313" s="4">
        <v>372</v>
      </c>
      <c r="I313" s="4">
        <v>300</v>
      </c>
      <c r="J313" s="3" t="s">
        <v>26</v>
      </c>
      <c r="K313" s="4" t="b">
        <v>0</v>
      </c>
      <c r="L313" s="6">
        <v>0.33333333333333298</v>
      </c>
      <c r="M313" s="6">
        <v>0.33333333333333298</v>
      </c>
      <c r="N313" s="3" t="s">
        <v>58</v>
      </c>
      <c r="O313" s="3" t="s">
        <v>59</v>
      </c>
      <c r="P313" s="3" t="s">
        <v>588</v>
      </c>
      <c r="Q313" s="3" t="s">
        <v>2204</v>
      </c>
      <c r="R313" s="3" t="s">
        <v>1074</v>
      </c>
      <c r="S313" s="3" t="s">
        <v>1006</v>
      </c>
      <c r="T313" s="3" t="s">
        <v>1007</v>
      </c>
      <c r="U313" s="11" t="s">
        <v>2205</v>
      </c>
      <c r="V313" s="11" t="s">
        <v>1031</v>
      </c>
      <c r="W313" s="11" t="s">
        <v>1032</v>
      </c>
      <c r="X313" s="13">
        <v>0.7</v>
      </c>
      <c r="Y313" s="12"/>
      <c r="Z313" s="11"/>
      <c r="AA313" s="11"/>
      <c r="AB313" s="11"/>
      <c r="AC313" s="11">
        <v>0</v>
      </c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 t="s">
        <v>1019</v>
      </c>
      <c r="AO313" s="11" t="s">
        <v>1186</v>
      </c>
      <c r="AP313" s="11" t="s">
        <v>1021</v>
      </c>
      <c r="AQ313" s="11" t="s">
        <v>1187</v>
      </c>
      <c r="AR313" s="11" t="s">
        <v>1023</v>
      </c>
      <c r="AS313" s="11" t="s">
        <v>1188</v>
      </c>
      <c r="AT313" s="11" t="s">
        <v>1025</v>
      </c>
      <c r="AU313" s="11" t="s">
        <v>1187</v>
      </c>
      <c r="AV313" s="11" t="s">
        <v>1188</v>
      </c>
      <c r="AW313" s="12">
        <v>4</v>
      </c>
      <c r="AX313" s="12">
        <v>4</v>
      </c>
      <c r="AY313" s="12">
        <v>5</v>
      </c>
      <c r="AZ313" s="12">
        <v>4</v>
      </c>
      <c r="BA313" s="12">
        <v>3</v>
      </c>
      <c r="BB313" s="12">
        <v>4</v>
      </c>
      <c r="BC313" s="12">
        <v>1</v>
      </c>
      <c r="BD313" s="11" t="s">
        <v>1026</v>
      </c>
      <c r="BE313" s="11" t="s">
        <v>1027</v>
      </c>
    </row>
    <row r="314" spans="1:57" s="8" customFormat="1" ht="58" x14ac:dyDescent="0.35">
      <c r="A314" s="7" t="s">
        <v>398</v>
      </c>
      <c r="B314" s="7" t="s">
        <v>399</v>
      </c>
      <c r="C314" s="3" t="s">
        <v>589</v>
      </c>
      <c r="D314" s="3" t="s">
        <v>30</v>
      </c>
      <c r="E314" s="3" t="s">
        <v>30</v>
      </c>
      <c r="F314" s="3" t="s">
        <v>31</v>
      </c>
      <c r="G314" s="3" t="s">
        <v>25</v>
      </c>
      <c r="H314" s="4">
        <v>376</v>
      </c>
      <c r="I314" s="4">
        <v>250</v>
      </c>
      <c r="J314" s="3" t="s">
        <v>26</v>
      </c>
      <c r="K314" s="4" t="b">
        <v>1</v>
      </c>
      <c r="L314" s="6">
        <v>1</v>
      </c>
      <c r="M314" s="6">
        <v>1</v>
      </c>
      <c r="N314" s="3" t="s">
        <v>32</v>
      </c>
      <c r="O314" s="3"/>
      <c r="P314" s="3" t="s">
        <v>182</v>
      </c>
      <c r="Q314" s="3" t="s">
        <v>1370</v>
      </c>
      <c r="R314" s="3" t="s">
        <v>1074</v>
      </c>
      <c r="S314" s="3" t="s">
        <v>1006</v>
      </c>
      <c r="T314" s="3" t="s">
        <v>1007</v>
      </c>
      <c r="U314" s="11" t="s">
        <v>2206</v>
      </c>
      <c r="V314" s="11" t="s">
        <v>1031</v>
      </c>
      <c r="W314" s="11" t="s">
        <v>1032</v>
      </c>
      <c r="X314" s="13">
        <v>0.82</v>
      </c>
      <c r="Y314" s="12"/>
      <c r="Z314" s="11"/>
      <c r="AA314" s="11"/>
      <c r="AB314" s="11"/>
      <c r="AC314" s="11">
        <v>0</v>
      </c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 t="s">
        <v>1019</v>
      </c>
      <c r="AO314" s="11" t="s">
        <v>1372</v>
      </c>
      <c r="AP314" s="11" t="s">
        <v>1021</v>
      </c>
      <c r="AQ314" s="11" t="s">
        <v>1373</v>
      </c>
      <c r="AR314" s="11" t="s">
        <v>1023</v>
      </c>
      <c r="AS314" s="11" t="s">
        <v>1374</v>
      </c>
      <c r="AT314" s="11" t="s">
        <v>1023</v>
      </c>
      <c r="AU314" s="11" t="s">
        <v>1373</v>
      </c>
      <c r="AV314" s="11" t="s">
        <v>1374</v>
      </c>
      <c r="AW314" s="12">
        <v>5</v>
      </c>
      <c r="AX314" s="12">
        <v>4</v>
      </c>
      <c r="AY314" s="12">
        <v>6</v>
      </c>
      <c r="AZ314" s="12">
        <v>4</v>
      </c>
      <c r="BA314" s="12">
        <v>5</v>
      </c>
      <c r="BB314" s="12">
        <v>4</v>
      </c>
      <c r="BC314" s="12">
        <v>4</v>
      </c>
      <c r="BD314" s="11" t="s">
        <v>1026</v>
      </c>
      <c r="BE314" s="11" t="s">
        <v>1027</v>
      </c>
    </row>
    <row r="315" spans="1:57" s="8" customFormat="1" ht="58" x14ac:dyDescent="0.35">
      <c r="A315" s="7" t="s">
        <v>398</v>
      </c>
      <c r="B315" s="7" t="s">
        <v>399</v>
      </c>
      <c r="C315" s="3" t="s">
        <v>590</v>
      </c>
      <c r="D315" s="3" t="s">
        <v>57</v>
      </c>
      <c r="E315" s="3"/>
      <c r="F315" s="3" t="s">
        <v>53</v>
      </c>
      <c r="G315" s="3" t="s">
        <v>50</v>
      </c>
      <c r="H315" s="4">
        <v>381</v>
      </c>
      <c r="I315" s="4">
        <v>300</v>
      </c>
      <c r="J315" s="3" t="s">
        <v>26</v>
      </c>
      <c r="K315" s="4" t="b">
        <v>0</v>
      </c>
      <c r="L315" s="6">
        <v>0.33333333333333298</v>
      </c>
      <c r="M315" s="6">
        <v>0.33333333333333298</v>
      </c>
      <c r="N315" s="3" t="s">
        <v>58</v>
      </c>
      <c r="O315" s="3" t="s">
        <v>59</v>
      </c>
      <c r="P315" s="3" t="s">
        <v>591</v>
      </c>
      <c r="Q315" s="3" t="s">
        <v>2207</v>
      </c>
      <c r="R315" s="3" t="s">
        <v>1074</v>
      </c>
      <c r="S315" s="3" t="s">
        <v>1006</v>
      </c>
      <c r="T315" s="3" t="s">
        <v>1007</v>
      </c>
      <c r="U315" s="11" t="s">
        <v>2208</v>
      </c>
      <c r="V315" s="11" t="s">
        <v>1031</v>
      </c>
      <c r="W315" s="11" t="s">
        <v>1032</v>
      </c>
      <c r="X315" s="13">
        <v>0.7</v>
      </c>
      <c r="Y315" s="12"/>
      <c r="Z315" s="11"/>
      <c r="AA315" s="11"/>
      <c r="AB315" s="11"/>
      <c r="AC315" s="11">
        <v>0</v>
      </c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 t="s">
        <v>1019</v>
      </c>
      <c r="AO315" s="11" t="s">
        <v>2209</v>
      </c>
      <c r="AP315" s="11" t="s">
        <v>1021</v>
      </c>
      <c r="AQ315" s="11" t="s">
        <v>2210</v>
      </c>
      <c r="AR315" s="11" t="s">
        <v>1048</v>
      </c>
      <c r="AS315" s="11" t="s">
        <v>2211</v>
      </c>
      <c r="AT315" s="11" t="s">
        <v>1050</v>
      </c>
      <c r="AU315" s="11" t="s">
        <v>2210</v>
      </c>
      <c r="AV315" s="11" t="s">
        <v>2211</v>
      </c>
      <c r="AW315" s="12">
        <v>0</v>
      </c>
      <c r="AX315" s="12">
        <v>1</v>
      </c>
      <c r="AY315" s="12">
        <v>1</v>
      </c>
      <c r="AZ315" s="12">
        <v>1</v>
      </c>
      <c r="BA315" s="12">
        <v>3</v>
      </c>
      <c r="BB315" s="12">
        <v>1</v>
      </c>
      <c r="BC315" s="12">
        <v>1</v>
      </c>
      <c r="BD315" s="11" t="s">
        <v>1026</v>
      </c>
      <c r="BE315" s="11" t="s">
        <v>1051</v>
      </c>
    </row>
    <row r="316" spans="1:57" s="8" customFormat="1" ht="72.5" x14ac:dyDescent="0.35">
      <c r="A316" s="7" t="s">
        <v>398</v>
      </c>
      <c r="B316" s="7" t="s">
        <v>399</v>
      </c>
      <c r="C316" s="3" t="s">
        <v>592</v>
      </c>
      <c r="D316" s="3" t="s">
        <v>57</v>
      </c>
      <c r="E316" s="3" t="s">
        <v>57</v>
      </c>
      <c r="F316" s="3" t="s">
        <v>53</v>
      </c>
      <c r="G316" s="3" t="s">
        <v>25</v>
      </c>
      <c r="H316" s="4">
        <v>867</v>
      </c>
      <c r="I316" s="4">
        <v>300</v>
      </c>
      <c r="J316" s="3" t="s">
        <v>26</v>
      </c>
      <c r="K316" s="4" t="b">
        <v>1</v>
      </c>
      <c r="L316" s="6">
        <v>1</v>
      </c>
      <c r="M316" s="6">
        <v>1</v>
      </c>
      <c r="N316" s="3" t="s">
        <v>62</v>
      </c>
      <c r="O316" s="3"/>
      <c r="P316" s="3" t="s">
        <v>593</v>
      </c>
      <c r="Q316" s="3" t="s">
        <v>2212</v>
      </c>
      <c r="R316" s="3" t="s">
        <v>1005</v>
      </c>
      <c r="S316" s="3" t="s">
        <v>1006</v>
      </c>
      <c r="T316" s="3" t="s">
        <v>1007</v>
      </c>
      <c r="U316" s="11" t="s">
        <v>2213</v>
      </c>
      <c r="V316" s="11" t="s">
        <v>1031</v>
      </c>
      <c r="W316" s="11" t="s">
        <v>1032</v>
      </c>
      <c r="X316" s="13">
        <v>0.7</v>
      </c>
      <c r="Y316" s="12"/>
      <c r="Z316" s="11"/>
      <c r="AA316" s="11"/>
      <c r="AB316" s="11"/>
      <c r="AC316" s="11">
        <v>0</v>
      </c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 t="s">
        <v>1019</v>
      </c>
      <c r="AO316" s="11" t="s">
        <v>1784</v>
      </c>
      <c r="AP316" s="11" t="s">
        <v>1021</v>
      </c>
      <c r="AQ316" s="11" t="s">
        <v>1785</v>
      </c>
      <c r="AR316" s="11" t="s">
        <v>1023</v>
      </c>
      <c r="AS316" s="11" t="s">
        <v>1786</v>
      </c>
      <c r="AT316" s="11" t="s">
        <v>1025</v>
      </c>
      <c r="AU316" s="11" t="s">
        <v>1785</v>
      </c>
      <c r="AV316" s="11" t="s">
        <v>1786</v>
      </c>
      <c r="AW316" s="12">
        <v>2</v>
      </c>
      <c r="AX316" s="12">
        <v>2</v>
      </c>
      <c r="AY316" s="12">
        <v>2</v>
      </c>
      <c r="AZ316" s="12">
        <v>2</v>
      </c>
      <c r="BA316" s="12">
        <v>6</v>
      </c>
      <c r="BB316" s="12">
        <v>2</v>
      </c>
      <c r="BC316" s="12">
        <v>1</v>
      </c>
      <c r="BD316" s="11" t="s">
        <v>1026</v>
      </c>
      <c r="BE316" s="11" t="s">
        <v>1027</v>
      </c>
    </row>
    <row r="317" spans="1:57" s="8" customFormat="1" ht="72.5" x14ac:dyDescent="0.35">
      <c r="A317" s="7" t="s">
        <v>398</v>
      </c>
      <c r="B317" s="7" t="s">
        <v>399</v>
      </c>
      <c r="C317" s="3" t="s">
        <v>594</v>
      </c>
      <c r="D317" s="3" t="s">
        <v>52</v>
      </c>
      <c r="E317" s="3"/>
      <c r="F317" s="3" t="s">
        <v>53</v>
      </c>
      <c r="G317" s="3" t="s">
        <v>50</v>
      </c>
      <c r="H317" s="4">
        <v>702</v>
      </c>
      <c r="I317" s="4">
        <v>500</v>
      </c>
      <c r="J317" s="3" t="s">
        <v>26</v>
      </c>
      <c r="K317" s="4" t="b">
        <v>0</v>
      </c>
      <c r="L317" s="6">
        <v>0.33333333333333298</v>
      </c>
      <c r="M317" s="6">
        <v>0.33333333333333298</v>
      </c>
      <c r="N317" s="3" t="s">
        <v>54</v>
      </c>
      <c r="O317" s="3" t="s">
        <v>55</v>
      </c>
      <c r="P317" s="3" t="s">
        <v>595</v>
      </c>
      <c r="Q317" s="3" t="s">
        <v>2214</v>
      </c>
      <c r="R317" s="3" t="s">
        <v>1029</v>
      </c>
      <c r="S317" s="3" t="s">
        <v>1006</v>
      </c>
      <c r="T317" s="3" t="s">
        <v>1007</v>
      </c>
      <c r="U317" s="11" t="s">
        <v>2215</v>
      </c>
      <c r="V317" s="11" t="s">
        <v>1031</v>
      </c>
      <c r="W317" s="11" t="s">
        <v>1032</v>
      </c>
      <c r="X317" s="13">
        <v>0.7</v>
      </c>
      <c r="Y317" s="12"/>
      <c r="Z317" s="11"/>
      <c r="AA317" s="11"/>
      <c r="AB317" s="11"/>
      <c r="AC317" s="11">
        <v>5</v>
      </c>
      <c r="AD317" s="11" t="s">
        <v>1977</v>
      </c>
      <c r="AE317" s="11" t="s">
        <v>2216</v>
      </c>
      <c r="AF317" s="11" t="s">
        <v>1014</v>
      </c>
      <c r="AG317" s="11" t="s">
        <v>1015</v>
      </c>
      <c r="AH317" s="11" t="s">
        <v>2217</v>
      </c>
      <c r="AI317" s="11" t="s">
        <v>1016</v>
      </c>
      <c r="AJ317" s="11"/>
      <c r="AK317" s="11" t="s">
        <v>1979</v>
      </c>
      <c r="AL317" s="11" t="s">
        <v>1017</v>
      </c>
      <c r="AM317" s="11" t="s">
        <v>1980</v>
      </c>
      <c r="AN317" s="11" t="s">
        <v>1019</v>
      </c>
      <c r="AO317" s="11" t="s">
        <v>2218</v>
      </c>
      <c r="AP317" s="11" t="s">
        <v>1021</v>
      </c>
      <c r="AQ317" s="11" t="s">
        <v>2219</v>
      </c>
      <c r="AR317" s="11" t="s">
        <v>1048</v>
      </c>
      <c r="AS317" s="11" t="s">
        <v>2220</v>
      </c>
      <c r="AT317" s="11" t="s">
        <v>1050</v>
      </c>
      <c r="AU317" s="11" t="s">
        <v>2219</v>
      </c>
      <c r="AV317" s="11" t="s">
        <v>2220</v>
      </c>
      <c r="AW317" s="12">
        <v>1</v>
      </c>
      <c r="AX317" s="12">
        <v>1</v>
      </c>
      <c r="AY317" s="12">
        <v>1</v>
      </c>
      <c r="AZ317" s="12">
        <v>1</v>
      </c>
      <c r="BA317" s="12">
        <v>4</v>
      </c>
      <c r="BB317" s="12">
        <v>1</v>
      </c>
      <c r="BC317" s="12">
        <v>1</v>
      </c>
      <c r="BD317" s="11" t="s">
        <v>1026</v>
      </c>
      <c r="BE317" s="11" t="s">
        <v>1051</v>
      </c>
    </row>
    <row r="318" spans="1:57" s="8" customFormat="1" ht="58" x14ac:dyDescent="0.35">
      <c r="A318" s="7" t="s">
        <v>398</v>
      </c>
      <c r="B318" s="7" t="s">
        <v>399</v>
      </c>
      <c r="C318" s="3" t="s">
        <v>594</v>
      </c>
      <c r="D318" s="3" t="s">
        <v>57</v>
      </c>
      <c r="E318" s="3"/>
      <c r="F318" s="3" t="s">
        <v>53</v>
      </c>
      <c r="G318" s="3" t="s">
        <v>50</v>
      </c>
      <c r="H318" s="4">
        <v>702</v>
      </c>
      <c r="I318" s="4">
        <v>300</v>
      </c>
      <c r="J318" s="3" t="s">
        <v>26</v>
      </c>
      <c r="K318" s="4" t="b">
        <v>0</v>
      </c>
      <c r="L318" s="6">
        <v>0.66666666666666596</v>
      </c>
      <c r="M318" s="6">
        <v>0.66666666666666596</v>
      </c>
      <c r="N318" s="3" t="s">
        <v>596</v>
      </c>
      <c r="O318" s="3" t="s">
        <v>597</v>
      </c>
      <c r="P318" s="3" t="s">
        <v>595</v>
      </c>
      <c r="Q318" s="3" t="s">
        <v>2214</v>
      </c>
      <c r="R318" s="3" t="s">
        <v>1029</v>
      </c>
      <c r="S318" s="3" t="s">
        <v>1006</v>
      </c>
      <c r="T318" s="3" t="s">
        <v>1007</v>
      </c>
      <c r="U318" s="11" t="s">
        <v>2215</v>
      </c>
      <c r="V318" s="11" t="s">
        <v>1031</v>
      </c>
      <c r="W318" s="11" t="s">
        <v>1032</v>
      </c>
      <c r="X318" s="13">
        <v>0.7</v>
      </c>
      <c r="Y318" s="12"/>
      <c r="Z318" s="11"/>
      <c r="AA318" s="11"/>
      <c r="AB318" s="11"/>
      <c r="AC318" s="11">
        <v>0</v>
      </c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 t="s">
        <v>1019</v>
      </c>
      <c r="AO318" s="11" t="s">
        <v>2218</v>
      </c>
      <c r="AP318" s="11" t="s">
        <v>1021</v>
      </c>
      <c r="AQ318" s="11" t="s">
        <v>2219</v>
      </c>
      <c r="AR318" s="11" t="s">
        <v>1048</v>
      </c>
      <c r="AS318" s="11" t="s">
        <v>2220</v>
      </c>
      <c r="AT318" s="11" t="s">
        <v>1050</v>
      </c>
      <c r="AU318" s="11" t="s">
        <v>2219</v>
      </c>
      <c r="AV318" s="11" t="s">
        <v>2220</v>
      </c>
      <c r="AW318" s="12">
        <v>1</v>
      </c>
      <c r="AX318" s="12">
        <v>1</v>
      </c>
      <c r="AY318" s="12">
        <v>1</v>
      </c>
      <c r="AZ318" s="12">
        <v>1</v>
      </c>
      <c r="BA318" s="12">
        <v>4</v>
      </c>
      <c r="BB318" s="12">
        <v>1</v>
      </c>
      <c r="BC318" s="12">
        <v>1</v>
      </c>
      <c r="BD318" s="11" t="s">
        <v>1026</v>
      </c>
      <c r="BE318" s="11" t="s">
        <v>1051</v>
      </c>
    </row>
    <row r="319" spans="1:57" s="8" customFormat="1" ht="58" x14ac:dyDescent="0.35">
      <c r="A319" s="7" t="s">
        <v>398</v>
      </c>
      <c r="B319" s="7" t="s">
        <v>399</v>
      </c>
      <c r="C319" s="3" t="s">
        <v>594</v>
      </c>
      <c r="D319" s="3" t="s">
        <v>98</v>
      </c>
      <c r="E319" s="3"/>
      <c r="F319" s="3" t="s">
        <v>53</v>
      </c>
      <c r="G319" s="3" t="s">
        <v>50</v>
      </c>
      <c r="H319" s="4">
        <v>702</v>
      </c>
      <c r="I319" s="4">
        <v>300</v>
      </c>
      <c r="J319" s="3" t="s">
        <v>26</v>
      </c>
      <c r="K319" s="4" t="b">
        <v>0</v>
      </c>
      <c r="L319" s="6">
        <v>0.5</v>
      </c>
      <c r="M319" s="6">
        <v>0.5</v>
      </c>
      <c r="N319" s="3" t="s">
        <v>58</v>
      </c>
      <c r="O319" s="3" t="s">
        <v>99</v>
      </c>
      <c r="P319" s="3" t="s">
        <v>595</v>
      </c>
      <c r="Q319" s="3" t="s">
        <v>2214</v>
      </c>
      <c r="R319" s="3" t="s">
        <v>1029</v>
      </c>
      <c r="S319" s="3" t="s">
        <v>1006</v>
      </c>
      <c r="T319" s="3" t="s">
        <v>1007</v>
      </c>
      <c r="U319" s="11" t="s">
        <v>2215</v>
      </c>
      <c r="V319" s="11" t="s">
        <v>1031</v>
      </c>
      <c r="W319" s="11" t="s">
        <v>1032</v>
      </c>
      <c r="X319" s="13">
        <v>0.7</v>
      </c>
      <c r="Y319" s="12"/>
      <c r="Z319" s="11"/>
      <c r="AA319" s="11"/>
      <c r="AB319" s="11"/>
      <c r="AC319" s="11">
        <v>0</v>
      </c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 t="s">
        <v>1019</v>
      </c>
      <c r="AO319" s="11" t="s">
        <v>2218</v>
      </c>
      <c r="AP319" s="11" t="s">
        <v>1021</v>
      </c>
      <c r="AQ319" s="11" t="s">
        <v>2219</v>
      </c>
      <c r="AR319" s="11" t="s">
        <v>1048</v>
      </c>
      <c r="AS319" s="11" t="s">
        <v>2220</v>
      </c>
      <c r="AT319" s="11" t="s">
        <v>1050</v>
      </c>
      <c r="AU319" s="11" t="s">
        <v>2219</v>
      </c>
      <c r="AV319" s="11" t="s">
        <v>2220</v>
      </c>
      <c r="AW319" s="12">
        <v>1</v>
      </c>
      <c r="AX319" s="12">
        <v>1</v>
      </c>
      <c r="AY319" s="12">
        <v>1</v>
      </c>
      <c r="AZ319" s="12">
        <v>1</v>
      </c>
      <c r="BA319" s="12">
        <v>4</v>
      </c>
      <c r="BB319" s="12">
        <v>1</v>
      </c>
      <c r="BC319" s="12">
        <v>1</v>
      </c>
      <c r="BD319" s="11" t="s">
        <v>1026</v>
      </c>
      <c r="BE319" s="11" t="s">
        <v>1051</v>
      </c>
    </row>
    <row r="320" spans="1:57" s="8" customFormat="1" ht="58" x14ac:dyDescent="0.35">
      <c r="A320" s="7" t="s">
        <v>398</v>
      </c>
      <c r="B320" s="7" t="s">
        <v>399</v>
      </c>
      <c r="C320" s="3" t="s">
        <v>598</v>
      </c>
      <c r="D320" s="3" t="s">
        <v>57</v>
      </c>
      <c r="E320" s="3"/>
      <c r="F320" s="3" t="s">
        <v>53</v>
      </c>
      <c r="G320" s="3" t="s">
        <v>50</v>
      </c>
      <c r="H320" s="4">
        <v>632</v>
      </c>
      <c r="I320" s="4">
        <v>300</v>
      </c>
      <c r="J320" s="3" t="s">
        <v>26</v>
      </c>
      <c r="K320" s="4" t="b">
        <v>0</v>
      </c>
      <c r="L320" s="6">
        <v>0.33333333333333298</v>
      </c>
      <c r="M320" s="6">
        <v>0.33333333333333298</v>
      </c>
      <c r="N320" s="3" t="s">
        <v>58</v>
      </c>
      <c r="O320" s="3" t="s">
        <v>59</v>
      </c>
      <c r="P320" s="3" t="s">
        <v>599</v>
      </c>
      <c r="Q320" s="3" t="s">
        <v>2221</v>
      </c>
      <c r="R320" s="3" t="s">
        <v>1029</v>
      </c>
      <c r="S320" s="3" t="s">
        <v>1006</v>
      </c>
      <c r="T320" s="3" t="s">
        <v>1007</v>
      </c>
      <c r="U320" s="11" t="s">
        <v>2222</v>
      </c>
      <c r="V320" s="11" t="s">
        <v>1031</v>
      </c>
      <c r="W320" s="11" t="s">
        <v>1032</v>
      </c>
      <c r="X320" s="13">
        <v>0.7</v>
      </c>
      <c r="Y320" s="12"/>
      <c r="Z320" s="11"/>
      <c r="AA320" s="11"/>
      <c r="AB320" s="11"/>
      <c r="AC320" s="11">
        <v>0</v>
      </c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 t="s">
        <v>1019</v>
      </c>
      <c r="AO320" s="11" t="s">
        <v>1341</v>
      </c>
      <c r="AP320" s="11" t="s">
        <v>1021</v>
      </c>
      <c r="AQ320" s="11" t="s">
        <v>1342</v>
      </c>
      <c r="AR320" s="11" t="s">
        <v>1048</v>
      </c>
      <c r="AS320" s="11" t="s">
        <v>1343</v>
      </c>
      <c r="AT320" s="11" t="s">
        <v>1050</v>
      </c>
      <c r="AU320" s="11" t="s">
        <v>1342</v>
      </c>
      <c r="AV320" s="11" t="s">
        <v>1343</v>
      </c>
      <c r="AW320" s="12">
        <v>1</v>
      </c>
      <c r="AX320" s="12">
        <v>1</v>
      </c>
      <c r="AY320" s="12">
        <v>1</v>
      </c>
      <c r="AZ320" s="12">
        <v>1</v>
      </c>
      <c r="BA320" s="12">
        <v>3</v>
      </c>
      <c r="BB320" s="12">
        <v>1</v>
      </c>
      <c r="BC320" s="12">
        <v>1</v>
      </c>
      <c r="BD320" s="11" t="s">
        <v>1026</v>
      </c>
      <c r="BE320" s="11" t="s">
        <v>1051</v>
      </c>
    </row>
    <row r="321" spans="1:57" s="8" customFormat="1" ht="58" x14ac:dyDescent="0.35">
      <c r="A321" s="7" t="s">
        <v>398</v>
      </c>
      <c r="B321" s="7" t="s">
        <v>399</v>
      </c>
      <c r="C321" s="3" t="s">
        <v>600</v>
      </c>
      <c r="D321" s="3" t="s">
        <v>57</v>
      </c>
      <c r="E321" s="3"/>
      <c r="F321" s="3" t="s">
        <v>53</v>
      </c>
      <c r="G321" s="3" t="s">
        <v>50</v>
      </c>
      <c r="H321" s="4">
        <v>367</v>
      </c>
      <c r="I321" s="4">
        <v>300</v>
      </c>
      <c r="J321" s="3" t="s">
        <v>26</v>
      </c>
      <c r="K321" s="4" t="b">
        <v>0</v>
      </c>
      <c r="L321" s="6">
        <v>0.33333333333333298</v>
      </c>
      <c r="M321" s="6">
        <v>0.33333333333333298</v>
      </c>
      <c r="N321" s="3" t="s">
        <v>58</v>
      </c>
      <c r="O321" s="3" t="s">
        <v>59</v>
      </c>
      <c r="P321" s="3" t="s">
        <v>601</v>
      </c>
      <c r="Q321" s="3" t="s">
        <v>2223</v>
      </c>
      <c r="R321" s="3" t="s">
        <v>1029</v>
      </c>
      <c r="S321" s="3" t="s">
        <v>1006</v>
      </c>
      <c r="T321" s="3" t="s">
        <v>1007</v>
      </c>
      <c r="U321" s="11" t="s">
        <v>2224</v>
      </c>
      <c r="V321" s="11" t="s">
        <v>1031</v>
      </c>
      <c r="W321" s="11" t="s">
        <v>1032</v>
      </c>
      <c r="X321" s="13">
        <v>0.7</v>
      </c>
      <c r="Y321" s="12"/>
      <c r="Z321" s="11"/>
      <c r="AA321" s="11"/>
      <c r="AB321" s="11"/>
      <c r="AC321" s="11">
        <v>0</v>
      </c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 t="s">
        <v>1019</v>
      </c>
      <c r="AO321" s="11" t="s">
        <v>1186</v>
      </c>
      <c r="AP321" s="11" t="s">
        <v>1021</v>
      </c>
      <c r="AQ321" s="11" t="s">
        <v>1187</v>
      </c>
      <c r="AR321" s="11" t="s">
        <v>1023</v>
      </c>
      <c r="AS321" s="11" t="s">
        <v>1188</v>
      </c>
      <c r="AT321" s="11" t="s">
        <v>1025</v>
      </c>
      <c r="AU321" s="11" t="s">
        <v>1187</v>
      </c>
      <c r="AV321" s="11" t="s">
        <v>1188</v>
      </c>
      <c r="AW321" s="12">
        <v>4</v>
      </c>
      <c r="AX321" s="12">
        <v>4</v>
      </c>
      <c r="AY321" s="12">
        <v>5</v>
      </c>
      <c r="AZ321" s="12">
        <v>4</v>
      </c>
      <c r="BA321" s="12">
        <v>3</v>
      </c>
      <c r="BB321" s="12">
        <v>4</v>
      </c>
      <c r="BC321" s="12">
        <v>1</v>
      </c>
      <c r="BD321" s="11" t="s">
        <v>1026</v>
      </c>
      <c r="BE321" s="11" t="s">
        <v>1027</v>
      </c>
    </row>
    <row r="322" spans="1:57" s="8" customFormat="1" ht="58" x14ac:dyDescent="0.35">
      <c r="A322" s="7" t="s">
        <v>398</v>
      </c>
      <c r="B322" s="7" t="s">
        <v>399</v>
      </c>
      <c r="C322" s="3" t="s">
        <v>602</v>
      </c>
      <c r="D322" s="3" t="s">
        <v>172</v>
      </c>
      <c r="E322" s="3"/>
      <c r="F322" s="3" t="s">
        <v>31</v>
      </c>
      <c r="G322" s="3" t="s">
        <v>50</v>
      </c>
      <c r="H322" s="4">
        <v>384</v>
      </c>
      <c r="I322" s="4">
        <v>90</v>
      </c>
      <c r="J322" s="3" t="s">
        <v>26</v>
      </c>
      <c r="K322" s="4" t="b">
        <v>1</v>
      </c>
      <c r="L322" s="6">
        <v>1</v>
      </c>
      <c r="M322" s="6">
        <v>1</v>
      </c>
      <c r="N322" s="3" t="s">
        <v>173</v>
      </c>
      <c r="O322" s="3"/>
      <c r="P322" s="3" t="s">
        <v>603</v>
      </c>
      <c r="Q322" s="3" t="s">
        <v>2225</v>
      </c>
      <c r="R322" s="3" t="s">
        <v>1029</v>
      </c>
      <c r="S322" s="3" t="s">
        <v>1006</v>
      </c>
      <c r="T322" s="3" t="s">
        <v>1158</v>
      </c>
      <c r="U322" s="11" t="s">
        <v>2226</v>
      </c>
      <c r="V322" s="11" t="s">
        <v>1127</v>
      </c>
      <c r="W322" s="11" t="s">
        <v>1128</v>
      </c>
      <c r="X322" s="13">
        <v>0.52</v>
      </c>
      <c r="Y322" s="12"/>
      <c r="Z322" s="11"/>
      <c r="AA322" s="11"/>
      <c r="AB322" s="11"/>
      <c r="AC322" s="11">
        <v>0</v>
      </c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 t="s">
        <v>1019</v>
      </c>
      <c r="AO322" s="11" t="s">
        <v>1425</v>
      </c>
      <c r="AP322" s="11" t="s">
        <v>1021</v>
      </c>
      <c r="AQ322" s="11" t="s">
        <v>1426</v>
      </c>
      <c r="AR322" s="11" t="s">
        <v>1048</v>
      </c>
      <c r="AS322" s="11" t="s">
        <v>1427</v>
      </c>
      <c r="AT322" s="11" t="s">
        <v>1050</v>
      </c>
      <c r="AU322" s="11" t="s">
        <v>1426</v>
      </c>
      <c r="AV322" s="11" t="s">
        <v>1427</v>
      </c>
      <c r="AW322" s="12">
        <v>1</v>
      </c>
      <c r="AX322" s="12">
        <v>1</v>
      </c>
      <c r="AY322" s="12">
        <v>1</v>
      </c>
      <c r="AZ322" s="12">
        <v>1</v>
      </c>
      <c r="BA322" s="12">
        <v>2</v>
      </c>
      <c r="BB322" s="12">
        <v>1</v>
      </c>
      <c r="BC322" s="12">
        <v>1</v>
      </c>
      <c r="BD322" s="11" t="s">
        <v>1026</v>
      </c>
      <c r="BE322" s="11" t="s">
        <v>1051</v>
      </c>
    </row>
    <row r="323" spans="1:57" s="8" customFormat="1" ht="72.5" x14ac:dyDescent="0.35">
      <c r="A323" s="7" t="s">
        <v>398</v>
      </c>
      <c r="B323" s="7" t="s">
        <v>399</v>
      </c>
      <c r="C323" s="3" t="s">
        <v>604</v>
      </c>
      <c r="D323" s="3" t="s">
        <v>52</v>
      </c>
      <c r="E323" s="3"/>
      <c r="F323" s="3" t="s">
        <v>53</v>
      </c>
      <c r="G323" s="3" t="s">
        <v>50</v>
      </c>
      <c r="H323" s="4">
        <v>565</v>
      </c>
      <c r="I323" s="4">
        <v>500</v>
      </c>
      <c r="J323" s="3" t="s">
        <v>26</v>
      </c>
      <c r="K323" s="4" t="b">
        <v>0</v>
      </c>
      <c r="L323" s="6">
        <v>0.33333333333333298</v>
      </c>
      <c r="M323" s="6">
        <v>0.33333333333333298</v>
      </c>
      <c r="N323" s="3" t="s">
        <v>54</v>
      </c>
      <c r="O323" s="3" t="s">
        <v>55</v>
      </c>
      <c r="P323" s="3" t="s">
        <v>109</v>
      </c>
      <c r="Q323" s="3" t="s">
        <v>1195</v>
      </c>
      <c r="R323" s="3" t="s">
        <v>1139</v>
      </c>
      <c r="S323" s="3" t="s">
        <v>1006</v>
      </c>
      <c r="T323" s="3" t="s">
        <v>2227</v>
      </c>
      <c r="U323" s="11" t="s">
        <v>2228</v>
      </c>
      <c r="V323" s="11" t="s">
        <v>1031</v>
      </c>
      <c r="W323" s="11" t="s">
        <v>1032</v>
      </c>
      <c r="X323" s="13">
        <v>0.7</v>
      </c>
      <c r="Y323" s="12"/>
      <c r="Z323" s="11"/>
      <c r="AA323" s="11"/>
      <c r="AB323" s="11"/>
      <c r="AC323" s="11">
        <v>5</v>
      </c>
      <c r="AD323" s="11" t="s">
        <v>1076</v>
      </c>
      <c r="AE323" s="11" t="s">
        <v>2229</v>
      </c>
      <c r="AF323" s="11" t="s">
        <v>1014</v>
      </c>
      <c r="AG323" s="11" t="s">
        <v>1015</v>
      </c>
      <c r="AH323" s="11" t="s">
        <v>1199</v>
      </c>
      <c r="AI323" s="11" t="s">
        <v>1016</v>
      </c>
      <c r="AJ323" s="11"/>
      <c r="AK323" s="11" t="s">
        <v>1079</v>
      </c>
      <c r="AL323" s="11" t="s">
        <v>1017</v>
      </c>
      <c r="AM323" s="11" t="s">
        <v>1080</v>
      </c>
      <c r="AN323" s="11" t="s">
        <v>1019</v>
      </c>
      <c r="AO323" s="11" t="s">
        <v>1200</v>
      </c>
      <c r="AP323" s="11" t="s">
        <v>1114</v>
      </c>
      <c r="AQ323" s="11"/>
      <c r="AR323" s="11" t="s">
        <v>1034</v>
      </c>
      <c r="AS323" s="11"/>
      <c r="AT323" s="11" t="s">
        <v>1034</v>
      </c>
      <c r="AU323" s="11"/>
      <c r="AV323" s="11"/>
      <c r="AW323" s="12">
        <v>1</v>
      </c>
      <c r="AX323" s="12">
        <v>1</v>
      </c>
      <c r="AY323" s="12">
        <v>2</v>
      </c>
      <c r="AZ323" s="12"/>
      <c r="BA323" s="12"/>
      <c r="BB323" s="12"/>
      <c r="BC323" s="12"/>
      <c r="BD323" s="11" t="s">
        <v>1115</v>
      </c>
      <c r="BE323" s="11" t="s">
        <v>1116</v>
      </c>
    </row>
    <row r="324" spans="1:57" s="8" customFormat="1" ht="72.5" x14ac:dyDescent="0.35">
      <c r="A324" s="7" t="s">
        <v>398</v>
      </c>
      <c r="B324" s="7" t="s">
        <v>399</v>
      </c>
      <c r="C324" s="3" t="s">
        <v>604</v>
      </c>
      <c r="D324" s="3" t="s">
        <v>57</v>
      </c>
      <c r="E324" s="3" t="s">
        <v>57</v>
      </c>
      <c r="F324" s="3" t="s">
        <v>53</v>
      </c>
      <c r="G324" s="3" t="s">
        <v>25</v>
      </c>
      <c r="H324" s="4">
        <v>565</v>
      </c>
      <c r="I324" s="4">
        <v>300</v>
      </c>
      <c r="J324" s="3" t="s">
        <v>26</v>
      </c>
      <c r="K324" s="4" t="b">
        <v>1</v>
      </c>
      <c r="L324" s="6">
        <v>1</v>
      </c>
      <c r="M324" s="6">
        <v>1</v>
      </c>
      <c r="N324" s="3" t="s">
        <v>62</v>
      </c>
      <c r="O324" s="3"/>
      <c r="P324" s="3" t="s">
        <v>109</v>
      </c>
      <c r="Q324" s="3" t="s">
        <v>1195</v>
      </c>
      <c r="R324" s="3" t="s">
        <v>1139</v>
      </c>
      <c r="S324" s="3" t="s">
        <v>1006</v>
      </c>
      <c r="T324" s="3" t="s">
        <v>2227</v>
      </c>
      <c r="U324" s="11" t="s">
        <v>2228</v>
      </c>
      <c r="V324" s="11" t="s">
        <v>1031</v>
      </c>
      <c r="W324" s="11" t="s">
        <v>1032</v>
      </c>
      <c r="X324" s="13">
        <v>0.7</v>
      </c>
      <c r="Y324" s="12"/>
      <c r="Z324" s="11"/>
      <c r="AA324" s="11"/>
      <c r="AB324" s="11"/>
      <c r="AC324" s="11">
        <v>0</v>
      </c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 t="s">
        <v>1019</v>
      </c>
      <c r="AO324" s="11" t="s">
        <v>1200</v>
      </c>
      <c r="AP324" s="11" t="s">
        <v>1114</v>
      </c>
      <c r="AQ324" s="11"/>
      <c r="AR324" s="11" t="s">
        <v>1034</v>
      </c>
      <c r="AS324" s="11"/>
      <c r="AT324" s="11" t="s">
        <v>1034</v>
      </c>
      <c r="AU324" s="11"/>
      <c r="AV324" s="11"/>
      <c r="AW324" s="12">
        <v>1</v>
      </c>
      <c r="AX324" s="12">
        <v>1</v>
      </c>
      <c r="AY324" s="12">
        <v>2</v>
      </c>
      <c r="AZ324" s="12"/>
      <c r="BA324" s="12"/>
      <c r="BB324" s="12"/>
      <c r="BC324" s="12"/>
      <c r="BD324" s="11" t="s">
        <v>1115</v>
      </c>
      <c r="BE324" s="11" t="s">
        <v>1116</v>
      </c>
    </row>
    <row r="325" spans="1:57" s="8" customFormat="1" ht="72.5" x14ac:dyDescent="0.35">
      <c r="A325" s="7" t="s">
        <v>398</v>
      </c>
      <c r="B325" s="7" t="s">
        <v>399</v>
      </c>
      <c r="C325" s="3" t="s">
        <v>604</v>
      </c>
      <c r="D325" s="3" t="s">
        <v>98</v>
      </c>
      <c r="E325" s="3"/>
      <c r="F325" s="3" t="s">
        <v>53</v>
      </c>
      <c r="G325" s="3" t="s">
        <v>50</v>
      </c>
      <c r="H325" s="4">
        <v>565</v>
      </c>
      <c r="I325" s="4">
        <v>300</v>
      </c>
      <c r="J325" s="3" t="s">
        <v>26</v>
      </c>
      <c r="K325" s="4" t="b">
        <v>0</v>
      </c>
      <c r="L325" s="6">
        <v>0.5</v>
      </c>
      <c r="M325" s="6">
        <v>0.5</v>
      </c>
      <c r="N325" s="3" t="s">
        <v>58</v>
      </c>
      <c r="O325" s="3" t="s">
        <v>99</v>
      </c>
      <c r="P325" s="3" t="s">
        <v>109</v>
      </c>
      <c r="Q325" s="3" t="s">
        <v>1195</v>
      </c>
      <c r="R325" s="3" t="s">
        <v>1139</v>
      </c>
      <c r="S325" s="3" t="s">
        <v>1006</v>
      </c>
      <c r="T325" s="3" t="s">
        <v>2227</v>
      </c>
      <c r="U325" s="11" t="s">
        <v>2228</v>
      </c>
      <c r="V325" s="11" t="s">
        <v>1031</v>
      </c>
      <c r="W325" s="11" t="s">
        <v>1032</v>
      </c>
      <c r="X325" s="13">
        <v>0.7</v>
      </c>
      <c r="Y325" s="12"/>
      <c r="Z325" s="11"/>
      <c r="AA325" s="11"/>
      <c r="AB325" s="11"/>
      <c r="AC325" s="11">
        <v>0</v>
      </c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 t="s">
        <v>1019</v>
      </c>
      <c r="AO325" s="11" t="s">
        <v>1200</v>
      </c>
      <c r="AP325" s="11" t="s">
        <v>1114</v>
      </c>
      <c r="AQ325" s="11"/>
      <c r="AR325" s="11" t="s">
        <v>1034</v>
      </c>
      <c r="AS325" s="11"/>
      <c r="AT325" s="11" t="s">
        <v>1034</v>
      </c>
      <c r="AU325" s="11"/>
      <c r="AV325" s="11"/>
      <c r="AW325" s="12">
        <v>1</v>
      </c>
      <c r="AX325" s="12">
        <v>1</v>
      </c>
      <c r="AY325" s="12">
        <v>2</v>
      </c>
      <c r="AZ325" s="12"/>
      <c r="BA325" s="12"/>
      <c r="BB325" s="12"/>
      <c r="BC325" s="12"/>
      <c r="BD325" s="11" t="s">
        <v>1115</v>
      </c>
      <c r="BE325" s="11" t="s">
        <v>1116</v>
      </c>
    </row>
    <row r="326" spans="1:57" s="8" customFormat="1" ht="87" x14ac:dyDescent="0.35">
      <c r="A326" s="7" t="s">
        <v>398</v>
      </c>
      <c r="B326" s="7" t="s">
        <v>399</v>
      </c>
      <c r="C326" s="3" t="s">
        <v>605</v>
      </c>
      <c r="D326" s="3" t="s">
        <v>52</v>
      </c>
      <c r="E326" s="3"/>
      <c r="F326" s="3" t="s">
        <v>53</v>
      </c>
      <c r="G326" s="3" t="s">
        <v>50</v>
      </c>
      <c r="H326" s="4">
        <v>542</v>
      </c>
      <c r="I326" s="4">
        <v>500</v>
      </c>
      <c r="J326" s="3" t="s">
        <v>26</v>
      </c>
      <c r="K326" s="4" t="b">
        <v>0</v>
      </c>
      <c r="L326" s="6">
        <v>0.33333333333333298</v>
      </c>
      <c r="M326" s="6">
        <v>0.33333333333333298</v>
      </c>
      <c r="N326" s="3" t="s">
        <v>54</v>
      </c>
      <c r="O326" s="3" t="s">
        <v>55</v>
      </c>
      <c r="P326" s="3" t="s">
        <v>190</v>
      </c>
      <c r="Q326" s="3" t="s">
        <v>1392</v>
      </c>
      <c r="R326" s="3" t="s">
        <v>1074</v>
      </c>
      <c r="S326" s="3" t="s">
        <v>1006</v>
      </c>
      <c r="T326" s="3" t="s">
        <v>1007</v>
      </c>
      <c r="U326" s="11" t="s">
        <v>2230</v>
      </c>
      <c r="V326" s="11" t="s">
        <v>1031</v>
      </c>
      <c r="W326" s="11" t="s">
        <v>1032</v>
      </c>
      <c r="X326" s="13">
        <v>0.7</v>
      </c>
      <c r="Y326" s="12"/>
      <c r="Z326" s="11"/>
      <c r="AA326" s="11"/>
      <c r="AB326" s="11"/>
      <c r="AC326" s="11">
        <v>6</v>
      </c>
      <c r="AD326" s="11" t="s">
        <v>1395</v>
      </c>
      <c r="AE326" s="11" t="s">
        <v>2231</v>
      </c>
      <c r="AF326" s="11" t="s">
        <v>1014</v>
      </c>
      <c r="AG326" s="11" t="s">
        <v>1015</v>
      </c>
      <c r="AH326" s="11" t="s">
        <v>1078</v>
      </c>
      <c r="AI326" s="11" t="s">
        <v>1016</v>
      </c>
      <c r="AJ326" s="11"/>
      <c r="AK326" s="11" t="s">
        <v>1397</v>
      </c>
      <c r="AL326" s="11" t="s">
        <v>1017</v>
      </c>
      <c r="AM326" s="11" t="s">
        <v>1398</v>
      </c>
      <c r="AN326" s="11" t="s">
        <v>1019</v>
      </c>
      <c r="AO326" s="11" t="s">
        <v>1399</v>
      </c>
      <c r="AP326" s="11" t="s">
        <v>1021</v>
      </c>
      <c r="AQ326" s="11" t="s">
        <v>1400</v>
      </c>
      <c r="AR326" s="11" t="s">
        <v>1050</v>
      </c>
      <c r="AS326" s="11" t="s">
        <v>1401</v>
      </c>
      <c r="AT326" s="11" t="s">
        <v>1050</v>
      </c>
      <c r="AU326" s="11" t="s">
        <v>1400</v>
      </c>
      <c r="AV326" s="11" t="s">
        <v>1401</v>
      </c>
      <c r="AW326" s="12">
        <v>1</v>
      </c>
      <c r="AX326" s="12">
        <v>1</v>
      </c>
      <c r="AY326" s="12">
        <v>1</v>
      </c>
      <c r="AZ326" s="12">
        <v>1</v>
      </c>
      <c r="BA326" s="12">
        <v>1</v>
      </c>
      <c r="BB326" s="12">
        <v>1</v>
      </c>
      <c r="BC326" s="12">
        <v>1</v>
      </c>
      <c r="BD326" s="11" t="s">
        <v>1026</v>
      </c>
      <c r="BE326" s="11" t="s">
        <v>1103</v>
      </c>
    </row>
    <row r="327" spans="1:57" s="8" customFormat="1" ht="43.5" x14ac:dyDescent="0.35">
      <c r="A327" s="7" t="s">
        <v>398</v>
      </c>
      <c r="B327" s="7" t="s">
        <v>399</v>
      </c>
      <c r="C327" s="3" t="s">
        <v>605</v>
      </c>
      <c r="D327" s="3" t="s">
        <v>57</v>
      </c>
      <c r="E327" s="3"/>
      <c r="F327" s="3" t="s">
        <v>53</v>
      </c>
      <c r="G327" s="3" t="s">
        <v>50</v>
      </c>
      <c r="H327" s="4">
        <v>542</v>
      </c>
      <c r="I327" s="4">
        <v>300</v>
      </c>
      <c r="J327" s="3" t="s">
        <v>26</v>
      </c>
      <c r="K327" s="4" t="b">
        <v>0</v>
      </c>
      <c r="L327" s="6">
        <v>0.33333333333333298</v>
      </c>
      <c r="M327" s="6">
        <v>0.33333333333333298</v>
      </c>
      <c r="N327" s="3" t="s">
        <v>58</v>
      </c>
      <c r="O327" s="3" t="s">
        <v>59</v>
      </c>
      <c r="P327" s="3" t="s">
        <v>190</v>
      </c>
      <c r="Q327" s="3" t="s">
        <v>1392</v>
      </c>
      <c r="R327" s="3" t="s">
        <v>1074</v>
      </c>
      <c r="S327" s="3" t="s">
        <v>1006</v>
      </c>
      <c r="T327" s="3" t="s">
        <v>1007</v>
      </c>
      <c r="U327" s="11" t="s">
        <v>2230</v>
      </c>
      <c r="V327" s="11" t="s">
        <v>1031</v>
      </c>
      <c r="W327" s="11" t="s">
        <v>1032</v>
      </c>
      <c r="X327" s="13">
        <v>0.7</v>
      </c>
      <c r="Y327" s="12"/>
      <c r="Z327" s="11"/>
      <c r="AA327" s="11"/>
      <c r="AB327" s="11"/>
      <c r="AC327" s="11">
        <v>0</v>
      </c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 t="s">
        <v>1019</v>
      </c>
      <c r="AO327" s="11" t="s">
        <v>1399</v>
      </c>
      <c r="AP327" s="11" t="s">
        <v>1021</v>
      </c>
      <c r="AQ327" s="11" t="s">
        <v>1400</v>
      </c>
      <c r="AR327" s="11" t="s">
        <v>1050</v>
      </c>
      <c r="AS327" s="11" t="s">
        <v>1401</v>
      </c>
      <c r="AT327" s="11" t="s">
        <v>1050</v>
      </c>
      <c r="AU327" s="11" t="s">
        <v>1400</v>
      </c>
      <c r="AV327" s="11" t="s">
        <v>1401</v>
      </c>
      <c r="AW327" s="12">
        <v>1</v>
      </c>
      <c r="AX327" s="12">
        <v>1</v>
      </c>
      <c r="AY327" s="12">
        <v>1</v>
      </c>
      <c r="AZ327" s="12">
        <v>1</v>
      </c>
      <c r="BA327" s="12">
        <v>1</v>
      </c>
      <c r="BB327" s="12">
        <v>1</v>
      </c>
      <c r="BC327" s="12">
        <v>1</v>
      </c>
      <c r="BD327" s="11" t="s">
        <v>1026</v>
      </c>
      <c r="BE327" s="11" t="s">
        <v>1103</v>
      </c>
    </row>
    <row r="328" spans="1:57" s="8" customFormat="1" ht="87" x14ac:dyDescent="0.35">
      <c r="A328" s="7" t="s">
        <v>398</v>
      </c>
      <c r="B328" s="7" t="s">
        <v>399</v>
      </c>
      <c r="C328" s="3" t="s">
        <v>606</v>
      </c>
      <c r="D328" s="3" t="s">
        <v>52</v>
      </c>
      <c r="E328" s="3"/>
      <c r="F328" s="3" t="s">
        <v>53</v>
      </c>
      <c r="G328" s="3" t="s">
        <v>50</v>
      </c>
      <c r="H328" s="4">
        <v>862</v>
      </c>
      <c r="I328" s="4">
        <v>500</v>
      </c>
      <c r="J328" s="3" t="s">
        <v>26</v>
      </c>
      <c r="K328" s="4" t="b">
        <v>0</v>
      </c>
      <c r="L328" s="6">
        <v>0.33333333333333298</v>
      </c>
      <c r="M328" s="6">
        <v>0.33333333333333298</v>
      </c>
      <c r="N328" s="3" t="s">
        <v>54</v>
      </c>
      <c r="O328" s="3" t="s">
        <v>55</v>
      </c>
      <c r="P328" s="3" t="s">
        <v>607</v>
      </c>
      <c r="Q328" s="3" t="s">
        <v>2232</v>
      </c>
      <c r="R328" s="3" t="s">
        <v>1139</v>
      </c>
      <c r="S328" s="3" t="s">
        <v>2233</v>
      </c>
      <c r="T328" s="3" t="s">
        <v>1007</v>
      </c>
      <c r="U328" s="11" t="s">
        <v>2234</v>
      </c>
      <c r="V328" s="11" t="s">
        <v>1009</v>
      </c>
      <c r="W328" s="11" t="s">
        <v>1010</v>
      </c>
      <c r="X328" s="13">
        <v>0.87</v>
      </c>
      <c r="Y328" s="12"/>
      <c r="Z328" s="11" t="s">
        <v>2235</v>
      </c>
      <c r="AA328" s="11"/>
      <c r="AB328" s="11"/>
      <c r="AC328" s="11">
        <v>6</v>
      </c>
      <c r="AD328" s="11" t="s">
        <v>1076</v>
      </c>
      <c r="AE328" s="11" t="s">
        <v>2236</v>
      </c>
      <c r="AF328" s="11" t="s">
        <v>1014</v>
      </c>
      <c r="AG328" s="11" t="s">
        <v>1015</v>
      </c>
      <c r="AH328" s="11"/>
      <c r="AI328" s="11" t="s">
        <v>1016</v>
      </c>
      <c r="AJ328" s="11"/>
      <c r="AK328" s="11" t="s">
        <v>1079</v>
      </c>
      <c r="AL328" s="11" t="s">
        <v>1017</v>
      </c>
      <c r="AM328" s="11" t="s">
        <v>1080</v>
      </c>
      <c r="AN328" s="11" t="s">
        <v>1019</v>
      </c>
      <c r="AO328" s="11" t="s">
        <v>1408</v>
      </c>
      <c r="AP328" s="11" t="s">
        <v>1021</v>
      </c>
      <c r="AQ328" s="11" t="s">
        <v>1409</v>
      </c>
      <c r="AR328" s="11" t="s">
        <v>1023</v>
      </c>
      <c r="AS328" s="11" t="s">
        <v>1410</v>
      </c>
      <c r="AT328" s="11" t="s">
        <v>1025</v>
      </c>
      <c r="AU328" s="11" t="s">
        <v>1409</v>
      </c>
      <c r="AV328" s="11" t="s">
        <v>1410</v>
      </c>
      <c r="AW328" s="12">
        <v>2</v>
      </c>
      <c r="AX328" s="12">
        <v>2</v>
      </c>
      <c r="AY328" s="12">
        <v>2</v>
      </c>
      <c r="AZ328" s="12">
        <v>2</v>
      </c>
      <c r="BA328" s="12">
        <v>3</v>
      </c>
      <c r="BB328" s="12">
        <v>2</v>
      </c>
      <c r="BC328" s="12">
        <v>1</v>
      </c>
      <c r="BD328" s="11" t="s">
        <v>1026</v>
      </c>
      <c r="BE328" s="11" t="s">
        <v>1027</v>
      </c>
    </row>
    <row r="329" spans="1:57" s="8" customFormat="1" ht="58" x14ac:dyDescent="0.35">
      <c r="A329" s="7" t="s">
        <v>398</v>
      </c>
      <c r="B329" s="7" t="s">
        <v>399</v>
      </c>
      <c r="C329" s="3" t="s">
        <v>606</v>
      </c>
      <c r="D329" s="3" t="s">
        <v>57</v>
      </c>
      <c r="E329" s="3"/>
      <c r="F329" s="3" t="s">
        <v>53</v>
      </c>
      <c r="G329" s="3" t="s">
        <v>50</v>
      </c>
      <c r="H329" s="4">
        <v>862</v>
      </c>
      <c r="I329" s="4">
        <v>300</v>
      </c>
      <c r="J329" s="3" t="s">
        <v>26</v>
      </c>
      <c r="K329" s="4" t="b">
        <v>0</v>
      </c>
      <c r="L329" s="6">
        <v>0.33333333333333298</v>
      </c>
      <c r="M329" s="6">
        <v>0.33333333333333298</v>
      </c>
      <c r="N329" s="3" t="s">
        <v>58</v>
      </c>
      <c r="O329" s="3" t="s">
        <v>59</v>
      </c>
      <c r="P329" s="3" t="s">
        <v>607</v>
      </c>
      <c r="Q329" s="3" t="s">
        <v>2232</v>
      </c>
      <c r="R329" s="3" t="s">
        <v>1139</v>
      </c>
      <c r="S329" s="3" t="s">
        <v>2233</v>
      </c>
      <c r="T329" s="3" t="s">
        <v>1007</v>
      </c>
      <c r="U329" s="11" t="s">
        <v>2234</v>
      </c>
      <c r="V329" s="11" t="s">
        <v>1009</v>
      </c>
      <c r="W329" s="11" t="s">
        <v>1010</v>
      </c>
      <c r="X329" s="13">
        <v>0.87</v>
      </c>
      <c r="Y329" s="12"/>
      <c r="Z329" s="11" t="s">
        <v>2235</v>
      </c>
      <c r="AA329" s="11"/>
      <c r="AB329" s="11"/>
      <c r="AC329" s="11">
        <v>1</v>
      </c>
      <c r="AD329" s="11" t="s">
        <v>1227</v>
      </c>
      <c r="AE329" s="11" t="s">
        <v>2237</v>
      </c>
      <c r="AF329" s="11" t="s">
        <v>1014</v>
      </c>
      <c r="AG329" s="11" t="s">
        <v>1015</v>
      </c>
      <c r="AH329" s="11"/>
      <c r="AI329" s="11" t="s">
        <v>1016</v>
      </c>
      <c r="AJ329" s="11"/>
      <c r="AK329" s="11" t="s">
        <v>1229</v>
      </c>
      <c r="AL329" s="11" t="s">
        <v>1017</v>
      </c>
      <c r="AM329" s="11" t="s">
        <v>1230</v>
      </c>
      <c r="AN329" s="11" t="s">
        <v>1019</v>
      </c>
      <c r="AO329" s="11" t="s">
        <v>1408</v>
      </c>
      <c r="AP329" s="11" t="s">
        <v>1021</v>
      </c>
      <c r="AQ329" s="11" t="s">
        <v>1409</v>
      </c>
      <c r="AR329" s="11" t="s">
        <v>1023</v>
      </c>
      <c r="AS329" s="11" t="s">
        <v>1410</v>
      </c>
      <c r="AT329" s="11" t="s">
        <v>1025</v>
      </c>
      <c r="AU329" s="11" t="s">
        <v>1409</v>
      </c>
      <c r="AV329" s="11" t="s">
        <v>1410</v>
      </c>
      <c r="AW329" s="12">
        <v>2</v>
      </c>
      <c r="AX329" s="12">
        <v>2</v>
      </c>
      <c r="AY329" s="12">
        <v>2</v>
      </c>
      <c r="AZ329" s="12">
        <v>2</v>
      </c>
      <c r="BA329" s="12">
        <v>3</v>
      </c>
      <c r="BB329" s="12">
        <v>2</v>
      </c>
      <c r="BC329" s="12">
        <v>1</v>
      </c>
      <c r="BD329" s="11" t="s">
        <v>1026</v>
      </c>
      <c r="BE329" s="11" t="s">
        <v>1027</v>
      </c>
    </row>
    <row r="330" spans="1:57" s="8" customFormat="1" ht="58" x14ac:dyDescent="0.35">
      <c r="A330" s="7" t="s">
        <v>398</v>
      </c>
      <c r="B330" s="7" t="s">
        <v>399</v>
      </c>
      <c r="C330" s="3" t="s">
        <v>608</v>
      </c>
      <c r="D330" s="3" t="s">
        <v>52</v>
      </c>
      <c r="E330" s="3"/>
      <c r="F330" s="3" t="s">
        <v>53</v>
      </c>
      <c r="G330" s="3" t="s">
        <v>50</v>
      </c>
      <c r="H330" s="4">
        <v>430</v>
      </c>
      <c r="I330" s="4">
        <v>500</v>
      </c>
      <c r="J330" s="3" t="s">
        <v>74</v>
      </c>
      <c r="K330" s="4" t="b">
        <v>0</v>
      </c>
      <c r="L330" s="6">
        <v>0.33333333333333298</v>
      </c>
      <c r="M330" s="6">
        <v>0.33333333333333298</v>
      </c>
      <c r="N330" s="3" t="s">
        <v>54</v>
      </c>
      <c r="O330" s="3" t="s">
        <v>55</v>
      </c>
      <c r="P330" s="3" t="s">
        <v>609</v>
      </c>
      <c r="Q330" s="3" t="s">
        <v>2238</v>
      </c>
      <c r="R330" s="3" t="s">
        <v>1074</v>
      </c>
      <c r="S330" s="3" t="s">
        <v>1006</v>
      </c>
      <c r="T330" s="3" t="s">
        <v>2014</v>
      </c>
      <c r="U330" s="11" t="s">
        <v>2239</v>
      </c>
      <c r="V330" s="11" t="s">
        <v>1031</v>
      </c>
      <c r="W330" s="11" t="s">
        <v>1032</v>
      </c>
      <c r="X330" s="13">
        <v>0.7</v>
      </c>
      <c r="Y330" s="12"/>
      <c r="Z330" s="11"/>
      <c r="AA330" s="11"/>
      <c r="AB330" s="11"/>
      <c r="AC330" s="11">
        <v>4</v>
      </c>
      <c r="AD330" s="11" t="s">
        <v>1076</v>
      </c>
      <c r="AE330" s="11" t="s">
        <v>2240</v>
      </c>
      <c r="AF330" s="11" t="s">
        <v>1014</v>
      </c>
      <c r="AG330" s="11" t="s">
        <v>1015</v>
      </c>
      <c r="AH330" s="11" t="s">
        <v>1078</v>
      </c>
      <c r="AI330" s="11" t="s">
        <v>1016</v>
      </c>
      <c r="AJ330" s="11"/>
      <c r="AK330" s="11" t="s">
        <v>1079</v>
      </c>
      <c r="AL330" s="11" t="s">
        <v>1017</v>
      </c>
      <c r="AM330" s="11" t="s">
        <v>1080</v>
      </c>
      <c r="AN330" s="11" t="s">
        <v>1019</v>
      </c>
      <c r="AO330" s="11" t="s">
        <v>1296</v>
      </c>
      <c r="AP330" s="11" t="s">
        <v>1021</v>
      </c>
      <c r="AQ330" s="11" t="s">
        <v>1297</v>
      </c>
      <c r="AR330" s="11" t="s">
        <v>1048</v>
      </c>
      <c r="AS330" s="11" t="s">
        <v>1298</v>
      </c>
      <c r="AT330" s="11" t="s">
        <v>1050</v>
      </c>
      <c r="AU330" s="11" t="s">
        <v>1297</v>
      </c>
      <c r="AV330" s="11" t="s">
        <v>1298</v>
      </c>
      <c r="AW330" s="12">
        <v>1</v>
      </c>
      <c r="AX330" s="12">
        <v>1</v>
      </c>
      <c r="AY330" s="12">
        <v>1</v>
      </c>
      <c r="AZ330" s="12">
        <v>1</v>
      </c>
      <c r="BA330" s="12">
        <v>2</v>
      </c>
      <c r="BB330" s="12">
        <v>1</v>
      </c>
      <c r="BC330" s="12">
        <v>1</v>
      </c>
      <c r="BD330" s="11" t="s">
        <v>1026</v>
      </c>
      <c r="BE330" s="11" t="s">
        <v>1051</v>
      </c>
    </row>
    <row r="331" spans="1:57" s="8" customFormat="1" ht="58" x14ac:dyDescent="0.35">
      <c r="A331" s="7" t="s">
        <v>398</v>
      </c>
      <c r="B331" s="7" t="s">
        <v>399</v>
      </c>
      <c r="C331" s="3" t="s">
        <v>608</v>
      </c>
      <c r="D331" s="3" t="s">
        <v>57</v>
      </c>
      <c r="E331" s="3"/>
      <c r="F331" s="3" t="s">
        <v>53</v>
      </c>
      <c r="G331" s="3" t="s">
        <v>50</v>
      </c>
      <c r="H331" s="4">
        <v>430</v>
      </c>
      <c r="I331" s="4">
        <v>300</v>
      </c>
      <c r="J331" s="3" t="s">
        <v>26</v>
      </c>
      <c r="K331" s="4" t="b">
        <v>0</v>
      </c>
      <c r="L331" s="6">
        <v>0.33333333333333298</v>
      </c>
      <c r="M331" s="6">
        <v>0.33333333333333298</v>
      </c>
      <c r="N331" s="3" t="s">
        <v>58</v>
      </c>
      <c r="O331" s="3" t="s">
        <v>59</v>
      </c>
      <c r="P331" s="3" t="s">
        <v>609</v>
      </c>
      <c r="Q331" s="3" t="s">
        <v>2238</v>
      </c>
      <c r="R331" s="3" t="s">
        <v>1074</v>
      </c>
      <c r="S331" s="3" t="s">
        <v>1006</v>
      </c>
      <c r="T331" s="3" t="s">
        <v>2014</v>
      </c>
      <c r="U331" s="11" t="s">
        <v>2239</v>
      </c>
      <c r="V331" s="11" t="s">
        <v>1031</v>
      </c>
      <c r="W331" s="11" t="s">
        <v>1032</v>
      </c>
      <c r="X331" s="13">
        <v>0.7</v>
      </c>
      <c r="Y331" s="12"/>
      <c r="Z331" s="11"/>
      <c r="AA331" s="11"/>
      <c r="AB331" s="11"/>
      <c r="AC331" s="11">
        <v>0</v>
      </c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 t="s">
        <v>1019</v>
      </c>
      <c r="AO331" s="11" t="s">
        <v>1296</v>
      </c>
      <c r="AP331" s="11" t="s">
        <v>1021</v>
      </c>
      <c r="AQ331" s="11" t="s">
        <v>1297</v>
      </c>
      <c r="AR331" s="11" t="s">
        <v>1048</v>
      </c>
      <c r="AS331" s="11" t="s">
        <v>1298</v>
      </c>
      <c r="AT331" s="11" t="s">
        <v>1050</v>
      </c>
      <c r="AU331" s="11" t="s">
        <v>1297</v>
      </c>
      <c r="AV331" s="11" t="s">
        <v>1298</v>
      </c>
      <c r="AW331" s="12">
        <v>1</v>
      </c>
      <c r="AX331" s="12">
        <v>1</v>
      </c>
      <c r="AY331" s="12">
        <v>1</v>
      </c>
      <c r="AZ331" s="12">
        <v>1</v>
      </c>
      <c r="BA331" s="12">
        <v>2</v>
      </c>
      <c r="BB331" s="12">
        <v>1</v>
      </c>
      <c r="BC331" s="12">
        <v>1</v>
      </c>
      <c r="BD331" s="11" t="s">
        <v>1026</v>
      </c>
      <c r="BE331" s="11" t="s">
        <v>1051</v>
      </c>
    </row>
    <row r="332" spans="1:57" s="8" customFormat="1" ht="203" x14ac:dyDescent="0.35">
      <c r="A332" s="7" t="s">
        <v>398</v>
      </c>
      <c r="B332" s="7" t="s">
        <v>399</v>
      </c>
      <c r="C332" s="3" t="s">
        <v>610</v>
      </c>
      <c r="D332" s="3" t="s">
        <v>52</v>
      </c>
      <c r="E332" s="3"/>
      <c r="F332" s="3" t="s">
        <v>53</v>
      </c>
      <c r="G332" s="3" t="s">
        <v>50</v>
      </c>
      <c r="H332" s="4">
        <v>548</v>
      </c>
      <c r="I332" s="4">
        <v>500</v>
      </c>
      <c r="J332" s="3" t="s">
        <v>26</v>
      </c>
      <c r="K332" s="4" t="b">
        <v>0</v>
      </c>
      <c r="L332" s="6">
        <v>0.33333333333333298</v>
      </c>
      <c r="M332" s="6">
        <v>0.33333333333333298</v>
      </c>
      <c r="N332" s="3" t="s">
        <v>54</v>
      </c>
      <c r="O332" s="3" t="s">
        <v>55</v>
      </c>
      <c r="P332" s="3" t="s">
        <v>611</v>
      </c>
      <c r="Q332" s="3" t="s">
        <v>2241</v>
      </c>
      <c r="R332" s="3" t="s">
        <v>1139</v>
      </c>
      <c r="S332" s="3" t="s">
        <v>2242</v>
      </c>
      <c r="T332" s="3" t="s">
        <v>1007</v>
      </c>
      <c r="U332" s="11" t="s">
        <v>2243</v>
      </c>
      <c r="V332" s="11" t="s">
        <v>1096</v>
      </c>
      <c r="W332" s="11" t="s">
        <v>1097</v>
      </c>
      <c r="X332" s="13">
        <v>0.73</v>
      </c>
      <c r="Y332" s="12"/>
      <c r="Z332" s="11" t="s">
        <v>2244</v>
      </c>
      <c r="AA332" s="11"/>
      <c r="AB332" s="11"/>
      <c r="AC332" s="11">
        <v>2</v>
      </c>
      <c r="AD332" s="11" t="s">
        <v>1076</v>
      </c>
      <c r="AE332" s="11" t="s">
        <v>2245</v>
      </c>
      <c r="AF332" s="11" t="s">
        <v>1014</v>
      </c>
      <c r="AG332" s="11" t="s">
        <v>1015</v>
      </c>
      <c r="AH332" s="11"/>
      <c r="AI332" s="11" t="s">
        <v>1016</v>
      </c>
      <c r="AJ332" s="11"/>
      <c r="AK332" s="11" t="s">
        <v>1079</v>
      </c>
      <c r="AL332" s="11" t="s">
        <v>1017</v>
      </c>
      <c r="AM332" s="11" t="s">
        <v>1080</v>
      </c>
      <c r="AN332" s="11" t="s">
        <v>1019</v>
      </c>
      <c r="AO332" s="11" t="s">
        <v>2246</v>
      </c>
      <c r="AP332" s="11" t="s">
        <v>1021</v>
      </c>
      <c r="AQ332" s="11" t="s">
        <v>2247</v>
      </c>
      <c r="AR332" s="11" t="s">
        <v>1023</v>
      </c>
      <c r="AS332" s="11" t="s">
        <v>2248</v>
      </c>
      <c r="AT332" s="11" t="s">
        <v>1025</v>
      </c>
      <c r="AU332" s="11" t="s">
        <v>2247</v>
      </c>
      <c r="AV332" s="11" t="s">
        <v>2248</v>
      </c>
      <c r="AW332" s="12">
        <v>1</v>
      </c>
      <c r="AX332" s="12">
        <v>2</v>
      </c>
      <c r="AY332" s="12">
        <v>1</v>
      </c>
      <c r="AZ332" s="12">
        <v>2</v>
      </c>
      <c r="BA332" s="12">
        <v>14</v>
      </c>
      <c r="BB332" s="12">
        <v>2</v>
      </c>
      <c r="BC332" s="12">
        <v>1</v>
      </c>
      <c r="BD332" s="11" t="s">
        <v>1026</v>
      </c>
      <c r="BE332" s="11" t="s">
        <v>1027</v>
      </c>
    </row>
    <row r="333" spans="1:57" s="8" customFormat="1" ht="203" x14ac:dyDescent="0.35">
      <c r="A333" s="7" t="s">
        <v>398</v>
      </c>
      <c r="B333" s="7" t="s">
        <v>399</v>
      </c>
      <c r="C333" s="3" t="s">
        <v>610</v>
      </c>
      <c r="D333" s="3" t="s">
        <v>57</v>
      </c>
      <c r="E333" s="3"/>
      <c r="F333" s="3" t="s">
        <v>53</v>
      </c>
      <c r="G333" s="3" t="s">
        <v>50</v>
      </c>
      <c r="H333" s="4">
        <v>548</v>
      </c>
      <c r="I333" s="4">
        <v>300</v>
      </c>
      <c r="J333" s="3" t="s">
        <v>26</v>
      </c>
      <c r="K333" s="4" t="b">
        <v>0</v>
      </c>
      <c r="L333" s="6">
        <v>0.33333333333333298</v>
      </c>
      <c r="M333" s="6">
        <v>0.33333333333333298</v>
      </c>
      <c r="N333" s="3" t="s">
        <v>58</v>
      </c>
      <c r="O333" s="3" t="s">
        <v>59</v>
      </c>
      <c r="P333" s="3" t="s">
        <v>611</v>
      </c>
      <c r="Q333" s="3" t="s">
        <v>2241</v>
      </c>
      <c r="R333" s="3" t="s">
        <v>1139</v>
      </c>
      <c r="S333" s="3" t="s">
        <v>2242</v>
      </c>
      <c r="T333" s="3" t="s">
        <v>1007</v>
      </c>
      <c r="U333" s="11" t="s">
        <v>2243</v>
      </c>
      <c r="V333" s="11" t="s">
        <v>1096</v>
      </c>
      <c r="W333" s="11" t="s">
        <v>1097</v>
      </c>
      <c r="X333" s="13">
        <v>0.73</v>
      </c>
      <c r="Y333" s="12"/>
      <c r="Z333" s="11" t="s">
        <v>2244</v>
      </c>
      <c r="AA333" s="11"/>
      <c r="AB333" s="11"/>
      <c r="AC333" s="11">
        <v>0</v>
      </c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 t="s">
        <v>1019</v>
      </c>
      <c r="AO333" s="11" t="s">
        <v>2246</v>
      </c>
      <c r="AP333" s="11" t="s">
        <v>1021</v>
      </c>
      <c r="AQ333" s="11" t="s">
        <v>2247</v>
      </c>
      <c r="AR333" s="11" t="s">
        <v>1023</v>
      </c>
      <c r="AS333" s="11" t="s">
        <v>2248</v>
      </c>
      <c r="AT333" s="11" t="s">
        <v>1025</v>
      </c>
      <c r="AU333" s="11" t="s">
        <v>2247</v>
      </c>
      <c r="AV333" s="11" t="s">
        <v>2248</v>
      </c>
      <c r="AW333" s="12">
        <v>1</v>
      </c>
      <c r="AX333" s="12">
        <v>2</v>
      </c>
      <c r="AY333" s="12">
        <v>1</v>
      </c>
      <c r="AZ333" s="12">
        <v>2</v>
      </c>
      <c r="BA333" s="12">
        <v>14</v>
      </c>
      <c r="BB333" s="12">
        <v>2</v>
      </c>
      <c r="BC333" s="12">
        <v>1</v>
      </c>
      <c r="BD333" s="11" t="s">
        <v>1026</v>
      </c>
      <c r="BE333" s="11" t="s">
        <v>1027</v>
      </c>
    </row>
    <row r="334" spans="1:57" s="8" customFormat="1" ht="203" x14ac:dyDescent="0.35">
      <c r="A334" s="7" t="s">
        <v>398</v>
      </c>
      <c r="B334" s="7" t="s">
        <v>399</v>
      </c>
      <c r="C334" s="3" t="s">
        <v>610</v>
      </c>
      <c r="D334" s="3" t="s">
        <v>98</v>
      </c>
      <c r="E334" s="3"/>
      <c r="F334" s="3" t="s">
        <v>53</v>
      </c>
      <c r="G334" s="3" t="s">
        <v>50</v>
      </c>
      <c r="H334" s="4">
        <v>548</v>
      </c>
      <c r="I334" s="4">
        <v>300</v>
      </c>
      <c r="J334" s="3" t="s">
        <v>26</v>
      </c>
      <c r="K334" s="4" t="b">
        <v>0</v>
      </c>
      <c r="L334" s="6">
        <v>0.5</v>
      </c>
      <c r="M334" s="6">
        <v>0.5</v>
      </c>
      <c r="N334" s="3" t="s">
        <v>58</v>
      </c>
      <c r="O334" s="3" t="s">
        <v>99</v>
      </c>
      <c r="P334" s="3" t="s">
        <v>611</v>
      </c>
      <c r="Q334" s="3" t="s">
        <v>2241</v>
      </c>
      <c r="R334" s="3" t="s">
        <v>1139</v>
      </c>
      <c r="S334" s="3" t="s">
        <v>2242</v>
      </c>
      <c r="T334" s="3" t="s">
        <v>1007</v>
      </c>
      <c r="U334" s="11" t="s">
        <v>2243</v>
      </c>
      <c r="V334" s="11" t="s">
        <v>1096</v>
      </c>
      <c r="W334" s="11" t="s">
        <v>1097</v>
      </c>
      <c r="X334" s="13">
        <v>0.73</v>
      </c>
      <c r="Y334" s="12"/>
      <c r="Z334" s="11" t="s">
        <v>2244</v>
      </c>
      <c r="AA334" s="11"/>
      <c r="AB334" s="11"/>
      <c r="AC334" s="11">
        <v>0</v>
      </c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 t="s">
        <v>1019</v>
      </c>
      <c r="AO334" s="11" t="s">
        <v>2246</v>
      </c>
      <c r="AP334" s="11" t="s">
        <v>1021</v>
      </c>
      <c r="AQ334" s="11" t="s">
        <v>2247</v>
      </c>
      <c r="AR334" s="11" t="s">
        <v>1023</v>
      </c>
      <c r="AS334" s="11" t="s">
        <v>2248</v>
      </c>
      <c r="AT334" s="11" t="s">
        <v>1025</v>
      </c>
      <c r="AU334" s="11" t="s">
        <v>2247</v>
      </c>
      <c r="AV334" s="11" t="s">
        <v>2248</v>
      </c>
      <c r="AW334" s="12">
        <v>1</v>
      </c>
      <c r="AX334" s="12">
        <v>2</v>
      </c>
      <c r="AY334" s="12">
        <v>1</v>
      </c>
      <c r="AZ334" s="12">
        <v>2</v>
      </c>
      <c r="BA334" s="12">
        <v>14</v>
      </c>
      <c r="BB334" s="12">
        <v>2</v>
      </c>
      <c r="BC334" s="12">
        <v>1</v>
      </c>
      <c r="BD334" s="11" t="s">
        <v>1026</v>
      </c>
      <c r="BE334" s="11" t="s">
        <v>1027</v>
      </c>
    </row>
    <row r="335" spans="1:57" s="8" customFormat="1" ht="72.5" x14ac:dyDescent="0.35">
      <c r="A335" s="7" t="s">
        <v>398</v>
      </c>
      <c r="B335" s="7" t="s">
        <v>399</v>
      </c>
      <c r="C335" s="3" t="s">
        <v>612</v>
      </c>
      <c r="D335" s="3" t="s">
        <v>52</v>
      </c>
      <c r="E335" s="3"/>
      <c r="F335" s="3" t="s">
        <v>53</v>
      </c>
      <c r="G335" s="3" t="s">
        <v>50</v>
      </c>
      <c r="H335" s="4">
        <v>923</v>
      </c>
      <c r="I335" s="4">
        <v>500</v>
      </c>
      <c r="J335" s="3" t="s">
        <v>26</v>
      </c>
      <c r="K335" s="4" t="b">
        <v>0</v>
      </c>
      <c r="L335" s="6">
        <v>0.33333333333333298</v>
      </c>
      <c r="M335" s="6">
        <v>0.33333333333333298</v>
      </c>
      <c r="N335" s="3" t="s">
        <v>54</v>
      </c>
      <c r="O335" s="3" t="s">
        <v>55</v>
      </c>
      <c r="P335" s="3" t="s">
        <v>613</v>
      </c>
      <c r="Q335" s="3" t="s">
        <v>2249</v>
      </c>
      <c r="R335" s="3" t="s">
        <v>1029</v>
      </c>
      <c r="S335" s="3" t="s">
        <v>1006</v>
      </c>
      <c r="T335" s="3" t="s">
        <v>1007</v>
      </c>
      <c r="U335" s="11" t="s">
        <v>2250</v>
      </c>
      <c r="V335" s="11" t="s">
        <v>1031</v>
      </c>
      <c r="W335" s="11" t="s">
        <v>1032</v>
      </c>
      <c r="X335" s="13">
        <v>0.7</v>
      </c>
      <c r="Y335" s="12"/>
      <c r="Z335" s="11"/>
      <c r="AA335" s="11"/>
      <c r="AB335" s="11"/>
      <c r="AC335" s="11">
        <v>2</v>
      </c>
      <c r="AD335" s="11" t="s">
        <v>1452</v>
      </c>
      <c r="AE335" s="11" t="s">
        <v>2251</v>
      </c>
      <c r="AF335" s="11" t="s">
        <v>1014</v>
      </c>
      <c r="AG335" s="11" t="s">
        <v>1015</v>
      </c>
      <c r="AH335" s="11"/>
      <c r="AI335" s="11" t="s">
        <v>1016</v>
      </c>
      <c r="AJ335" s="11"/>
      <c r="AK335" s="11" t="s">
        <v>1454</v>
      </c>
      <c r="AL335" s="11" t="s">
        <v>1017</v>
      </c>
      <c r="AM335" s="11" t="s">
        <v>1455</v>
      </c>
      <c r="AN335" s="11" t="s">
        <v>1019</v>
      </c>
      <c r="AO335" s="11" t="s">
        <v>1614</v>
      </c>
      <c r="AP335" s="11" t="s">
        <v>1114</v>
      </c>
      <c r="AQ335" s="11"/>
      <c r="AR335" s="11" t="s">
        <v>1034</v>
      </c>
      <c r="AS335" s="11"/>
      <c r="AT335" s="11" t="s">
        <v>1034</v>
      </c>
      <c r="AU335" s="11"/>
      <c r="AV335" s="11"/>
      <c r="AW335" s="12">
        <v>1</v>
      </c>
      <c r="AX335" s="12">
        <v>1</v>
      </c>
      <c r="AY335" s="12">
        <v>1</v>
      </c>
      <c r="AZ335" s="12"/>
      <c r="BA335" s="12"/>
      <c r="BB335" s="12"/>
      <c r="BC335" s="12"/>
      <c r="BD335" s="11" t="s">
        <v>1115</v>
      </c>
      <c r="BE335" s="11" t="s">
        <v>1116</v>
      </c>
    </row>
    <row r="336" spans="1:57" s="8" customFormat="1" ht="58" x14ac:dyDescent="0.35">
      <c r="A336" s="7" t="s">
        <v>398</v>
      </c>
      <c r="B336" s="7" t="s">
        <v>399</v>
      </c>
      <c r="C336" s="3" t="s">
        <v>614</v>
      </c>
      <c r="D336" s="3" t="s">
        <v>57</v>
      </c>
      <c r="E336" s="3"/>
      <c r="F336" s="3" t="s">
        <v>53</v>
      </c>
      <c r="G336" s="3" t="s">
        <v>50</v>
      </c>
      <c r="H336" s="4">
        <v>465</v>
      </c>
      <c r="I336" s="4">
        <v>300</v>
      </c>
      <c r="J336" s="3" t="s">
        <v>26</v>
      </c>
      <c r="K336" s="4" t="b">
        <v>0</v>
      </c>
      <c r="L336" s="6">
        <v>0.33333333333333298</v>
      </c>
      <c r="M336" s="6">
        <v>0.33333333333333298</v>
      </c>
      <c r="N336" s="3" t="s">
        <v>58</v>
      </c>
      <c r="O336" s="3" t="s">
        <v>59</v>
      </c>
      <c r="P336" s="3" t="s">
        <v>615</v>
      </c>
      <c r="Q336" s="3" t="s">
        <v>2252</v>
      </c>
      <c r="R336" s="3" t="s">
        <v>1029</v>
      </c>
      <c r="S336" s="3" t="s">
        <v>1006</v>
      </c>
      <c r="T336" s="3" t="s">
        <v>1007</v>
      </c>
      <c r="U336" s="11" t="s">
        <v>2253</v>
      </c>
      <c r="V336" s="11" t="s">
        <v>1064</v>
      </c>
      <c r="W336" s="11" t="s">
        <v>1065</v>
      </c>
      <c r="X336" s="13">
        <v>1</v>
      </c>
      <c r="Y336" s="12"/>
      <c r="Z336" s="11"/>
      <c r="AA336" s="11"/>
      <c r="AB336" s="11"/>
      <c r="AC336" s="11">
        <v>2</v>
      </c>
      <c r="AD336" s="11" t="s">
        <v>1227</v>
      </c>
      <c r="AE336" s="11" t="s">
        <v>2254</v>
      </c>
      <c r="AF336" s="11" t="s">
        <v>1014</v>
      </c>
      <c r="AG336" s="11" t="s">
        <v>1015</v>
      </c>
      <c r="AH336" s="11" t="s">
        <v>1078</v>
      </c>
      <c r="AI336" s="11" t="s">
        <v>1016</v>
      </c>
      <c r="AJ336" s="11"/>
      <c r="AK336" s="11" t="s">
        <v>1229</v>
      </c>
      <c r="AL336" s="11" t="s">
        <v>1017</v>
      </c>
      <c r="AM336" s="11" t="s">
        <v>1230</v>
      </c>
      <c r="AN336" s="11" t="s">
        <v>1019</v>
      </c>
      <c r="AO336" s="11" t="s">
        <v>1915</v>
      </c>
      <c r="AP336" s="11" t="s">
        <v>1021</v>
      </c>
      <c r="AQ336" s="11" t="s">
        <v>1916</v>
      </c>
      <c r="AR336" s="11" t="s">
        <v>1023</v>
      </c>
      <c r="AS336" s="11" t="s">
        <v>1917</v>
      </c>
      <c r="AT336" s="11" t="s">
        <v>1025</v>
      </c>
      <c r="AU336" s="11" t="s">
        <v>1916</v>
      </c>
      <c r="AV336" s="11" t="s">
        <v>1917</v>
      </c>
      <c r="AW336" s="12">
        <v>2</v>
      </c>
      <c r="AX336" s="12">
        <v>2</v>
      </c>
      <c r="AY336" s="12">
        <v>2</v>
      </c>
      <c r="AZ336" s="12">
        <v>2</v>
      </c>
      <c r="BA336" s="12">
        <v>4</v>
      </c>
      <c r="BB336" s="12">
        <v>2</v>
      </c>
      <c r="BC336" s="12">
        <v>1</v>
      </c>
      <c r="BD336" s="11" t="s">
        <v>1026</v>
      </c>
      <c r="BE336" s="11" t="s">
        <v>1027</v>
      </c>
    </row>
    <row r="337" spans="1:57" s="8" customFormat="1" ht="58" x14ac:dyDescent="0.35">
      <c r="A337" s="7" t="s">
        <v>398</v>
      </c>
      <c r="B337" s="7" t="s">
        <v>399</v>
      </c>
      <c r="C337" s="3" t="s">
        <v>616</v>
      </c>
      <c r="D337" s="3" t="s">
        <v>41</v>
      </c>
      <c r="E337" s="3" t="s">
        <v>41</v>
      </c>
      <c r="F337" s="3" t="s">
        <v>36</v>
      </c>
      <c r="G337" s="3" t="s">
        <v>25</v>
      </c>
      <c r="H337" s="4">
        <v>1296</v>
      </c>
      <c r="I337" s="4">
        <v>150</v>
      </c>
      <c r="J337" s="3" t="s">
        <v>26</v>
      </c>
      <c r="K337" s="4" t="b">
        <v>1</v>
      </c>
      <c r="L337" s="6">
        <v>1</v>
      </c>
      <c r="M337" s="6">
        <v>1</v>
      </c>
      <c r="N337" s="3" t="s">
        <v>42</v>
      </c>
      <c r="O337" s="3"/>
      <c r="P337" s="3" t="s">
        <v>617</v>
      </c>
      <c r="Q337" s="3" t="s">
        <v>2255</v>
      </c>
      <c r="R337" s="3" t="s">
        <v>1039</v>
      </c>
      <c r="S337" s="3" t="s">
        <v>2256</v>
      </c>
      <c r="T337" s="3" t="s">
        <v>2257</v>
      </c>
      <c r="U337" s="11" t="s">
        <v>2258</v>
      </c>
      <c r="V337" s="11" t="s">
        <v>1043</v>
      </c>
      <c r="W337" s="11" t="s">
        <v>1044</v>
      </c>
      <c r="X337" s="13">
        <v>0.83</v>
      </c>
      <c r="Y337" s="12" t="s">
        <v>1445</v>
      </c>
      <c r="Z337" s="11"/>
      <c r="AA337" s="11"/>
      <c r="AB337" s="11"/>
      <c r="AC337" s="11">
        <v>2</v>
      </c>
      <c r="AD337" s="11" t="s">
        <v>1148</v>
      </c>
      <c r="AE337" s="11" t="s">
        <v>2259</v>
      </c>
      <c r="AF337" s="11" t="s">
        <v>1014</v>
      </c>
      <c r="AG337" s="11" t="s">
        <v>1150</v>
      </c>
      <c r="AH337" s="11"/>
      <c r="AI337" s="11" t="s">
        <v>1016</v>
      </c>
      <c r="AJ337" s="11"/>
      <c r="AK337" s="11" t="s">
        <v>1151</v>
      </c>
      <c r="AL337" s="11" t="s">
        <v>1017</v>
      </c>
      <c r="AM337" s="11" t="s">
        <v>1152</v>
      </c>
      <c r="AN337" s="11" t="s">
        <v>1019</v>
      </c>
      <c r="AO337" s="11" t="s">
        <v>1480</v>
      </c>
      <c r="AP337" s="11" t="s">
        <v>1021</v>
      </c>
      <c r="AQ337" s="11" t="s">
        <v>1481</v>
      </c>
      <c r="AR337" s="11" t="s">
        <v>1023</v>
      </c>
      <c r="AS337" s="11"/>
      <c r="AT337" s="11" t="s">
        <v>1034</v>
      </c>
      <c r="AU337" s="11" t="s">
        <v>1481</v>
      </c>
      <c r="AV337" s="11"/>
      <c r="AW337" s="12">
        <v>3</v>
      </c>
      <c r="AX337" s="12">
        <v>3</v>
      </c>
      <c r="AY337" s="12">
        <v>3</v>
      </c>
      <c r="AZ337" s="12">
        <v>3</v>
      </c>
      <c r="BA337" s="12">
        <v>5</v>
      </c>
      <c r="BB337" s="12"/>
      <c r="BC337" s="12"/>
      <c r="BD337" s="11" t="s">
        <v>1093</v>
      </c>
      <c r="BE337" s="11" t="s">
        <v>1037</v>
      </c>
    </row>
    <row r="338" spans="1:57" s="8" customFormat="1" ht="58" x14ac:dyDescent="0.35">
      <c r="A338" s="7" t="s">
        <v>398</v>
      </c>
      <c r="B338" s="7" t="s">
        <v>399</v>
      </c>
      <c r="C338" s="3" t="s">
        <v>618</v>
      </c>
      <c r="D338" s="3" t="s">
        <v>57</v>
      </c>
      <c r="E338" s="3"/>
      <c r="F338" s="3" t="s">
        <v>53</v>
      </c>
      <c r="G338" s="3" t="s">
        <v>50</v>
      </c>
      <c r="H338" s="4">
        <v>623</v>
      </c>
      <c r="I338" s="4">
        <v>300</v>
      </c>
      <c r="J338" s="3" t="s">
        <v>26</v>
      </c>
      <c r="K338" s="4" t="b">
        <v>0</v>
      </c>
      <c r="L338" s="6">
        <v>0.33333333333333298</v>
      </c>
      <c r="M338" s="6">
        <v>0.33333333333333298</v>
      </c>
      <c r="N338" s="3" t="s">
        <v>58</v>
      </c>
      <c r="O338" s="3" t="s">
        <v>59</v>
      </c>
      <c r="P338" s="3" t="s">
        <v>619</v>
      </c>
      <c r="Q338" s="3" t="s">
        <v>1169</v>
      </c>
      <c r="R338" s="3" t="s">
        <v>1029</v>
      </c>
      <c r="S338" s="3" t="s">
        <v>1006</v>
      </c>
      <c r="T338" s="3" t="s">
        <v>1007</v>
      </c>
      <c r="U338" s="11" t="s">
        <v>2260</v>
      </c>
      <c r="V338" s="11" t="s">
        <v>1031</v>
      </c>
      <c r="W338" s="11" t="s">
        <v>1032</v>
      </c>
      <c r="X338" s="13">
        <v>0.7</v>
      </c>
      <c r="Y338" s="12"/>
      <c r="Z338" s="11"/>
      <c r="AA338" s="11"/>
      <c r="AB338" s="11"/>
      <c r="AC338" s="11">
        <v>0</v>
      </c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 t="s">
        <v>1019</v>
      </c>
      <c r="AO338" s="11" t="s">
        <v>1171</v>
      </c>
      <c r="AP338" s="11" t="s">
        <v>1021</v>
      </c>
      <c r="AQ338" s="11" t="s">
        <v>1172</v>
      </c>
      <c r="AR338" s="11" t="s">
        <v>1048</v>
      </c>
      <c r="AS338" s="11" t="s">
        <v>1173</v>
      </c>
      <c r="AT338" s="11" t="s">
        <v>1050</v>
      </c>
      <c r="AU338" s="11" t="s">
        <v>1172</v>
      </c>
      <c r="AV338" s="11" t="s">
        <v>1173</v>
      </c>
      <c r="AW338" s="12">
        <v>1</v>
      </c>
      <c r="AX338" s="12">
        <v>1</v>
      </c>
      <c r="AY338" s="12">
        <v>1</v>
      </c>
      <c r="AZ338" s="12">
        <v>1</v>
      </c>
      <c r="BA338" s="12">
        <v>2</v>
      </c>
      <c r="BB338" s="12">
        <v>1</v>
      </c>
      <c r="BC338" s="12">
        <v>1</v>
      </c>
      <c r="BD338" s="11" t="s">
        <v>1026</v>
      </c>
      <c r="BE338" s="11" t="s">
        <v>1051</v>
      </c>
    </row>
    <row r="339" spans="1:57" s="8" customFormat="1" ht="58" x14ac:dyDescent="0.35">
      <c r="A339" s="7" t="s">
        <v>398</v>
      </c>
      <c r="B339" s="7" t="s">
        <v>399</v>
      </c>
      <c r="C339" s="3" t="s">
        <v>618</v>
      </c>
      <c r="D339" s="3" t="s">
        <v>98</v>
      </c>
      <c r="E339" s="3"/>
      <c r="F339" s="3" t="s">
        <v>53</v>
      </c>
      <c r="G339" s="3" t="s">
        <v>50</v>
      </c>
      <c r="H339" s="4">
        <v>623</v>
      </c>
      <c r="I339" s="4">
        <v>300</v>
      </c>
      <c r="J339" s="3" t="s">
        <v>26</v>
      </c>
      <c r="K339" s="4" t="b">
        <v>0</v>
      </c>
      <c r="L339" s="6">
        <v>0.5</v>
      </c>
      <c r="M339" s="6">
        <v>0.5</v>
      </c>
      <c r="N339" s="3" t="s">
        <v>58</v>
      </c>
      <c r="O339" s="3" t="s">
        <v>99</v>
      </c>
      <c r="P339" s="3" t="s">
        <v>619</v>
      </c>
      <c r="Q339" s="3" t="s">
        <v>1169</v>
      </c>
      <c r="R339" s="3" t="s">
        <v>1029</v>
      </c>
      <c r="S339" s="3" t="s">
        <v>1006</v>
      </c>
      <c r="T339" s="3" t="s">
        <v>1007</v>
      </c>
      <c r="U339" s="11" t="s">
        <v>2260</v>
      </c>
      <c r="V339" s="11" t="s">
        <v>1031</v>
      </c>
      <c r="W339" s="11" t="s">
        <v>1032</v>
      </c>
      <c r="X339" s="13">
        <v>0.7</v>
      </c>
      <c r="Y339" s="12"/>
      <c r="Z339" s="11"/>
      <c r="AA339" s="11"/>
      <c r="AB339" s="11"/>
      <c r="AC339" s="11">
        <v>0</v>
      </c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 t="s">
        <v>1019</v>
      </c>
      <c r="AO339" s="11" t="s">
        <v>1171</v>
      </c>
      <c r="AP339" s="11" t="s">
        <v>1021</v>
      </c>
      <c r="AQ339" s="11" t="s">
        <v>1172</v>
      </c>
      <c r="AR339" s="11" t="s">
        <v>1048</v>
      </c>
      <c r="AS339" s="11" t="s">
        <v>1173</v>
      </c>
      <c r="AT339" s="11" t="s">
        <v>1050</v>
      </c>
      <c r="AU339" s="11" t="s">
        <v>1172</v>
      </c>
      <c r="AV339" s="11" t="s">
        <v>1173</v>
      </c>
      <c r="AW339" s="12">
        <v>1</v>
      </c>
      <c r="AX339" s="12">
        <v>1</v>
      </c>
      <c r="AY339" s="12">
        <v>1</v>
      </c>
      <c r="AZ339" s="12">
        <v>1</v>
      </c>
      <c r="BA339" s="12">
        <v>2</v>
      </c>
      <c r="BB339" s="12">
        <v>1</v>
      </c>
      <c r="BC339" s="12">
        <v>1</v>
      </c>
      <c r="BD339" s="11" t="s">
        <v>1026</v>
      </c>
      <c r="BE339" s="11" t="s">
        <v>1051</v>
      </c>
    </row>
    <row r="340" spans="1:57" s="8" customFormat="1" ht="58" x14ac:dyDescent="0.35">
      <c r="A340" s="7" t="s">
        <v>398</v>
      </c>
      <c r="B340" s="7" t="s">
        <v>399</v>
      </c>
      <c r="C340" s="3" t="s">
        <v>620</v>
      </c>
      <c r="D340" s="3" t="s">
        <v>57</v>
      </c>
      <c r="E340" s="3"/>
      <c r="F340" s="3" t="s">
        <v>53</v>
      </c>
      <c r="G340" s="3" t="s">
        <v>50</v>
      </c>
      <c r="H340" s="4">
        <v>499</v>
      </c>
      <c r="I340" s="4">
        <v>300</v>
      </c>
      <c r="J340" s="3" t="s">
        <v>26</v>
      </c>
      <c r="K340" s="4" t="b">
        <v>0</v>
      </c>
      <c r="L340" s="6">
        <v>0.33333333333333298</v>
      </c>
      <c r="M340" s="6">
        <v>0.33333333333333298</v>
      </c>
      <c r="N340" s="3" t="s">
        <v>58</v>
      </c>
      <c r="O340" s="3" t="s">
        <v>59</v>
      </c>
      <c r="P340" s="3" t="s">
        <v>621</v>
      </c>
      <c r="Q340" s="3" t="s">
        <v>2261</v>
      </c>
      <c r="R340" s="3" t="s">
        <v>1074</v>
      </c>
      <c r="S340" s="3" t="s">
        <v>1006</v>
      </c>
      <c r="T340" s="3" t="s">
        <v>1007</v>
      </c>
      <c r="U340" s="11" t="s">
        <v>2262</v>
      </c>
      <c r="V340" s="11" t="s">
        <v>1064</v>
      </c>
      <c r="W340" s="11" t="s">
        <v>1065</v>
      </c>
      <c r="X340" s="13">
        <v>1</v>
      </c>
      <c r="Y340" s="12"/>
      <c r="Z340" s="11"/>
      <c r="AA340" s="11"/>
      <c r="AB340" s="11"/>
      <c r="AC340" s="11">
        <v>0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 t="s">
        <v>1019</v>
      </c>
      <c r="AO340" s="11" t="s">
        <v>1081</v>
      </c>
      <c r="AP340" s="11" t="s">
        <v>1021</v>
      </c>
      <c r="AQ340" s="11" t="s">
        <v>1082</v>
      </c>
      <c r="AR340" s="11" t="s">
        <v>1050</v>
      </c>
      <c r="AS340" s="11" t="s">
        <v>1083</v>
      </c>
      <c r="AT340" s="11" t="s">
        <v>1048</v>
      </c>
      <c r="AU340" s="11" t="s">
        <v>1082</v>
      </c>
      <c r="AV340" s="11" t="s">
        <v>1083</v>
      </c>
      <c r="AW340" s="12">
        <v>1</v>
      </c>
      <c r="AX340" s="12">
        <v>1</v>
      </c>
      <c r="AY340" s="12">
        <v>1</v>
      </c>
      <c r="AZ340" s="12">
        <v>1</v>
      </c>
      <c r="BA340" s="12">
        <v>1</v>
      </c>
      <c r="BB340" s="12">
        <v>1</v>
      </c>
      <c r="BC340" s="12">
        <v>2</v>
      </c>
      <c r="BD340" s="11" t="s">
        <v>1026</v>
      </c>
      <c r="BE340" s="11" t="s">
        <v>1051</v>
      </c>
    </row>
    <row r="341" spans="1:57" s="8" customFormat="1" ht="319" x14ac:dyDescent="0.35">
      <c r="A341" s="7" t="s">
        <v>398</v>
      </c>
      <c r="B341" s="7" t="s">
        <v>399</v>
      </c>
      <c r="C341" s="3" t="s">
        <v>622</v>
      </c>
      <c r="D341" s="3" t="s">
        <v>122</v>
      </c>
      <c r="E341" s="3"/>
      <c r="F341" s="3" t="s">
        <v>53</v>
      </c>
      <c r="G341" s="3" t="s">
        <v>50</v>
      </c>
      <c r="H341" s="4">
        <v>628</v>
      </c>
      <c r="I341" s="4">
        <v>150</v>
      </c>
      <c r="J341" s="3" t="s">
        <v>26</v>
      </c>
      <c r="K341" s="4" t="b">
        <v>1</v>
      </c>
      <c r="L341" s="6">
        <v>1</v>
      </c>
      <c r="M341" s="6">
        <v>1</v>
      </c>
      <c r="N341" s="3" t="s">
        <v>123</v>
      </c>
      <c r="O341" s="3"/>
      <c r="P341" s="3" t="s">
        <v>623</v>
      </c>
      <c r="Q341" s="3" t="s">
        <v>2263</v>
      </c>
      <c r="R341" s="3" t="s">
        <v>2264</v>
      </c>
      <c r="S341" s="3" t="s">
        <v>1006</v>
      </c>
      <c r="T341" s="3" t="s">
        <v>1007</v>
      </c>
      <c r="U341" s="11" t="s">
        <v>2265</v>
      </c>
      <c r="V341" s="11" t="s">
        <v>1031</v>
      </c>
      <c r="W341" s="11" t="s">
        <v>1032</v>
      </c>
      <c r="X341" s="13">
        <v>0.7</v>
      </c>
      <c r="Y341" s="12"/>
      <c r="Z341" s="11"/>
      <c r="AA341" s="11"/>
      <c r="AB341" s="11"/>
      <c r="AC341" s="11">
        <v>3</v>
      </c>
      <c r="AD341" s="11" t="s">
        <v>1238</v>
      </c>
      <c r="AE341" s="11" t="s">
        <v>2266</v>
      </c>
      <c r="AF341" s="11" t="s">
        <v>1014</v>
      </c>
      <c r="AG341" s="11" t="s">
        <v>1015</v>
      </c>
      <c r="AH341" s="11" t="s">
        <v>123</v>
      </c>
      <c r="AI341" s="11" t="s">
        <v>1016</v>
      </c>
      <c r="AJ341" s="11"/>
      <c r="AK341" s="11" t="s">
        <v>1240</v>
      </c>
      <c r="AL341" s="11" t="s">
        <v>1017</v>
      </c>
      <c r="AM341" s="11" t="s">
        <v>1241</v>
      </c>
      <c r="AN341" s="11" t="s">
        <v>1019</v>
      </c>
      <c r="AO341" s="11" t="s">
        <v>1242</v>
      </c>
      <c r="AP341" s="11" t="s">
        <v>1021</v>
      </c>
      <c r="AQ341" s="11" t="s">
        <v>1243</v>
      </c>
      <c r="AR341" s="11" t="s">
        <v>1048</v>
      </c>
      <c r="AS341" s="11" t="s">
        <v>1244</v>
      </c>
      <c r="AT341" s="11" t="s">
        <v>1023</v>
      </c>
      <c r="AU341" s="11" t="s">
        <v>1245</v>
      </c>
      <c r="AV341" s="11" t="s">
        <v>1244</v>
      </c>
      <c r="AW341" s="12">
        <v>3</v>
      </c>
      <c r="AX341" s="12">
        <v>2</v>
      </c>
      <c r="AY341" s="12">
        <v>2</v>
      </c>
      <c r="AZ341" s="12">
        <v>1</v>
      </c>
      <c r="BA341" s="12">
        <v>2</v>
      </c>
      <c r="BB341" s="12">
        <v>2</v>
      </c>
      <c r="BC341" s="12">
        <v>22</v>
      </c>
      <c r="BD341" s="11" t="s">
        <v>1026</v>
      </c>
      <c r="BE341" s="11" t="s">
        <v>1027</v>
      </c>
    </row>
    <row r="342" spans="1:57" s="8" customFormat="1" ht="58" x14ac:dyDescent="0.35">
      <c r="A342" s="7" t="s">
        <v>398</v>
      </c>
      <c r="B342" s="7" t="s">
        <v>399</v>
      </c>
      <c r="C342" s="3" t="s">
        <v>624</v>
      </c>
      <c r="D342" s="3" t="s">
        <v>57</v>
      </c>
      <c r="E342" s="3"/>
      <c r="F342" s="3" t="s">
        <v>53</v>
      </c>
      <c r="G342" s="3" t="s">
        <v>50</v>
      </c>
      <c r="H342" s="4">
        <v>714</v>
      </c>
      <c r="I342" s="4">
        <v>300</v>
      </c>
      <c r="J342" s="3" t="s">
        <v>26</v>
      </c>
      <c r="K342" s="4" t="b">
        <v>0</v>
      </c>
      <c r="L342" s="6">
        <v>0.33333333333333298</v>
      </c>
      <c r="M342" s="6">
        <v>0.33333333333333298</v>
      </c>
      <c r="N342" s="3" t="s">
        <v>58</v>
      </c>
      <c r="O342" s="3" t="s">
        <v>59</v>
      </c>
      <c r="P342" s="3" t="s">
        <v>625</v>
      </c>
      <c r="Q342" s="3" t="s">
        <v>2267</v>
      </c>
      <c r="R342" s="3" t="s">
        <v>1029</v>
      </c>
      <c r="S342" s="3" t="s">
        <v>1006</v>
      </c>
      <c r="T342" s="3" t="s">
        <v>1007</v>
      </c>
      <c r="U342" s="11" t="s">
        <v>2268</v>
      </c>
      <c r="V342" s="11" t="s">
        <v>1031</v>
      </c>
      <c r="W342" s="11" t="s">
        <v>1032</v>
      </c>
      <c r="X342" s="13">
        <v>0.7</v>
      </c>
      <c r="Y342" s="12"/>
      <c r="Z342" s="11"/>
      <c r="AA342" s="11"/>
      <c r="AB342" s="11"/>
      <c r="AC342" s="11">
        <v>0</v>
      </c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 t="s">
        <v>1019</v>
      </c>
      <c r="AO342" s="11" t="s">
        <v>2269</v>
      </c>
      <c r="AP342" s="11" t="s">
        <v>1021</v>
      </c>
      <c r="AQ342" s="11" t="s">
        <v>2270</v>
      </c>
      <c r="AR342" s="11" t="s">
        <v>1048</v>
      </c>
      <c r="AS342" s="11" t="s">
        <v>2271</v>
      </c>
      <c r="AT342" s="11" t="s">
        <v>1025</v>
      </c>
      <c r="AU342" s="11" t="s">
        <v>2272</v>
      </c>
      <c r="AV342" s="11" t="s">
        <v>2271</v>
      </c>
      <c r="AW342" s="12">
        <v>2</v>
      </c>
      <c r="AX342" s="12">
        <v>2</v>
      </c>
      <c r="AY342" s="12">
        <v>2</v>
      </c>
      <c r="AZ342" s="12">
        <v>1</v>
      </c>
      <c r="BA342" s="12">
        <v>3</v>
      </c>
      <c r="BB342" s="12">
        <v>2</v>
      </c>
      <c r="BC342" s="12">
        <v>1</v>
      </c>
      <c r="BD342" s="11" t="s">
        <v>1026</v>
      </c>
      <c r="BE342" s="11" t="s">
        <v>1027</v>
      </c>
    </row>
    <row r="343" spans="1:57" s="8" customFormat="1" ht="58" x14ac:dyDescent="0.35">
      <c r="A343" s="7" t="s">
        <v>398</v>
      </c>
      <c r="B343" s="7" t="s">
        <v>399</v>
      </c>
      <c r="C343" s="3" t="s">
        <v>626</v>
      </c>
      <c r="D343" s="3" t="s">
        <v>57</v>
      </c>
      <c r="E343" s="3"/>
      <c r="F343" s="3" t="s">
        <v>53</v>
      </c>
      <c r="G343" s="3" t="s">
        <v>50</v>
      </c>
      <c r="H343" s="4">
        <v>384</v>
      </c>
      <c r="I343" s="4">
        <v>300</v>
      </c>
      <c r="J343" s="3" t="s">
        <v>26</v>
      </c>
      <c r="K343" s="4" t="b">
        <v>0</v>
      </c>
      <c r="L343" s="6">
        <v>0.33333333333333298</v>
      </c>
      <c r="M343" s="6">
        <v>0.33333333333333298</v>
      </c>
      <c r="N343" s="3" t="s">
        <v>58</v>
      </c>
      <c r="O343" s="3" t="s">
        <v>59</v>
      </c>
      <c r="P343" s="3" t="s">
        <v>309</v>
      </c>
      <c r="Q343" s="3" t="s">
        <v>1714</v>
      </c>
      <c r="R343" s="3" t="s">
        <v>1074</v>
      </c>
      <c r="S343" s="3" t="s">
        <v>1006</v>
      </c>
      <c r="T343" s="3" t="s">
        <v>1007</v>
      </c>
      <c r="U343" s="11" t="s">
        <v>2273</v>
      </c>
      <c r="V343" s="11" t="s">
        <v>1064</v>
      </c>
      <c r="W343" s="11" t="s">
        <v>1065</v>
      </c>
      <c r="X343" s="13">
        <v>1</v>
      </c>
      <c r="Y343" s="12"/>
      <c r="Z343" s="11"/>
      <c r="AA343" s="11"/>
      <c r="AB343" s="11"/>
      <c r="AC343" s="11">
        <v>0</v>
      </c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 t="s">
        <v>1019</v>
      </c>
      <c r="AO343" s="11" t="s">
        <v>1716</v>
      </c>
      <c r="AP343" s="11" t="s">
        <v>1021</v>
      </c>
      <c r="AQ343" s="11" t="s">
        <v>1717</v>
      </c>
      <c r="AR343" s="11" t="s">
        <v>1050</v>
      </c>
      <c r="AS343" s="11" t="s">
        <v>1718</v>
      </c>
      <c r="AT343" s="11" t="s">
        <v>1048</v>
      </c>
      <c r="AU343" s="11" t="s">
        <v>1717</v>
      </c>
      <c r="AV343" s="11" t="s">
        <v>1718</v>
      </c>
      <c r="AW343" s="12">
        <v>1</v>
      </c>
      <c r="AX343" s="12">
        <v>1</v>
      </c>
      <c r="AY343" s="12">
        <v>1</v>
      </c>
      <c r="AZ343" s="12">
        <v>1</v>
      </c>
      <c r="BA343" s="12">
        <v>1</v>
      </c>
      <c r="BB343" s="12">
        <v>1</v>
      </c>
      <c r="BC343" s="12">
        <v>2</v>
      </c>
      <c r="BD343" s="11" t="s">
        <v>1026</v>
      </c>
      <c r="BE343" s="11" t="s">
        <v>1051</v>
      </c>
    </row>
    <row r="344" spans="1:57" s="8" customFormat="1" ht="58" x14ac:dyDescent="0.35">
      <c r="A344" s="7" t="s">
        <v>398</v>
      </c>
      <c r="B344" s="7" t="s">
        <v>399</v>
      </c>
      <c r="C344" s="3" t="s">
        <v>627</v>
      </c>
      <c r="D344" s="3" t="s">
        <v>57</v>
      </c>
      <c r="E344" s="3"/>
      <c r="F344" s="3" t="s">
        <v>53</v>
      </c>
      <c r="G344" s="3" t="s">
        <v>50</v>
      </c>
      <c r="H344" s="4">
        <v>420</v>
      </c>
      <c r="I344" s="4">
        <v>300</v>
      </c>
      <c r="J344" s="3" t="s">
        <v>26</v>
      </c>
      <c r="K344" s="4" t="b">
        <v>0</v>
      </c>
      <c r="L344" s="6">
        <v>0.33333333333333298</v>
      </c>
      <c r="M344" s="6">
        <v>0.33333333333333298</v>
      </c>
      <c r="N344" s="3" t="s">
        <v>58</v>
      </c>
      <c r="O344" s="3" t="s">
        <v>59</v>
      </c>
      <c r="P344" s="3" t="s">
        <v>235</v>
      </c>
      <c r="Q344" s="3" t="s">
        <v>1510</v>
      </c>
      <c r="R344" s="3" t="s">
        <v>1029</v>
      </c>
      <c r="S344" s="3" t="s">
        <v>1006</v>
      </c>
      <c r="T344" s="3" t="s">
        <v>1007</v>
      </c>
      <c r="U344" s="11" t="s">
        <v>2274</v>
      </c>
      <c r="V344" s="11" t="s">
        <v>1064</v>
      </c>
      <c r="W344" s="11" t="s">
        <v>1065</v>
      </c>
      <c r="X344" s="13">
        <v>1</v>
      </c>
      <c r="Y344" s="12"/>
      <c r="Z344" s="11"/>
      <c r="AA344" s="11"/>
      <c r="AB344" s="11"/>
      <c r="AC344" s="11">
        <v>0</v>
      </c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 t="s">
        <v>1019</v>
      </c>
      <c r="AO344" s="11" t="s">
        <v>1512</v>
      </c>
      <c r="AP344" s="11" t="s">
        <v>1021</v>
      </c>
      <c r="AQ344" s="11" t="s">
        <v>1513</v>
      </c>
      <c r="AR344" s="11" t="s">
        <v>1048</v>
      </c>
      <c r="AS344" s="11" t="s">
        <v>1514</v>
      </c>
      <c r="AT344" s="11" t="s">
        <v>1025</v>
      </c>
      <c r="AU344" s="11" t="s">
        <v>1515</v>
      </c>
      <c r="AV344" s="11" t="s">
        <v>1514</v>
      </c>
      <c r="AW344" s="12">
        <v>2</v>
      </c>
      <c r="AX344" s="12">
        <v>2</v>
      </c>
      <c r="AY344" s="12">
        <v>2</v>
      </c>
      <c r="AZ344" s="12">
        <v>1</v>
      </c>
      <c r="BA344" s="12">
        <v>2</v>
      </c>
      <c r="BB344" s="12">
        <v>2</v>
      </c>
      <c r="BC344" s="12">
        <v>1</v>
      </c>
      <c r="BD344" s="11" t="s">
        <v>1026</v>
      </c>
      <c r="BE344" s="11" t="s">
        <v>1027</v>
      </c>
    </row>
    <row r="345" spans="1:57" s="8" customFormat="1" ht="58" x14ac:dyDescent="0.35">
      <c r="A345" s="7" t="s">
        <v>398</v>
      </c>
      <c r="B345" s="7" t="s">
        <v>399</v>
      </c>
      <c r="C345" s="3" t="s">
        <v>628</v>
      </c>
      <c r="D345" s="3" t="s">
        <v>45</v>
      </c>
      <c r="E345" s="3" t="s">
        <v>45</v>
      </c>
      <c r="F345" s="3" t="s">
        <v>46</v>
      </c>
      <c r="G345" s="3" t="s">
        <v>25</v>
      </c>
      <c r="H345" s="4">
        <v>408</v>
      </c>
      <c r="I345" s="4">
        <v>200</v>
      </c>
      <c r="J345" s="3" t="s">
        <v>26</v>
      </c>
      <c r="K345" s="4" t="b">
        <v>1</v>
      </c>
      <c r="L345" s="6">
        <v>1</v>
      </c>
      <c r="M345" s="6">
        <v>1</v>
      </c>
      <c r="N345" s="3" t="s">
        <v>47</v>
      </c>
      <c r="O345" s="3"/>
      <c r="P345" s="3" t="s">
        <v>629</v>
      </c>
      <c r="Q345" s="3" t="s">
        <v>2275</v>
      </c>
      <c r="R345" s="3" t="s">
        <v>1029</v>
      </c>
      <c r="S345" s="3" t="s">
        <v>1006</v>
      </c>
      <c r="T345" s="3" t="s">
        <v>1007</v>
      </c>
      <c r="U345" s="11" t="s">
        <v>2276</v>
      </c>
      <c r="V345" s="11" t="s">
        <v>1031</v>
      </c>
      <c r="W345" s="11" t="s">
        <v>1032</v>
      </c>
      <c r="X345" s="13">
        <v>0.7</v>
      </c>
      <c r="Y345" s="12"/>
      <c r="Z345" s="11"/>
      <c r="AA345" s="11"/>
      <c r="AB345" s="11"/>
      <c r="AC345" s="11">
        <v>0</v>
      </c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 t="s">
        <v>1019</v>
      </c>
      <c r="AO345" s="11" t="s">
        <v>1527</v>
      </c>
      <c r="AP345" s="11" t="s">
        <v>1021</v>
      </c>
      <c r="AQ345" s="11" t="s">
        <v>1528</v>
      </c>
      <c r="AR345" s="11" t="s">
        <v>1048</v>
      </c>
      <c r="AS345" s="11" t="s">
        <v>1529</v>
      </c>
      <c r="AT345" s="11" t="s">
        <v>1048</v>
      </c>
      <c r="AU345" s="11" t="s">
        <v>1528</v>
      </c>
      <c r="AV345" s="11" t="s">
        <v>1529</v>
      </c>
      <c r="AW345" s="12">
        <v>1</v>
      </c>
      <c r="AX345" s="12">
        <v>1</v>
      </c>
      <c r="AY345" s="12">
        <v>1</v>
      </c>
      <c r="AZ345" s="12">
        <v>1</v>
      </c>
      <c r="BA345" s="12">
        <v>3</v>
      </c>
      <c r="BB345" s="12">
        <v>1</v>
      </c>
      <c r="BC345" s="12">
        <v>3</v>
      </c>
      <c r="BD345" s="11" t="s">
        <v>1026</v>
      </c>
      <c r="BE345" s="11" t="s">
        <v>1027</v>
      </c>
    </row>
    <row r="346" spans="1:57" s="8" customFormat="1" ht="58" x14ac:dyDescent="0.35">
      <c r="A346" s="7" t="s">
        <v>398</v>
      </c>
      <c r="B346" s="7" t="s">
        <v>399</v>
      </c>
      <c r="C346" s="3" t="s">
        <v>630</v>
      </c>
      <c r="D346" s="3" t="s">
        <v>57</v>
      </c>
      <c r="E346" s="3"/>
      <c r="F346" s="3" t="s">
        <v>53</v>
      </c>
      <c r="G346" s="3" t="s">
        <v>50</v>
      </c>
      <c r="H346" s="4">
        <v>692</v>
      </c>
      <c r="I346" s="4">
        <v>300</v>
      </c>
      <c r="J346" s="3" t="s">
        <v>26</v>
      </c>
      <c r="K346" s="4" t="b">
        <v>0</v>
      </c>
      <c r="L346" s="6">
        <v>0.33333333333333298</v>
      </c>
      <c r="M346" s="6">
        <v>0.33333333333333298</v>
      </c>
      <c r="N346" s="3" t="s">
        <v>58</v>
      </c>
      <c r="O346" s="3" t="s">
        <v>59</v>
      </c>
      <c r="P346" s="3" t="s">
        <v>631</v>
      </c>
      <c r="Q346" s="3" t="s">
        <v>2277</v>
      </c>
      <c r="R346" s="3" t="s">
        <v>1139</v>
      </c>
      <c r="S346" s="3" t="s">
        <v>2278</v>
      </c>
      <c r="T346" s="3" t="s">
        <v>2279</v>
      </c>
      <c r="U346" s="11" t="s">
        <v>2280</v>
      </c>
      <c r="V346" s="11" t="s">
        <v>1096</v>
      </c>
      <c r="W346" s="11" t="s">
        <v>1097</v>
      </c>
      <c r="X346" s="13">
        <v>0.93</v>
      </c>
      <c r="Y346" s="12"/>
      <c r="Z346" s="11" t="s">
        <v>2281</v>
      </c>
      <c r="AA346" s="11"/>
      <c r="AB346" s="11"/>
      <c r="AC346" s="11">
        <v>1</v>
      </c>
      <c r="AD346" s="11" t="s">
        <v>1227</v>
      </c>
      <c r="AE346" s="11" t="s">
        <v>2282</v>
      </c>
      <c r="AF346" s="11" t="s">
        <v>1014</v>
      </c>
      <c r="AG346" s="11" t="s">
        <v>1015</v>
      </c>
      <c r="AH346" s="11"/>
      <c r="AI346" s="11" t="s">
        <v>1016</v>
      </c>
      <c r="AJ346" s="11"/>
      <c r="AK346" s="11" t="s">
        <v>1229</v>
      </c>
      <c r="AL346" s="11" t="s">
        <v>1017</v>
      </c>
      <c r="AM346" s="11" t="s">
        <v>1230</v>
      </c>
      <c r="AN346" s="11" t="s">
        <v>1019</v>
      </c>
      <c r="AO346" s="11" t="s">
        <v>1535</v>
      </c>
      <c r="AP346" s="11" t="s">
        <v>1021</v>
      </c>
      <c r="AQ346" s="11" t="s">
        <v>1536</v>
      </c>
      <c r="AR346" s="11" t="s">
        <v>1048</v>
      </c>
      <c r="AS346" s="11" t="s">
        <v>1537</v>
      </c>
      <c r="AT346" s="11" t="s">
        <v>1048</v>
      </c>
      <c r="AU346" s="11" t="s">
        <v>1536</v>
      </c>
      <c r="AV346" s="11" t="s">
        <v>1537</v>
      </c>
      <c r="AW346" s="12">
        <v>1</v>
      </c>
      <c r="AX346" s="12">
        <v>1</v>
      </c>
      <c r="AY346" s="12">
        <v>1</v>
      </c>
      <c r="AZ346" s="12">
        <v>1</v>
      </c>
      <c r="BA346" s="12">
        <v>4</v>
      </c>
      <c r="BB346" s="12">
        <v>1</v>
      </c>
      <c r="BC346" s="12">
        <v>2</v>
      </c>
      <c r="BD346" s="11" t="s">
        <v>1026</v>
      </c>
      <c r="BE346" s="11" t="s">
        <v>1027</v>
      </c>
    </row>
    <row r="347" spans="1:57" s="8" customFormat="1" ht="58" x14ac:dyDescent="0.35">
      <c r="A347" s="7" t="s">
        <v>398</v>
      </c>
      <c r="B347" s="7" t="s">
        <v>399</v>
      </c>
      <c r="C347" s="3" t="s">
        <v>630</v>
      </c>
      <c r="D347" s="3" t="s">
        <v>98</v>
      </c>
      <c r="E347" s="3"/>
      <c r="F347" s="3" t="s">
        <v>53</v>
      </c>
      <c r="G347" s="3" t="s">
        <v>50</v>
      </c>
      <c r="H347" s="4">
        <v>692</v>
      </c>
      <c r="I347" s="4">
        <v>300</v>
      </c>
      <c r="J347" s="3" t="s">
        <v>26</v>
      </c>
      <c r="K347" s="4" t="b">
        <v>0</v>
      </c>
      <c r="L347" s="6">
        <v>0.5</v>
      </c>
      <c r="M347" s="6">
        <v>0.5</v>
      </c>
      <c r="N347" s="3" t="s">
        <v>58</v>
      </c>
      <c r="O347" s="3" t="s">
        <v>99</v>
      </c>
      <c r="P347" s="3" t="s">
        <v>631</v>
      </c>
      <c r="Q347" s="3" t="s">
        <v>2277</v>
      </c>
      <c r="R347" s="3" t="s">
        <v>1139</v>
      </c>
      <c r="S347" s="3" t="s">
        <v>2278</v>
      </c>
      <c r="T347" s="3" t="s">
        <v>2279</v>
      </c>
      <c r="U347" s="11" t="s">
        <v>2280</v>
      </c>
      <c r="V347" s="11" t="s">
        <v>1096</v>
      </c>
      <c r="W347" s="11" t="s">
        <v>1097</v>
      </c>
      <c r="X347" s="13">
        <v>0.93</v>
      </c>
      <c r="Y347" s="12"/>
      <c r="Z347" s="11" t="s">
        <v>2281</v>
      </c>
      <c r="AA347" s="11"/>
      <c r="AB347" s="11"/>
      <c r="AC347" s="11">
        <v>0</v>
      </c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 t="s">
        <v>1019</v>
      </c>
      <c r="AO347" s="11" t="s">
        <v>1535</v>
      </c>
      <c r="AP347" s="11" t="s">
        <v>1021</v>
      </c>
      <c r="AQ347" s="11" t="s">
        <v>1536</v>
      </c>
      <c r="AR347" s="11" t="s">
        <v>1048</v>
      </c>
      <c r="AS347" s="11" t="s">
        <v>1537</v>
      </c>
      <c r="AT347" s="11" t="s">
        <v>1048</v>
      </c>
      <c r="AU347" s="11" t="s">
        <v>1536</v>
      </c>
      <c r="AV347" s="11" t="s">
        <v>1537</v>
      </c>
      <c r="AW347" s="12">
        <v>1</v>
      </c>
      <c r="AX347" s="12">
        <v>1</v>
      </c>
      <c r="AY347" s="12">
        <v>1</v>
      </c>
      <c r="AZ347" s="12">
        <v>1</v>
      </c>
      <c r="BA347" s="12">
        <v>4</v>
      </c>
      <c r="BB347" s="12">
        <v>1</v>
      </c>
      <c r="BC347" s="12">
        <v>2</v>
      </c>
      <c r="BD347" s="11" t="s">
        <v>1026</v>
      </c>
      <c r="BE347" s="11" t="s">
        <v>1027</v>
      </c>
    </row>
    <row r="348" spans="1:57" s="8" customFormat="1" ht="58" x14ac:dyDescent="0.35">
      <c r="A348" s="7" t="s">
        <v>398</v>
      </c>
      <c r="B348" s="7" t="s">
        <v>399</v>
      </c>
      <c r="C348" s="3" t="s">
        <v>632</v>
      </c>
      <c r="D348" s="3" t="s">
        <v>172</v>
      </c>
      <c r="E348" s="3" t="s">
        <v>172</v>
      </c>
      <c r="F348" s="3" t="s">
        <v>31</v>
      </c>
      <c r="G348" s="3" t="s">
        <v>25</v>
      </c>
      <c r="H348" s="4">
        <v>139</v>
      </c>
      <c r="I348" s="4">
        <v>90</v>
      </c>
      <c r="J348" s="3" t="s">
        <v>26</v>
      </c>
      <c r="K348" s="4" t="b">
        <v>1</v>
      </c>
      <c r="L348" s="6">
        <v>1</v>
      </c>
      <c r="M348" s="6">
        <v>1</v>
      </c>
      <c r="N348" s="3" t="s">
        <v>173</v>
      </c>
      <c r="O348" s="3"/>
      <c r="P348" s="3" t="s">
        <v>633</v>
      </c>
      <c r="Q348" s="3" t="s">
        <v>2283</v>
      </c>
      <c r="R348" s="3" t="s">
        <v>1029</v>
      </c>
      <c r="S348" s="3" t="s">
        <v>1006</v>
      </c>
      <c r="T348" s="3" t="s">
        <v>1007</v>
      </c>
      <c r="U348" s="11" t="s">
        <v>2284</v>
      </c>
      <c r="V348" s="11" t="s">
        <v>1031</v>
      </c>
      <c r="W348" s="11" t="s">
        <v>1032</v>
      </c>
      <c r="X348" s="13">
        <v>0.7</v>
      </c>
      <c r="Y348" s="12"/>
      <c r="Z348" s="11"/>
      <c r="AA348" s="11"/>
      <c r="AB348" s="11"/>
      <c r="AC348" s="11">
        <v>0</v>
      </c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 t="s">
        <v>1019</v>
      </c>
      <c r="AO348" s="11" t="s">
        <v>1351</v>
      </c>
      <c r="AP348" s="11" t="s">
        <v>1021</v>
      </c>
      <c r="AQ348" s="11" t="s">
        <v>1352</v>
      </c>
      <c r="AR348" s="11" t="s">
        <v>1023</v>
      </c>
      <c r="AS348" s="11" t="s">
        <v>1353</v>
      </c>
      <c r="AT348" s="11" t="s">
        <v>1025</v>
      </c>
      <c r="AU348" s="11" t="s">
        <v>1352</v>
      </c>
      <c r="AV348" s="11" t="s">
        <v>1353</v>
      </c>
      <c r="AW348" s="12">
        <v>1</v>
      </c>
      <c r="AX348" s="12">
        <v>3</v>
      </c>
      <c r="AY348" s="12">
        <v>3</v>
      </c>
      <c r="AZ348" s="12">
        <v>3</v>
      </c>
      <c r="BA348" s="12">
        <v>4</v>
      </c>
      <c r="BB348" s="12">
        <v>3</v>
      </c>
      <c r="BC348" s="12">
        <v>1</v>
      </c>
      <c r="BD348" s="11" t="s">
        <v>1026</v>
      </c>
      <c r="BE348" s="11" t="s">
        <v>1027</v>
      </c>
    </row>
    <row r="349" spans="1:57" s="8" customFormat="1" ht="58" x14ac:dyDescent="0.35">
      <c r="A349" s="7" t="s">
        <v>398</v>
      </c>
      <c r="B349" s="7" t="s">
        <v>399</v>
      </c>
      <c r="C349" s="3" t="s">
        <v>634</v>
      </c>
      <c r="D349" s="3" t="s">
        <v>30</v>
      </c>
      <c r="E349" s="3" t="s">
        <v>30</v>
      </c>
      <c r="F349" s="3" t="s">
        <v>31</v>
      </c>
      <c r="G349" s="3" t="s">
        <v>25</v>
      </c>
      <c r="H349" s="4">
        <v>352</v>
      </c>
      <c r="I349" s="4">
        <v>250</v>
      </c>
      <c r="J349" s="3" t="s">
        <v>26</v>
      </c>
      <c r="K349" s="4" t="b">
        <v>1</v>
      </c>
      <c r="L349" s="6">
        <v>1</v>
      </c>
      <c r="M349" s="6">
        <v>1</v>
      </c>
      <c r="N349" s="3" t="s">
        <v>32</v>
      </c>
      <c r="O349" s="3"/>
      <c r="P349" s="3" t="s">
        <v>635</v>
      </c>
      <c r="Q349" s="3" t="s">
        <v>2285</v>
      </c>
      <c r="R349" s="3" t="s">
        <v>1074</v>
      </c>
      <c r="S349" s="3" t="s">
        <v>1006</v>
      </c>
      <c r="T349" s="3" t="s">
        <v>1007</v>
      </c>
      <c r="U349" s="11" t="s">
        <v>2286</v>
      </c>
      <c r="V349" s="11" t="s">
        <v>1031</v>
      </c>
      <c r="W349" s="11" t="s">
        <v>1032</v>
      </c>
      <c r="X349" s="13">
        <v>1</v>
      </c>
      <c r="Y349" s="12"/>
      <c r="Z349" s="11"/>
      <c r="AA349" s="11"/>
      <c r="AB349" s="11"/>
      <c r="AC349" s="11">
        <v>0</v>
      </c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 t="s">
        <v>1019</v>
      </c>
      <c r="AO349" s="11" t="s">
        <v>1389</v>
      </c>
      <c r="AP349" s="11" t="s">
        <v>1021</v>
      </c>
      <c r="AQ349" s="11" t="s">
        <v>1390</v>
      </c>
      <c r="AR349" s="11" t="s">
        <v>1048</v>
      </c>
      <c r="AS349" s="11" t="s">
        <v>1391</v>
      </c>
      <c r="AT349" s="11" t="s">
        <v>1050</v>
      </c>
      <c r="AU349" s="11" t="s">
        <v>1390</v>
      </c>
      <c r="AV349" s="11" t="s">
        <v>1391</v>
      </c>
      <c r="AW349" s="12">
        <v>1</v>
      </c>
      <c r="AX349" s="12">
        <v>1</v>
      </c>
      <c r="AY349" s="12">
        <v>1</v>
      </c>
      <c r="AZ349" s="12">
        <v>1</v>
      </c>
      <c r="BA349" s="12">
        <v>2</v>
      </c>
      <c r="BB349" s="12">
        <v>1</v>
      </c>
      <c r="BC349" s="12">
        <v>1</v>
      </c>
      <c r="BD349" s="11" t="s">
        <v>1026</v>
      </c>
      <c r="BE349" s="11" t="s">
        <v>1051</v>
      </c>
    </row>
    <row r="350" spans="1:57" s="8" customFormat="1" ht="58" x14ac:dyDescent="0.35">
      <c r="A350" s="7" t="s">
        <v>398</v>
      </c>
      <c r="B350" s="7" t="s">
        <v>399</v>
      </c>
      <c r="C350" s="3" t="s">
        <v>636</v>
      </c>
      <c r="D350" s="3" t="s">
        <v>57</v>
      </c>
      <c r="E350" s="3"/>
      <c r="F350" s="3" t="s">
        <v>53</v>
      </c>
      <c r="G350" s="3" t="s">
        <v>50</v>
      </c>
      <c r="H350" s="4">
        <v>759</v>
      </c>
      <c r="I350" s="4">
        <v>300</v>
      </c>
      <c r="J350" s="3" t="s">
        <v>26</v>
      </c>
      <c r="K350" s="4" t="b">
        <v>0</v>
      </c>
      <c r="L350" s="6">
        <v>0.33333333333333298</v>
      </c>
      <c r="M350" s="6">
        <v>0.33333333333333298</v>
      </c>
      <c r="N350" s="3" t="s">
        <v>58</v>
      </c>
      <c r="O350" s="3" t="s">
        <v>59</v>
      </c>
      <c r="P350" s="3" t="s">
        <v>637</v>
      </c>
      <c r="Q350" s="3" t="s">
        <v>2287</v>
      </c>
      <c r="R350" s="3" t="s">
        <v>1029</v>
      </c>
      <c r="S350" s="3" t="s">
        <v>1006</v>
      </c>
      <c r="T350" s="3" t="s">
        <v>1007</v>
      </c>
      <c r="U350" s="11" t="s">
        <v>2288</v>
      </c>
      <c r="V350" s="11" t="s">
        <v>1096</v>
      </c>
      <c r="W350" s="11" t="s">
        <v>1097</v>
      </c>
      <c r="X350" s="13">
        <v>0.73</v>
      </c>
      <c r="Y350" s="12"/>
      <c r="Z350" s="11" t="s">
        <v>2289</v>
      </c>
      <c r="AA350" s="11"/>
      <c r="AB350" s="11"/>
      <c r="AC350" s="11">
        <v>0</v>
      </c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 t="s">
        <v>1019</v>
      </c>
      <c r="AO350" s="11" t="s">
        <v>2269</v>
      </c>
      <c r="AP350" s="11" t="s">
        <v>1021</v>
      </c>
      <c r="AQ350" s="11" t="s">
        <v>2290</v>
      </c>
      <c r="AR350" s="11" t="s">
        <v>1050</v>
      </c>
      <c r="AS350" s="11" t="s">
        <v>2271</v>
      </c>
      <c r="AT350" s="11" t="s">
        <v>1025</v>
      </c>
      <c r="AU350" s="11" t="s">
        <v>2272</v>
      </c>
      <c r="AV350" s="11" t="s">
        <v>2271</v>
      </c>
      <c r="AW350" s="12">
        <v>2</v>
      </c>
      <c r="AX350" s="12">
        <v>2</v>
      </c>
      <c r="AY350" s="12">
        <v>2</v>
      </c>
      <c r="AZ350" s="12">
        <v>1</v>
      </c>
      <c r="BA350" s="12">
        <v>1</v>
      </c>
      <c r="BB350" s="12">
        <v>2</v>
      </c>
      <c r="BC350" s="12">
        <v>1</v>
      </c>
      <c r="BD350" s="11" t="s">
        <v>1026</v>
      </c>
      <c r="BE350" s="11" t="s">
        <v>1051</v>
      </c>
    </row>
    <row r="351" spans="1:57" s="8" customFormat="1" ht="58" x14ac:dyDescent="0.35">
      <c r="A351" s="7" t="s">
        <v>398</v>
      </c>
      <c r="B351" s="7" t="s">
        <v>399</v>
      </c>
      <c r="C351" s="3" t="s">
        <v>636</v>
      </c>
      <c r="D351" s="3" t="s">
        <v>98</v>
      </c>
      <c r="E351" s="3"/>
      <c r="F351" s="3" t="s">
        <v>53</v>
      </c>
      <c r="G351" s="3" t="s">
        <v>50</v>
      </c>
      <c r="H351" s="4">
        <v>759</v>
      </c>
      <c r="I351" s="4">
        <v>300</v>
      </c>
      <c r="J351" s="3" t="s">
        <v>26</v>
      </c>
      <c r="K351" s="4" t="b">
        <v>0</v>
      </c>
      <c r="L351" s="6">
        <v>0.5</v>
      </c>
      <c r="M351" s="6">
        <v>0.5</v>
      </c>
      <c r="N351" s="3" t="s">
        <v>58</v>
      </c>
      <c r="O351" s="3" t="s">
        <v>99</v>
      </c>
      <c r="P351" s="3" t="s">
        <v>637</v>
      </c>
      <c r="Q351" s="3" t="s">
        <v>2287</v>
      </c>
      <c r="R351" s="3" t="s">
        <v>1029</v>
      </c>
      <c r="S351" s="3" t="s">
        <v>1006</v>
      </c>
      <c r="T351" s="3" t="s">
        <v>1007</v>
      </c>
      <c r="U351" s="11" t="s">
        <v>2288</v>
      </c>
      <c r="V351" s="11" t="s">
        <v>1096</v>
      </c>
      <c r="W351" s="11" t="s">
        <v>1097</v>
      </c>
      <c r="X351" s="13">
        <v>0.73</v>
      </c>
      <c r="Y351" s="12"/>
      <c r="Z351" s="11" t="s">
        <v>2289</v>
      </c>
      <c r="AA351" s="11"/>
      <c r="AB351" s="11"/>
      <c r="AC351" s="11">
        <v>0</v>
      </c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 t="s">
        <v>1019</v>
      </c>
      <c r="AO351" s="11" t="s">
        <v>2269</v>
      </c>
      <c r="AP351" s="11" t="s">
        <v>1021</v>
      </c>
      <c r="AQ351" s="11" t="s">
        <v>2290</v>
      </c>
      <c r="AR351" s="11" t="s">
        <v>1050</v>
      </c>
      <c r="AS351" s="11" t="s">
        <v>2271</v>
      </c>
      <c r="AT351" s="11" t="s">
        <v>1025</v>
      </c>
      <c r="AU351" s="11" t="s">
        <v>2272</v>
      </c>
      <c r="AV351" s="11" t="s">
        <v>2271</v>
      </c>
      <c r="AW351" s="12">
        <v>2</v>
      </c>
      <c r="AX351" s="12">
        <v>2</v>
      </c>
      <c r="AY351" s="12">
        <v>2</v>
      </c>
      <c r="AZ351" s="12">
        <v>1</v>
      </c>
      <c r="BA351" s="12">
        <v>1</v>
      </c>
      <c r="BB351" s="12">
        <v>2</v>
      </c>
      <c r="BC351" s="12">
        <v>1</v>
      </c>
      <c r="BD351" s="11" t="s">
        <v>1026</v>
      </c>
      <c r="BE351" s="11" t="s">
        <v>1051</v>
      </c>
    </row>
    <row r="352" spans="1:57" s="8" customFormat="1" ht="58" x14ac:dyDescent="0.35">
      <c r="A352" s="7" t="s">
        <v>398</v>
      </c>
      <c r="B352" s="7" t="s">
        <v>399</v>
      </c>
      <c r="C352" s="3" t="s">
        <v>638</v>
      </c>
      <c r="D352" s="3" t="s">
        <v>52</v>
      </c>
      <c r="E352" s="3"/>
      <c r="F352" s="3" t="s">
        <v>53</v>
      </c>
      <c r="G352" s="3" t="s">
        <v>50</v>
      </c>
      <c r="H352" s="4">
        <v>345</v>
      </c>
      <c r="I352" s="4">
        <v>500</v>
      </c>
      <c r="J352" s="3" t="s">
        <v>74</v>
      </c>
      <c r="K352" s="4" t="b">
        <v>0</v>
      </c>
      <c r="L352" s="6">
        <v>0.33333333333333298</v>
      </c>
      <c r="M352" s="6">
        <v>0.33333333333333298</v>
      </c>
      <c r="N352" s="3" t="s">
        <v>54</v>
      </c>
      <c r="O352" s="3" t="s">
        <v>55</v>
      </c>
      <c r="P352" s="3" t="s">
        <v>639</v>
      </c>
      <c r="Q352" s="3" t="s">
        <v>2291</v>
      </c>
      <c r="R352" s="3" t="s">
        <v>1029</v>
      </c>
      <c r="S352" s="3" t="s">
        <v>1006</v>
      </c>
      <c r="T352" s="3" t="s">
        <v>1007</v>
      </c>
      <c r="U352" s="11" t="s">
        <v>2292</v>
      </c>
      <c r="V352" s="11" t="s">
        <v>1031</v>
      </c>
      <c r="W352" s="11" t="s">
        <v>1032</v>
      </c>
      <c r="X352" s="13">
        <v>0.7</v>
      </c>
      <c r="Y352" s="12"/>
      <c r="Z352" s="11"/>
      <c r="AA352" s="11"/>
      <c r="AB352" s="11"/>
      <c r="AC352" s="11">
        <v>2</v>
      </c>
      <c r="AD352" s="11" t="s">
        <v>1076</v>
      </c>
      <c r="AE352" s="11" t="s">
        <v>2293</v>
      </c>
      <c r="AF352" s="11" t="s">
        <v>1014</v>
      </c>
      <c r="AG352" s="11" t="s">
        <v>1015</v>
      </c>
      <c r="AH352" s="11"/>
      <c r="AI352" s="11" t="s">
        <v>1016</v>
      </c>
      <c r="AJ352" s="11"/>
      <c r="AK352" s="11" t="s">
        <v>1079</v>
      </c>
      <c r="AL352" s="11" t="s">
        <v>1017</v>
      </c>
      <c r="AM352" s="11" t="s">
        <v>1080</v>
      </c>
      <c r="AN352" s="11" t="s">
        <v>1019</v>
      </c>
      <c r="AO352" s="11" t="s">
        <v>1186</v>
      </c>
      <c r="AP352" s="11" t="s">
        <v>1021</v>
      </c>
      <c r="AQ352" s="11" t="s">
        <v>1187</v>
      </c>
      <c r="AR352" s="11" t="s">
        <v>1023</v>
      </c>
      <c r="AS352" s="11" t="s">
        <v>1188</v>
      </c>
      <c r="AT352" s="11" t="s">
        <v>1025</v>
      </c>
      <c r="AU352" s="11" t="s">
        <v>1187</v>
      </c>
      <c r="AV352" s="11" t="s">
        <v>1188</v>
      </c>
      <c r="AW352" s="12">
        <v>4</v>
      </c>
      <c r="AX352" s="12">
        <v>4</v>
      </c>
      <c r="AY352" s="12">
        <v>5</v>
      </c>
      <c r="AZ352" s="12">
        <v>4</v>
      </c>
      <c r="BA352" s="12">
        <v>3</v>
      </c>
      <c r="BB352" s="12">
        <v>4</v>
      </c>
      <c r="BC352" s="12">
        <v>1</v>
      </c>
      <c r="BD352" s="11" t="s">
        <v>1026</v>
      </c>
      <c r="BE352" s="11" t="s">
        <v>1027</v>
      </c>
    </row>
    <row r="353" spans="1:57" s="8" customFormat="1" ht="58" x14ac:dyDescent="0.35">
      <c r="A353" s="7" t="s">
        <v>398</v>
      </c>
      <c r="B353" s="7" t="s">
        <v>399</v>
      </c>
      <c r="C353" s="3" t="s">
        <v>638</v>
      </c>
      <c r="D353" s="3" t="s">
        <v>57</v>
      </c>
      <c r="E353" s="3"/>
      <c r="F353" s="3" t="s">
        <v>53</v>
      </c>
      <c r="G353" s="3" t="s">
        <v>50</v>
      </c>
      <c r="H353" s="4">
        <v>345</v>
      </c>
      <c r="I353" s="4">
        <v>300</v>
      </c>
      <c r="J353" s="3" t="s">
        <v>26</v>
      </c>
      <c r="K353" s="4" t="b">
        <v>0</v>
      </c>
      <c r="L353" s="6">
        <v>0.33333333333333298</v>
      </c>
      <c r="M353" s="6">
        <v>0.33333333333333298</v>
      </c>
      <c r="N353" s="3" t="s">
        <v>58</v>
      </c>
      <c r="O353" s="3" t="s">
        <v>59</v>
      </c>
      <c r="P353" s="3" t="s">
        <v>639</v>
      </c>
      <c r="Q353" s="3" t="s">
        <v>2291</v>
      </c>
      <c r="R353" s="3" t="s">
        <v>1029</v>
      </c>
      <c r="S353" s="3" t="s">
        <v>1006</v>
      </c>
      <c r="T353" s="3" t="s">
        <v>1007</v>
      </c>
      <c r="U353" s="11" t="s">
        <v>2292</v>
      </c>
      <c r="V353" s="11" t="s">
        <v>1031</v>
      </c>
      <c r="W353" s="11" t="s">
        <v>1032</v>
      </c>
      <c r="X353" s="13">
        <v>0.7</v>
      </c>
      <c r="Y353" s="12"/>
      <c r="Z353" s="11"/>
      <c r="AA353" s="11"/>
      <c r="AB353" s="11"/>
      <c r="AC353" s="11">
        <v>0</v>
      </c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 t="s">
        <v>1019</v>
      </c>
      <c r="AO353" s="11" t="s">
        <v>1186</v>
      </c>
      <c r="AP353" s="11" t="s">
        <v>1021</v>
      </c>
      <c r="AQ353" s="11" t="s">
        <v>1187</v>
      </c>
      <c r="AR353" s="11" t="s">
        <v>1023</v>
      </c>
      <c r="AS353" s="11" t="s">
        <v>1188</v>
      </c>
      <c r="AT353" s="11" t="s">
        <v>1025</v>
      </c>
      <c r="AU353" s="11" t="s">
        <v>1187</v>
      </c>
      <c r="AV353" s="11" t="s">
        <v>1188</v>
      </c>
      <c r="AW353" s="12">
        <v>4</v>
      </c>
      <c r="AX353" s="12">
        <v>4</v>
      </c>
      <c r="AY353" s="12">
        <v>5</v>
      </c>
      <c r="AZ353" s="12">
        <v>4</v>
      </c>
      <c r="BA353" s="12">
        <v>3</v>
      </c>
      <c r="BB353" s="12">
        <v>4</v>
      </c>
      <c r="BC353" s="12">
        <v>1</v>
      </c>
      <c r="BD353" s="11" t="s">
        <v>1026</v>
      </c>
      <c r="BE353" s="11" t="s">
        <v>1027</v>
      </c>
    </row>
    <row r="354" spans="1:57" s="8" customFormat="1" ht="72.5" x14ac:dyDescent="0.35">
      <c r="A354" s="7" t="s">
        <v>398</v>
      </c>
      <c r="B354" s="7" t="s">
        <v>399</v>
      </c>
      <c r="C354" s="3" t="s">
        <v>640</v>
      </c>
      <c r="D354" s="3" t="s">
        <v>52</v>
      </c>
      <c r="E354" s="3"/>
      <c r="F354" s="3" t="s">
        <v>53</v>
      </c>
      <c r="G354" s="3" t="s">
        <v>50</v>
      </c>
      <c r="H354" s="4">
        <v>805</v>
      </c>
      <c r="I354" s="4">
        <v>500</v>
      </c>
      <c r="J354" s="3" t="s">
        <v>26</v>
      </c>
      <c r="K354" s="4" t="b">
        <v>0</v>
      </c>
      <c r="L354" s="6">
        <v>0.33333333333333298</v>
      </c>
      <c r="M354" s="6">
        <v>0.33333333333333298</v>
      </c>
      <c r="N354" s="3" t="s">
        <v>54</v>
      </c>
      <c r="O354" s="3" t="s">
        <v>55</v>
      </c>
      <c r="P354" s="3" t="s">
        <v>641</v>
      </c>
      <c r="Q354" s="3" t="s">
        <v>2294</v>
      </c>
      <c r="R354" s="3" t="s">
        <v>1005</v>
      </c>
      <c r="S354" s="3" t="s">
        <v>1006</v>
      </c>
      <c r="T354" s="3" t="s">
        <v>1007</v>
      </c>
      <c r="U354" s="11" t="s">
        <v>2295</v>
      </c>
      <c r="V354" s="11" t="s">
        <v>1009</v>
      </c>
      <c r="W354" s="11" t="s">
        <v>1010</v>
      </c>
      <c r="X354" s="13">
        <v>0.81</v>
      </c>
      <c r="Y354" s="12"/>
      <c r="Z354" s="11" t="s">
        <v>2296</v>
      </c>
      <c r="AA354" s="11"/>
      <c r="AB354" s="11"/>
      <c r="AC354" s="11">
        <v>4</v>
      </c>
      <c r="AD354" s="11" t="s">
        <v>1076</v>
      </c>
      <c r="AE354" s="11" t="s">
        <v>2297</v>
      </c>
      <c r="AF354" s="11" t="s">
        <v>1014</v>
      </c>
      <c r="AG354" s="11" t="s">
        <v>1015</v>
      </c>
      <c r="AH354" s="11" t="s">
        <v>2298</v>
      </c>
      <c r="AI354" s="11" t="s">
        <v>1016</v>
      </c>
      <c r="AJ354" s="11"/>
      <c r="AK354" s="11" t="s">
        <v>1079</v>
      </c>
      <c r="AL354" s="11" t="s">
        <v>1017</v>
      </c>
      <c r="AM354" s="11" t="s">
        <v>1080</v>
      </c>
      <c r="AN354" s="11" t="s">
        <v>1019</v>
      </c>
      <c r="AO354" s="11" t="s">
        <v>1265</v>
      </c>
      <c r="AP354" s="11" t="s">
        <v>1114</v>
      </c>
      <c r="AQ354" s="11"/>
      <c r="AR354" s="11" t="s">
        <v>1034</v>
      </c>
      <c r="AS354" s="11"/>
      <c r="AT354" s="11" t="s">
        <v>1034</v>
      </c>
      <c r="AU354" s="11"/>
      <c r="AV354" s="11"/>
      <c r="AW354" s="12">
        <v>1</v>
      </c>
      <c r="AX354" s="12">
        <v>1</v>
      </c>
      <c r="AY354" s="12">
        <v>1</v>
      </c>
      <c r="AZ354" s="12"/>
      <c r="BA354" s="12"/>
      <c r="BB354" s="12"/>
      <c r="BC354" s="12"/>
      <c r="BD354" s="11" t="s">
        <v>1115</v>
      </c>
      <c r="BE354" s="11" t="s">
        <v>1116</v>
      </c>
    </row>
    <row r="355" spans="1:57" s="8" customFormat="1" ht="72.5" x14ac:dyDescent="0.35">
      <c r="A355" s="7" t="s">
        <v>398</v>
      </c>
      <c r="B355" s="7" t="s">
        <v>399</v>
      </c>
      <c r="C355" s="3" t="s">
        <v>640</v>
      </c>
      <c r="D355" s="3" t="s">
        <v>57</v>
      </c>
      <c r="E355" s="3"/>
      <c r="F355" s="3" t="s">
        <v>53</v>
      </c>
      <c r="G355" s="3" t="s">
        <v>50</v>
      </c>
      <c r="H355" s="4">
        <v>805</v>
      </c>
      <c r="I355" s="4">
        <v>300</v>
      </c>
      <c r="J355" s="3" t="s">
        <v>26</v>
      </c>
      <c r="K355" s="4" t="b">
        <v>0</v>
      </c>
      <c r="L355" s="6">
        <v>0.66666666666666596</v>
      </c>
      <c r="M355" s="6">
        <v>0.66666666666666596</v>
      </c>
      <c r="N355" s="3" t="s">
        <v>136</v>
      </c>
      <c r="O355" s="3" t="s">
        <v>137</v>
      </c>
      <c r="P355" s="3" t="s">
        <v>641</v>
      </c>
      <c r="Q355" s="3" t="s">
        <v>2294</v>
      </c>
      <c r="R355" s="3" t="s">
        <v>1005</v>
      </c>
      <c r="S355" s="3" t="s">
        <v>1006</v>
      </c>
      <c r="T355" s="3" t="s">
        <v>1007</v>
      </c>
      <c r="U355" s="11" t="s">
        <v>2295</v>
      </c>
      <c r="V355" s="11" t="s">
        <v>1009</v>
      </c>
      <c r="W355" s="11" t="s">
        <v>1010</v>
      </c>
      <c r="X355" s="13">
        <v>0.81</v>
      </c>
      <c r="Y355" s="12"/>
      <c r="Z355" s="11" t="s">
        <v>2296</v>
      </c>
      <c r="AA355" s="11"/>
      <c r="AB355" s="11"/>
      <c r="AC355" s="11">
        <v>0</v>
      </c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 t="s">
        <v>1019</v>
      </c>
      <c r="AO355" s="11" t="s">
        <v>1265</v>
      </c>
      <c r="AP355" s="11" t="s">
        <v>1114</v>
      </c>
      <c r="AQ355" s="11"/>
      <c r="AR355" s="11" t="s">
        <v>1034</v>
      </c>
      <c r="AS355" s="11"/>
      <c r="AT355" s="11" t="s">
        <v>1034</v>
      </c>
      <c r="AU355" s="11"/>
      <c r="AV355" s="11"/>
      <c r="AW355" s="12">
        <v>1</v>
      </c>
      <c r="AX355" s="12">
        <v>1</v>
      </c>
      <c r="AY355" s="12">
        <v>1</v>
      </c>
      <c r="AZ355" s="12"/>
      <c r="BA355" s="12"/>
      <c r="BB355" s="12"/>
      <c r="BC355" s="12"/>
      <c r="BD355" s="11" t="s">
        <v>1115</v>
      </c>
      <c r="BE355" s="11" t="s">
        <v>1116</v>
      </c>
    </row>
    <row r="356" spans="1:57" s="8" customFormat="1" ht="72.5" x14ac:dyDescent="0.35">
      <c r="A356" s="7" t="s">
        <v>398</v>
      </c>
      <c r="B356" s="7" t="s">
        <v>399</v>
      </c>
      <c r="C356" s="3" t="s">
        <v>640</v>
      </c>
      <c r="D356" s="3" t="s">
        <v>98</v>
      </c>
      <c r="E356" s="3"/>
      <c r="F356" s="3" t="s">
        <v>53</v>
      </c>
      <c r="G356" s="3" t="s">
        <v>50</v>
      </c>
      <c r="H356" s="4">
        <v>805</v>
      </c>
      <c r="I356" s="4">
        <v>300</v>
      </c>
      <c r="J356" s="3" t="s">
        <v>26</v>
      </c>
      <c r="K356" s="4" t="b">
        <v>0</v>
      </c>
      <c r="L356" s="6">
        <v>0.5</v>
      </c>
      <c r="M356" s="6">
        <v>0.5</v>
      </c>
      <c r="N356" s="3" t="s">
        <v>58</v>
      </c>
      <c r="O356" s="3" t="s">
        <v>99</v>
      </c>
      <c r="P356" s="3" t="s">
        <v>641</v>
      </c>
      <c r="Q356" s="3" t="s">
        <v>2294</v>
      </c>
      <c r="R356" s="3" t="s">
        <v>1005</v>
      </c>
      <c r="S356" s="3" t="s">
        <v>1006</v>
      </c>
      <c r="T356" s="3" t="s">
        <v>1007</v>
      </c>
      <c r="U356" s="11" t="s">
        <v>2295</v>
      </c>
      <c r="V356" s="11" t="s">
        <v>1009</v>
      </c>
      <c r="W356" s="11" t="s">
        <v>1010</v>
      </c>
      <c r="X356" s="13">
        <v>0.81</v>
      </c>
      <c r="Y356" s="12"/>
      <c r="Z356" s="11" t="s">
        <v>2296</v>
      </c>
      <c r="AA356" s="11"/>
      <c r="AB356" s="11"/>
      <c r="AC356" s="11">
        <v>0</v>
      </c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 t="s">
        <v>1019</v>
      </c>
      <c r="AO356" s="11" t="s">
        <v>1265</v>
      </c>
      <c r="AP356" s="11" t="s">
        <v>1114</v>
      </c>
      <c r="AQ356" s="11"/>
      <c r="AR356" s="11" t="s">
        <v>1034</v>
      </c>
      <c r="AS356" s="11"/>
      <c r="AT356" s="11" t="s">
        <v>1034</v>
      </c>
      <c r="AU356" s="11"/>
      <c r="AV356" s="11"/>
      <c r="AW356" s="12">
        <v>1</v>
      </c>
      <c r="AX356" s="12">
        <v>1</v>
      </c>
      <c r="AY356" s="12">
        <v>1</v>
      </c>
      <c r="AZ356" s="12"/>
      <c r="BA356" s="12"/>
      <c r="BB356" s="12"/>
      <c r="BC356" s="12"/>
      <c r="BD356" s="11" t="s">
        <v>1115</v>
      </c>
      <c r="BE356" s="11" t="s">
        <v>1116</v>
      </c>
    </row>
    <row r="357" spans="1:57" s="8" customFormat="1" ht="58" x14ac:dyDescent="0.35">
      <c r="A357" s="7" t="s">
        <v>398</v>
      </c>
      <c r="B357" s="7" t="s">
        <v>399</v>
      </c>
      <c r="C357" s="3" t="s">
        <v>642</v>
      </c>
      <c r="D357" s="3" t="s">
        <v>98</v>
      </c>
      <c r="E357" s="3"/>
      <c r="F357" s="3" t="s">
        <v>53</v>
      </c>
      <c r="G357" s="3" t="s">
        <v>50</v>
      </c>
      <c r="H357" s="4">
        <v>213</v>
      </c>
      <c r="I357" s="4">
        <v>300</v>
      </c>
      <c r="J357" s="3" t="s">
        <v>74</v>
      </c>
      <c r="K357" s="4" t="b">
        <v>0</v>
      </c>
      <c r="L357" s="6">
        <v>0.5</v>
      </c>
      <c r="M357" s="6">
        <v>0.66666666666666596</v>
      </c>
      <c r="N357" s="3" t="s">
        <v>303</v>
      </c>
      <c r="O357" s="3" t="s">
        <v>304</v>
      </c>
      <c r="P357" s="3" t="s">
        <v>643</v>
      </c>
      <c r="Q357" s="3" t="s">
        <v>2299</v>
      </c>
      <c r="R357" s="3" t="s">
        <v>1029</v>
      </c>
      <c r="S357" s="3" t="s">
        <v>1006</v>
      </c>
      <c r="T357" s="3" t="s">
        <v>1007</v>
      </c>
      <c r="U357" s="11" t="s">
        <v>2300</v>
      </c>
      <c r="V357" s="11" t="s">
        <v>1031</v>
      </c>
      <c r="W357" s="11" t="s">
        <v>1032</v>
      </c>
      <c r="X357" s="13">
        <v>0.7</v>
      </c>
      <c r="Y357" s="12"/>
      <c r="Z357" s="11"/>
      <c r="AA357" s="11"/>
      <c r="AB357" s="11"/>
      <c r="AC357" s="11">
        <v>0</v>
      </c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 t="s">
        <v>1019</v>
      </c>
      <c r="AO357" s="11" t="s">
        <v>2301</v>
      </c>
      <c r="AP357" s="11" t="s">
        <v>1021</v>
      </c>
      <c r="AQ357" s="11" t="s">
        <v>2302</v>
      </c>
      <c r="AR357" s="11" t="s">
        <v>1048</v>
      </c>
      <c r="AS357" s="11"/>
      <c r="AT357" s="11" t="s">
        <v>1034</v>
      </c>
      <c r="AU357" s="11" t="s">
        <v>2302</v>
      </c>
      <c r="AV357" s="11"/>
      <c r="AW357" s="12">
        <v>0</v>
      </c>
      <c r="AX357" s="12">
        <v>1</v>
      </c>
      <c r="AY357" s="12">
        <v>1</v>
      </c>
      <c r="AZ357" s="12">
        <v>1</v>
      </c>
      <c r="BA357" s="12">
        <v>2</v>
      </c>
      <c r="BB357" s="12"/>
      <c r="BC357" s="12"/>
      <c r="BD357" s="11" t="s">
        <v>1093</v>
      </c>
      <c r="BE357" s="11" t="s">
        <v>1037</v>
      </c>
    </row>
    <row r="358" spans="1:57" s="8" customFormat="1" ht="58" x14ac:dyDescent="0.35">
      <c r="A358" s="7" t="s">
        <v>398</v>
      </c>
      <c r="B358" s="7" t="s">
        <v>399</v>
      </c>
      <c r="C358" s="3" t="s">
        <v>644</v>
      </c>
      <c r="D358" s="3" t="s">
        <v>57</v>
      </c>
      <c r="E358" s="3"/>
      <c r="F358" s="3" t="s">
        <v>53</v>
      </c>
      <c r="G358" s="3" t="s">
        <v>50</v>
      </c>
      <c r="H358" s="4">
        <v>370</v>
      </c>
      <c r="I358" s="4">
        <v>300</v>
      </c>
      <c r="J358" s="3" t="s">
        <v>26</v>
      </c>
      <c r="K358" s="4" t="b">
        <v>0</v>
      </c>
      <c r="L358" s="6">
        <v>0.33333333333333298</v>
      </c>
      <c r="M358" s="6">
        <v>0.33333333333333298</v>
      </c>
      <c r="N358" s="3" t="s">
        <v>58</v>
      </c>
      <c r="O358" s="3" t="s">
        <v>59</v>
      </c>
      <c r="P358" s="3" t="s">
        <v>645</v>
      </c>
      <c r="Q358" s="3" t="s">
        <v>2303</v>
      </c>
      <c r="R358" s="3" t="s">
        <v>1074</v>
      </c>
      <c r="S358" s="3" t="s">
        <v>1006</v>
      </c>
      <c r="T358" s="3" t="s">
        <v>1007</v>
      </c>
      <c r="U358" s="11" t="s">
        <v>2304</v>
      </c>
      <c r="V358" s="11" t="s">
        <v>1031</v>
      </c>
      <c r="W358" s="11" t="s">
        <v>1032</v>
      </c>
      <c r="X358" s="13">
        <v>0.7</v>
      </c>
      <c r="Y358" s="12"/>
      <c r="Z358" s="11"/>
      <c r="AA358" s="11"/>
      <c r="AB358" s="11"/>
      <c r="AC358" s="11">
        <v>0</v>
      </c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 t="s">
        <v>1019</v>
      </c>
      <c r="AO358" s="11" t="s">
        <v>1552</v>
      </c>
      <c r="AP358" s="11" t="s">
        <v>1021</v>
      </c>
      <c r="AQ358" s="11" t="s">
        <v>1553</v>
      </c>
      <c r="AR358" s="11" t="s">
        <v>1048</v>
      </c>
      <c r="AS358" s="11" t="s">
        <v>1554</v>
      </c>
      <c r="AT358" s="11" t="s">
        <v>1048</v>
      </c>
      <c r="AU358" s="11" t="s">
        <v>1553</v>
      </c>
      <c r="AV358" s="11" t="s">
        <v>1554</v>
      </c>
      <c r="AW358" s="12">
        <v>1</v>
      </c>
      <c r="AX358" s="12">
        <v>1</v>
      </c>
      <c r="AY358" s="12">
        <v>1</v>
      </c>
      <c r="AZ358" s="12">
        <v>1</v>
      </c>
      <c r="BA358" s="12">
        <v>3</v>
      </c>
      <c r="BB358" s="12">
        <v>1</v>
      </c>
      <c r="BC358" s="12">
        <v>2</v>
      </c>
      <c r="BD358" s="11" t="s">
        <v>1026</v>
      </c>
      <c r="BE358" s="11" t="s">
        <v>1027</v>
      </c>
    </row>
    <row r="359" spans="1:57" s="8" customFormat="1" ht="72.5" x14ac:dyDescent="0.35">
      <c r="A359" s="7" t="s">
        <v>398</v>
      </c>
      <c r="B359" s="7" t="s">
        <v>399</v>
      </c>
      <c r="C359" s="3" t="s">
        <v>646</v>
      </c>
      <c r="D359" s="3" t="s">
        <v>30</v>
      </c>
      <c r="E359" s="3" t="s">
        <v>30</v>
      </c>
      <c r="F359" s="3" t="s">
        <v>31</v>
      </c>
      <c r="G359" s="3" t="s">
        <v>25</v>
      </c>
      <c r="H359" s="4">
        <v>372</v>
      </c>
      <c r="I359" s="4">
        <v>250</v>
      </c>
      <c r="J359" s="3" t="s">
        <v>26</v>
      </c>
      <c r="K359" s="4" t="b">
        <v>1</v>
      </c>
      <c r="L359" s="6">
        <v>1</v>
      </c>
      <c r="M359" s="6">
        <v>1</v>
      </c>
      <c r="N359" s="3" t="s">
        <v>32</v>
      </c>
      <c r="O359" s="3"/>
      <c r="P359" s="3" t="s">
        <v>315</v>
      </c>
      <c r="Q359" s="3" t="s">
        <v>1729</v>
      </c>
      <c r="R359" s="3" t="s">
        <v>1074</v>
      </c>
      <c r="S359" s="3" t="s">
        <v>1006</v>
      </c>
      <c r="T359" s="3" t="s">
        <v>1007</v>
      </c>
      <c r="U359" s="11" t="s">
        <v>2305</v>
      </c>
      <c r="V359" s="11" t="s">
        <v>1031</v>
      </c>
      <c r="W359" s="11" t="s">
        <v>1032</v>
      </c>
      <c r="X359" s="13">
        <v>0.7</v>
      </c>
      <c r="Y359" s="12"/>
      <c r="Z359" s="11"/>
      <c r="AA359" s="11"/>
      <c r="AB359" s="11"/>
      <c r="AC359" s="11">
        <v>0</v>
      </c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 t="s">
        <v>1019</v>
      </c>
      <c r="AO359" s="11" t="s">
        <v>1731</v>
      </c>
      <c r="AP359" s="11" t="s">
        <v>1114</v>
      </c>
      <c r="AQ359" s="11"/>
      <c r="AR359" s="11" t="s">
        <v>1034</v>
      </c>
      <c r="AS359" s="11"/>
      <c r="AT359" s="11" t="s">
        <v>1034</v>
      </c>
      <c r="AU359" s="11"/>
      <c r="AV359" s="11"/>
      <c r="AW359" s="12">
        <v>1</v>
      </c>
      <c r="AX359" s="12">
        <v>1</v>
      </c>
      <c r="AY359" s="12">
        <v>1</v>
      </c>
      <c r="AZ359" s="12"/>
      <c r="BA359" s="12"/>
      <c r="BB359" s="12"/>
      <c r="BC359" s="12"/>
      <c r="BD359" s="11" t="s">
        <v>1115</v>
      </c>
      <c r="BE359" s="11" t="s">
        <v>1116</v>
      </c>
    </row>
    <row r="360" spans="1:57" s="8" customFormat="1" ht="58" x14ac:dyDescent="0.35">
      <c r="A360" s="7" t="s">
        <v>398</v>
      </c>
      <c r="B360" s="7" t="s">
        <v>399</v>
      </c>
      <c r="C360" s="3" t="s">
        <v>647</v>
      </c>
      <c r="D360" s="3" t="s">
        <v>30</v>
      </c>
      <c r="E360" s="3" t="s">
        <v>30</v>
      </c>
      <c r="F360" s="3" t="s">
        <v>31</v>
      </c>
      <c r="G360" s="3" t="s">
        <v>25</v>
      </c>
      <c r="H360" s="4">
        <v>380</v>
      </c>
      <c r="I360" s="4">
        <v>250</v>
      </c>
      <c r="J360" s="3" t="s">
        <v>26</v>
      </c>
      <c r="K360" s="4" t="b">
        <v>1</v>
      </c>
      <c r="L360" s="6">
        <v>1</v>
      </c>
      <c r="M360" s="6">
        <v>1</v>
      </c>
      <c r="N360" s="3" t="s">
        <v>32</v>
      </c>
      <c r="O360" s="3"/>
      <c r="P360" s="3" t="s">
        <v>313</v>
      </c>
      <c r="Q360" s="3" t="s">
        <v>1724</v>
      </c>
      <c r="R360" s="3" t="s">
        <v>1074</v>
      </c>
      <c r="S360" s="3" t="s">
        <v>1006</v>
      </c>
      <c r="T360" s="3" t="s">
        <v>1007</v>
      </c>
      <c r="U360" s="11" t="s">
        <v>2306</v>
      </c>
      <c r="V360" s="11" t="s">
        <v>1031</v>
      </c>
      <c r="W360" s="11" t="s">
        <v>1032</v>
      </c>
      <c r="X360" s="13">
        <v>1</v>
      </c>
      <c r="Y360" s="12"/>
      <c r="Z360" s="11"/>
      <c r="AA360" s="11"/>
      <c r="AB360" s="11"/>
      <c r="AC360" s="11">
        <v>0</v>
      </c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 t="s">
        <v>1019</v>
      </c>
      <c r="AO360" s="11" t="s">
        <v>1726</v>
      </c>
      <c r="AP360" s="11" t="s">
        <v>1021</v>
      </c>
      <c r="AQ360" s="11" t="s">
        <v>1727</v>
      </c>
      <c r="AR360" s="11" t="s">
        <v>1048</v>
      </c>
      <c r="AS360" s="11" t="s">
        <v>1728</v>
      </c>
      <c r="AT360" s="11" t="s">
        <v>1050</v>
      </c>
      <c r="AU360" s="11" t="s">
        <v>1727</v>
      </c>
      <c r="AV360" s="11" t="s">
        <v>1728</v>
      </c>
      <c r="AW360" s="12">
        <v>1</v>
      </c>
      <c r="AX360" s="12">
        <v>1</v>
      </c>
      <c r="AY360" s="12">
        <v>1</v>
      </c>
      <c r="AZ360" s="12">
        <v>1</v>
      </c>
      <c r="BA360" s="12">
        <v>2</v>
      </c>
      <c r="BB360" s="12">
        <v>1</v>
      </c>
      <c r="BC360" s="12">
        <v>1</v>
      </c>
      <c r="BD360" s="11" t="s">
        <v>1026</v>
      </c>
      <c r="BE360" s="11" t="s">
        <v>1051</v>
      </c>
    </row>
    <row r="361" spans="1:57" s="8" customFormat="1" ht="58" x14ac:dyDescent="0.35">
      <c r="A361" s="7" t="s">
        <v>398</v>
      </c>
      <c r="B361" s="7" t="s">
        <v>399</v>
      </c>
      <c r="C361" s="3" t="s">
        <v>648</v>
      </c>
      <c r="D361" s="3" t="s">
        <v>122</v>
      </c>
      <c r="E361" s="3"/>
      <c r="F361" s="3" t="s">
        <v>53</v>
      </c>
      <c r="G361" s="3" t="s">
        <v>50</v>
      </c>
      <c r="H361" s="4">
        <v>560</v>
      </c>
      <c r="I361" s="4">
        <v>150</v>
      </c>
      <c r="J361" s="3" t="s">
        <v>26</v>
      </c>
      <c r="K361" s="4" t="b">
        <v>1</v>
      </c>
      <c r="L361" s="6">
        <v>1</v>
      </c>
      <c r="M361" s="6">
        <v>1</v>
      </c>
      <c r="N361" s="3" t="s">
        <v>123</v>
      </c>
      <c r="O361" s="3"/>
      <c r="P361" s="3" t="s">
        <v>649</v>
      </c>
      <c r="Q361" s="3" t="s">
        <v>2307</v>
      </c>
      <c r="R361" s="3" t="s">
        <v>1441</v>
      </c>
      <c r="S361" s="3" t="s">
        <v>2308</v>
      </c>
      <c r="T361" s="3" t="s">
        <v>1007</v>
      </c>
      <c r="U361" s="11" t="s">
        <v>2309</v>
      </c>
      <c r="V361" s="11" t="s">
        <v>1096</v>
      </c>
      <c r="W361" s="11" t="s">
        <v>1097</v>
      </c>
      <c r="X361" s="13">
        <v>0.83</v>
      </c>
      <c r="Y361" s="12"/>
      <c r="Z361" s="11" t="s">
        <v>2310</v>
      </c>
      <c r="AA361" s="11"/>
      <c r="AB361" s="11"/>
      <c r="AC361" s="11">
        <v>0</v>
      </c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 t="s">
        <v>1019</v>
      </c>
      <c r="AO361" s="11" t="s">
        <v>1447</v>
      </c>
      <c r="AP361" s="11" t="s">
        <v>1021</v>
      </c>
      <c r="AQ361" s="11" t="s">
        <v>1448</v>
      </c>
      <c r="AR361" s="11" t="s">
        <v>1048</v>
      </c>
      <c r="AS361" s="11" t="s">
        <v>1449</v>
      </c>
      <c r="AT361" s="11" t="s">
        <v>1050</v>
      </c>
      <c r="AU361" s="11" t="s">
        <v>1448</v>
      </c>
      <c r="AV361" s="11" t="s">
        <v>1449</v>
      </c>
      <c r="AW361" s="12">
        <v>1</v>
      </c>
      <c r="AX361" s="12">
        <v>1</v>
      </c>
      <c r="AY361" s="12">
        <v>1</v>
      </c>
      <c r="AZ361" s="12">
        <v>1</v>
      </c>
      <c r="BA361" s="12">
        <v>3</v>
      </c>
      <c r="BB361" s="12">
        <v>1</v>
      </c>
      <c r="BC361" s="12">
        <v>1</v>
      </c>
      <c r="BD361" s="11" t="s">
        <v>1026</v>
      </c>
      <c r="BE361" s="11" t="s">
        <v>1051</v>
      </c>
    </row>
    <row r="362" spans="1:57" s="8" customFormat="1" ht="43.5" x14ac:dyDescent="0.35">
      <c r="A362" s="7" t="s">
        <v>398</v>
      </c>
      <c r="B362" s="7" t="s">
        <v>399</v>
      </c>
      <c r="C362" s="3" t="s">
        <v>650</v>
      </c>
      <c r="D362" s="3" t="s">
        <v>30</v>
      </c>
      <c r="E362" s="3"/>
      <c r="F362" s="3" t="s">
        <v>31</v>
      </c>
      <c r="G362" s="3" t="s">
        <v>50</v>
      </c>
      <c r="H362" s="4">
        <v>251</v>
      </c>
      <c r="I362" s="4">
        <v>250</v>
      </c>
      <c r="J362" s="3" t="s">
        <v>26</v>
      </c>
      <c r="K362" s="4" t="b">
        <v>0</v>
      </c>
      <c r="L362" s="6">
        <v>0</v>
      </c>
      <c r="M362" s="6">
        <v>0</v>
      </c>
      <c r="N362" s="3"/>
      <c r="O362" s="3" t="s">
        <v>651</v>
      </c>
      <c r="P362" s="3"/>
      <c r="Q362" s="3" t="s">
        <v>2311</v>
      </c>
      <c r="R362" s="3" t="s">
        <v>1074</v>
      </c>
      <c r="S362" s="3" t="s">
        <v>1006</v>
      </c>
      <c r="T362" s="3" t="s">
        <v>1007</v>
      </c>
      <c r="U362" s="11" t="s">
        <v>2312</v>
      </c>
      <c r="V362" s="11" t="s">
        <v>1031</v>
      </c>
      <c r="W362" s="11" t="s">
        <v>1032</v>
      </c>
      <c r="X362" s="13">
        <v>0.7</v>
      </c>
      <c r="Y362" s="12"/>
      <c r="Z362" s="11"/>
      <c r="AA362" s="11"/>
      <c r="AB362" s="11"/>
      <c r="AC362" s="11">
        <v>0</v>
      </c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 t="s">
        <v>1019</v>
      </c>
      <c r="AO362" s="11"/>
      <c r="AP362" s="11" t="s">
        <v>1123</v>
      </c>
      <c r="AQ362" s="11"/>
      <c r="AR362" s="11" t="s">
        <v>1034</v>
      </c>
      <c r="AS362" s="11"/>
      <c r="AT362" s="11" t="s">
        <v>1034</v>
      </c>
      <c r="AU362" s="11"/>
      <c r="AV362" s="11"/>
      <c r="AW362" s="12"/>
      <c r="AX362" s="12"/>
      <c r="AY362" s="12"/>
      <c r="AZ362" s="12"/>
      <c r="BA362" s="12"/>
      <c r="BB362" s="12"/>
      <c r="BC362" s="12"/>
      <c r="BD362" s="11" t="s">
        <v>1115</v>
      </c>
      <c r="BE362" s="11" t="s">
        <v>1124</v>
      </c>
    </row>
    <row r="363" spans="1:57" s="8" customFormat="1" ht="58" x14ac:dyDescent="0.35">
      <c r="A363" s="7" t="s">
        <v>398</v>
      </c>
      <c r="B363" s="7" t="s">
        <v>399</v>
      </c>
      <c r="C363" s="3" t="s">
        <v>652</v>
      </c>
      <c r="D363" s="3" t="s">
        <v>57</v>
      </c>
      <c r="E363" s="3"/>
      <c r="F363" s="3" t="s">
        <v>53</v>
      </c>
      <c r="G363" s="3" t="s">
        <v>50</v>
      </c>
      <c r="H363" s="4">
        <v>688</v>
      </c>
      <c r="I363" s="4">
        <v>300</v>
      </c>
      <c r="J363" s="3" t="s">
        <v>26</v>
      </c>
      <c r="K363" s="4" t="b">
        <v>0</v>
      </c>
      <c r="L363" s="6">
        <v>0.33333333333333298</v>
      </c>
      <c r="M363" s="6">
        <v>0.33333333333333298</v>
      </c>
      <c r="N363" s="3" t="s">
        <v>58</v>
      </c>
      <c r="O363" s="3" t="s">
        <v>59</v>
      </c>
      <c r="P363" s="3" t="s">
        <v>325</v>
      </c>
      <c r="Q363" s="3" t="s">
        <v>1754</v>
      </c>
      <c r="R363" s="3" t="s">
        <v>1074</v>
      </c>
      <c r="S363" s="3" t="s">
        <v>1006</v>
      </c>
      <c r="T363" s="3" t="s">
        <v>1007</v>
      </c>
      <c r="U363" s="11" t="s">
        <v>2313</v>
      </c>
      <c r="V363" s="11" t="s">
        <v>1064</v>
      </c>
      <c r="W363" s="11" t="s">
        <v>1065</v>
      </c>
      <c r="X363" s="13">
        <v>1</v>
      </c>
      <c r="Y363" s="12"/>
      <c r="Z363" s="11"/>
      <c r="AA363" s="11"/>
      <c r="AB363" s="11"/>
      <c r="AC363" s="11">
        <v>0</v>
      </c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 t="s">
        <v>1019</v>
      </c>
      <c r="AO363" s="11" t="s">
        <v>1756</v>
      </c>
      <c r="AP363" s="11" t="s">
        <v>1021</v>
      </c>
      <c r="AQ363" s="11" t="s">
        <v>1757</v>
      </c>
      <c r="AR363" s="11" t="s">
        <v>1048</v>
      </c>
      <c r="AS363" s="11" t="s">
        <v>1758</v>
      </c>
      <c r="AT363" s="11" t="s">
        <v>1050</v>
      </c>
      <c r="AU363" s="11" t="s">
        <v>1757</v>
      </c>
      <c r="AV363" s="11" t="s">
        <v>1758</v>
      </c>
      <c r="AW363" s="12">
        <v>1</v>
      </c>
      <c r="AX363" s="12">
        <v>1</v>
      </c>
      <c r="AY363" s="12">
        <v>1</v>
      </c>
      <c r="AZ363" s="12">
        <v>1</v>
      </c>
      <c r="BA363" s="12">
        <v>3</v>
      </c>
      <c r="BB363" s="12">
        <v>1</v>
      </c>
      <c r="BC363" s="12">
        <v>1</v>
      </c>
      <c r="BD363" s="11" t="s">
        <v>1026</v>
      </c>
      <c r="BE363" s="11" t="s">
        <v>1051</v>
      </c>
    </row>
    <row r="364" spans="1:57" s="8" customFormat="1" ht="58" x14ac:dyDescent="0.35">
      <c r="A364" s="7" t="s">
        <v>398</v>
      </c>
      <c r="B364" s="7" t="s">
        <v>399</v>
      </c>
      <c r="C364" s="3" t="s">
        <v>653</v>
      </c>
      <c r="D364" s="3" t="s">
        <v>30</v>
      </c>
      <c r="E364" s="3"/>
      <c r="F364" s="3" t="s">
        <v>31</v>
      </c>
      <c r="G364" s="3" t="s">
        <v>50</v>
      </c>
      <c r="H364" s="4">
        <v>787</v>
      </c>
      <c r="I364" s="4">
        <v>250</v>
      </c>
      <c r="J364" s="3" t="s">
        <v>26</v>
      </c>
      <c r="K364" s="4" t="b">
        <v>1</v>
      </c>
      <c r="L364" s="6">
        <v>1</v>
      </c>
      <c r="M364" s="6">
        <v>1</v>
      </c>
      <c r="N364" s="3" t="s">
        <v>32</v>
      </c>
      <c r="O364" s="3"/>
      <c r="P364" s="3" t="s">
        <v>654</v>
      </c>
      <c r="Q364" s="3" t="s">
        <v>2314</v>
      </c>
      <c r="R364" s="3" t="s">
        <v>1074</v>
      </c>
      <c r="S364" s="3" t="s">
        <v>1006</v>
      </c>
      <c r="T364" s="3" t="s">
        <v>1007</v>
      </c>
      <c r="U364" s="11" t="s">
        <v>2315</v>
      </c>
      <c r="V364" s="11" t="s">
        <v>1031</v>
      </c>
      <c r="W364" s="11" t="s">
        <v>1032</v>
      </c>
      <c r="X364" s="13">
        <v>0.7</v>
      </c>
      <c r="Y364" s="12"/>
      <c r="Z364" s="11"/>
      <c r="AA364" s="11"/>
      <c r="AB364" s="11"/>
      <c r="AC364" s="11">
        <v>0</v>
      </c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 t="s">
        <v>1019</v>
      </c>
      <c r="AO364" s="11" t="s">
        <v>2316</v>
      </c>
      <c r="AP364" s="11" t="s">
        <v>1021</v>
      </c>
      <c r="AQ364" s="11" t="s">
        <v>2317</v>
      </c>
      <c r="AR364" s="11" t="s">
        <v>1025</v>
      </c>
      <c r="AS364" s="11"/>
      <c r="AT364" s="11" t="s">
        <v>1034</v>
      </c>
      <c r="AU364" s="11" t="s">
        <v>2317</v>
      </c>
      <c r="AV364" s="11"/>
      <c r="AW364" s="12">
        <v>1</v>
      </c>
      <c r="AX364" s="12">
        <v>2</v>
      </c>
      <c r="AY364" s="12">
        <v>1</v>
      </c>
      <c r="AZ364" s="12">
        <v>2</v>
      </c>
      <c r="BA364" s="12">
        <v>1</v>
      </c>
      <c r="BB364" s="12"/>
      <c r="BC364" s="12"/>
      <c r="BD364" s="11" t="s">
        <v>1093</v>
      </c>
      <c r="BE364" s="11" t="s">
        <v>1037</v>
      </c>
    </row>
    <row r="365" spans="1:57" s="8" customFormat="1" ht="58" x14ac:dyDescent="0.35">
      <c r="A365" s="7" t="s">
        <v>398</v>
      </c>
      <c r="B365" s="7" t="s">
        <v>399</v>
      </c>
      <c r="C365" s="3" t="s">
        <v>655</v>
      </c>
      <c r="D365" s="3" t="s">
        <v>57</v>
      </c>
      <c r="E365" s="3"/>
      <c r="F365" s="3" t="s">
        <v>53</v>
      </c>
      <c r="G365" s="3" t="s">
        <v>50</v>
      </c>
      <c r="H365" s="4">
        <v>526</v>
      </c>
      <c r="I365" s="4">
        <v>300</v>
      </c>
      <c r="J365" s="3" t="s">
        <v>26</v>
      </c>
      <c r="K365" s="4" t="b">
        <v>0</v>
      </c>
      <c r="L365" s="6">
        <v>0.33333333333333298</v>
      </c>
      <c r="M365" s="6">
        <v>0.33333333333333298</v>
      </c>
      <c r="N365" s="3" t="s">
        <v>58</v>
      </c>
      <c r="O365" s="3" t="s">
        <v>59</v>
      </c>
      <c r="P365" s="3" t="s">
        <v>656</v>
      </c>
      <c r="Q365" s="3" t="s">
        <v>2318</v>
      </c>
      <c r="R365" s="3" t="s">
        <v>1029</v>
      </c>
      <c r="S365" s="3" t="s">
        <v>1006</v>
      </c>
      <c r="T365" s="3" t="s">
        <v>1007</v>
      </c>
      <c r="U365" s="11" t="s">
        <v>2319</v>
      </c>
      <c r="V365" s="11" t="s">
        <v>1031</v>
      </c>
      <c r="W365" s="11" t="s">
        <v>1032</v>
      </c>
      <c r="X365" s="13">
        <v>0.7</v>
      </c>
      <c r="Y365" s="12"/>
      <c r="Z365" s="11"/>
      <c r="AA365" s="11"/>
      <c r="AB365" s="11"/>
      <c r="AC365" s="11">
        <v>0</v>
      </c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 t="s">
        <v>1019</v>
      </c>
      <c r="AO365" s="11" t="s">
        <v>1274</v>
      </c>
      <c r="AP365" s="11" t="s">
        <v>1021</v>
      </c>
      <c r="AQ365" s="11" t="s">
        <v>1275</v>
      </c>
      <c r="AR365" s="11" t="s">
        <v>1048</v>
      </c>
      <c r="AS365" s="11" t="s">
        <v>1276</v>
      </c>
      <c r="AT365" s="11" t="s">
        <v>1050</v>
      </c>
      <c r="AU365" s="11" t="s">
        <v>1275</v>
      </c>
      <c r="AV365" s="11" t="s">
        <v>1276</v>
      </c>
      <c r="AW365" s="12">
        <v>2</v>
      </c>
      <c r="AX365" s="12">
        <v>1</v>
      </c>
      <c r="AY365" s="12">
        <v>2</v>
      </c>
      <c r="AZ365" s="12">
        <v>1</v>
      </c>
      <c r="BA365" s="12">
        <v>3</v>
      </c>
      <c r="BB365" s="12">
        <v>1</v>
      </c>
      <c r="BC365" s="12">
        <v>1</v>
      </c>
      <c r="BD365" s="11" t="s">
        <v>1026</v>
      </c>
      <c r="BE365" s="11" t="s">
        <v>1051</v>
      </c>
    </row>
    <row r="366" spans="1:57" s="8" customFormat="1" ht="58" x14ac:dyDescent="0.35">
      <c r="A366" s="7" t="s">
        <v>398</v>
      </c>
      <c r="B366" s="7" t="s">
        <v>399</v>
      </c>
      <c r="C366" s="3" t="s">
        <v>657</v>
      </c>
      <c r="D366" s="3" t="s">
        <v>45</v>
      </c>
      <c r="E366" s="3" t="s">
        <v>45</v>
      </c>
      <c r="F366" s="3" t="s">
        <v>46</v>
      </c>
      <c r="G366" s="3" t="s">
        <v>25</v>
      </c>
      <c r="H366" s="4">
        <v>285</v>
      </c>
      <c r="I366" s="4">
        <v>200</v>
      </c>
      <c r="J366" s="3" t="s">
        <v>26</v>
      </c>
      <c r="K366" s="4" t="b">
        <v>1</v>
      </c>
      <c r="L366" s="6">
        <v>1</v>
      </c>
      <c r="M366" s="6">
        <v>1</v>
      </c>
      <c r="N366" s="3" t="s">
        <v>47</v>
      </c>
      <c r="O366" s="3"/>
      <c r="P366" s="3" t="s">
        <v>148</v>
      </c>
      <c r="Q366" s="3" t="s">
        <v>2320</v>
      </c>
      <c r="R366" s="3" t="s">
        <v>1029</v>
      </c>
      <c r="S366" s="3" t="s">
        <v>1006</v>
      </c>
      <c r="T366" s="3" t="s">
        <v>1007</v>
      </c>
      <c r="U366" s="11" t="s">
        <v>2321</v>
      </c>
      <c r="V366" s="11" t="s">
        <v>1031</v>
      </c>
      <c r="W366" s="11" t="s">
        <v>1032</v>
      </c>
      <c r="X366" s="13">
        <v>0.7</v>
      </c>
      <c r="Y366" s="12"/>
      <c r="Z366" s="11"/>
      <c r="AA366" s="11"/>
      <c r="AB366" s="11"/>
      <c r="AC366" s="11">
        <v>0</v>
      </c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 t="s">
        <v>1019</v>
      </c>
      <c r="AO366" s="11" t="s">
        <v>1181</v>
      </c>
      <c r="AP366" s="11" t="s">
        <v>1021</v>
      </c>
      <c r="AQ366" s="11" t="s">
        <v>1182</v>
      </c>
      <c r="AR366" s="11" t="s">
        <v>1025</v>
      </c>
      <c r="AS366" s="11" t="s">
        <v>1183</v>
      </c>
      <c r="AT366" s="11" t="s">
        <v>1025</v>
      </c>
      <c r="AU366" s="11" t="s">
        <v>1182</v>
      </c>
      <c r="AV366" s="11" t="s">
        <v>1183</v>
      </c>
      <c r="AW366" s="12">
        <v>2</v>
      </c>
      <c r="AX366" s="12">
        <v>2</v>
      </c>
      <c r="AY366" s="12">
        <v>2</v>
      </c>
      <c r="AZ366" s="12">
        <v>2</v>
      </c>
      <c r="BA366" s="12">
        <v>1</v>
      </c>
      <c r="BB366" s="12">
        <v>2</v>
      </c>
      <c r="BC366" s="12">
        <v>1</v>
      </c>
      <c r="BD366" s="11" t="s">
        <v>1026</v>
      </c>
      <c r="BE366" s="11" t="s">
        <v>1027</v>
      </c>
    </row>
    <row r="367" spans="1:57" s="8" customFormat="1" ht="58" x14ac:dyDescent="0.35">
      <c r="A367" s="7" t="s">
        <v>398</v>
      </c>
      <c r="B367" s="7" t="s">
        <v>399</v>
      </c>
      <c r="C367" s="3" t="s">
        <v>657</v>
      </c>
      <c r="D367" s="3" t="s">
        <v>49</v>
      </c>
      <c r="E367" s="3"/>
      <c r="F367" s="3" t="s">
        <v>46</v>
      </c>
      <c r="G367" s="3" t="s">
        <v>50</v>
      </c>
      <c r="H367" s="4">
        <v>285</v>
      </c>
      <c r="I367" s="4">
        <v>200</v>
      </c>
      <c r="J367" s="3" t="s">
        <v>26</v>
      </c>
      <c r="K367" s="4" t="b">
        <v>1</v>
      </c>
      <c r="L367" s="6">
        <v>1</v>
      </c>
      <c r="M367" s="6">
        <v>1</v>
      </c>
      <c r="N367" s="3" t="s">
        <v>47</v>
      </c>
      <c r="O367" s="3"/>
      <c r="P367" s="3" t="s">
        <v>148</v>
      </c>
      <c r="Q367" s="3" t="s">
        <v>2320</v>
      </c>
      <c r="R367" s="3" t="s">
        <v>1029</v>
      </c>
      <c r="S367" s="3" t="s">
        <v>1006</v>
      </c>
      <c r="T367" s="3" t="s">
        <v>1007</v>
      </c>
      <c r="U367" s="11" t="s">
        <v>2321</v>
      </c>
      <c r="V367" s="11" t="s">
        <v>1031</v>
      </c>
      <c r="W367" s="11" t="s">
        <v>1032</v>
      </c>
      <c r="X367" s="13">
        <v>0.7</v>
      </c>
      <c r="Y367" s="12"/>
      <c r="Z367" s="11"/>
      <c r="AA367" s="11"/>
      <c r="AB367" s="11"/>
      <c r="AC367" s="11">
        <v>0</v>
      </c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 t="s">
        <v>1019</v>
      </c>
      <c r="AO367" s="11" t="s">
        <v>1181</v>
      </c>
      <c r="AP367" s="11" t="s">
        <v>1021</v>
      </c>
      <c r="AQ367" s="11" t="s">
        <v>1182</v>
      </c>
      <c r="AR367" s="11" t="s">
        <v>1025</v>
      </c>
      <c r="AS367" s="11" t="s">
        <v>1183</v>
      </c>
      <c r="AT367" s="11" t="s">
        <v>1025</v>
      </c>
      <c r="AU367" s="11" t="s">
        <v>1182</v>
      </c>
      <c r="AV367" s="11" t="s">
        <v>1183</v>
      </c>
      <c r="AW367" s="12">
        <v>2</v>
      </c>
      <c r="AX367" s="12">
        <v>2</v>
      </c>
      <c r="AY367" s="12">
        <v>2</v>
      </c>
      <c r="AZ367" s="12">
        <v>2</v>
      </c>
      <c r="BA367" s="12">
        <v>1</v>
      </c>
      <c r="BB367" s="12">
        <v>2</v>
      </c>
      <c r="BC367" s="12">
        <v>1</v>
      </c>
      <c r="BD367" s="11" t="s">
        <v>1026</v>
      </c>
      <c r="BE367" s="11" t="s">
        <v>1027</v>
      </c>
    </row>
    <row r="368" spans="1:57" s="8" customFormat="1" ht="72.5" x14ac:dyDescent="0.35">
      <c r="A368" s="7" t="s">
        <v>398</v>
      </c>
      <c r="B368" s="7" t="s">
        <v>399</v>
      </c>
      <c r="C368" s="3" t="s">
        <v>658</v>
      </c>
      <c r="D368" s="3" t="s">
        <v>57</v>
      </c>
      <c r="E368" s="3"/>
      <c r="F368" s="3" t="s">
        <v>53</v>
      </c>
      <c r="G368" s="3" t="s">
        <v>50</v>
      </c>
      <c r="H368" s="4">
        <v>335</v>
      </c>
      <c r="I368" s="4">
        <v>300</v>
      </c>
      <c r="J368" s="3" t="s">
        <v>26</v>
      </c>
      <c r="K368" s="4" t="b">
        <v>0</v>
      </c>
      <c r="L368" s="6">
        <v>0.33333333333333298</v>
      </c>
      <c r="M368" s="6">
        <v>0.33333333333333298</v>
      </c>
      <c r="N368" s="3" t="s">
        <v>58</v>
      </c>
      <c r="O368" s="3" t="s">
        <v>59</v>
      </c>
      <c r="P368" s="3" t="s">
        <v>659</v>
      </c>
      <c r="Q368" s="3" t="s">
        <v>2322</v>
      </c>
      <c r="R368" s="3" t="s">
        <v>1074</v>
      </c>
      <c r="S368" s="3" t="s">
        <v>1006</v>
      </c>
      <c r="T368" s="3" t="s">
        <v>1007</v>
      </c>
      <c r="U368" s="11" t="s">
        <v>2323</v>
      </c>
      <c r="V368" s="11" t="s">
        <v>1031</v>
      </c>
      <c r="W368" s="11" t="s">
        <v>1032</v>
      </c>
      <c r="X368" s="13">
        <v>0.7</v>
      </c>
      <c r="Y368" s="12"/>
      <c r="Z368" s="11"/>
      <c r="AA368" s="11"/>
      <c r="AB368" s="11"/>
      <c r="AC368" s="11">
        <v>0</v>
      </c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 t="s">
        <v>1019</v>
      </c>
      <c r="AO368" s="11" t="s">
        <v>1248</v>
      </c>
      <c r="AP368" s="11" t="s">
        <v>1114</v>
      </c>
      <c r="AQ368" s="11"/>
      <c r="AR368" s="11" t="s">
        <v>1034</v>
      </c>
      <c r="AS368" s="11"/>
      <c r="AT368" s="11" t="s">
        <v>1034</v>
      </c>
      <c r="AU368" s="11"/>
      <c r="AV368" s="11"/>
      <c r="AW368" s="12">
        <v>1</v>
      </c>
      <c r="AX368" s="12">
        <v>1</v>
      </c>
      <c r="AY368" s="12">
        <v>1</v>
      </c>
      <c r="AZ368" s="12"/>
      <c r="BA368" s="12"/>
      <c r="BB368" s="12"/>
      <c r="BC368" s="12"/>
      <c r="BD368" s="11" t="s">
        <v>1115</v>
      </c>
      <c r="BE368" s="11" t="s">
        <v>1116</v>
      </c>
    </row>
    <row r="369" spans="1:57" s="8" customFormat="1" ht="58" x14ac:dyDescent="0.35">
      <c r="A369" s="7" t="s">
        <v>398</v>
      </c>
      <c r="B369" s="7" t="s">
        <v>399</v>
      </c>
      <c r="C369" s="3" t="s">
        <v>660</v>
      </c>
      <c r="D369" s="3" t="s">
        <v>57</v>
      </c>
      <c r="E369" s="3"/>
      <c r="F369" s="3" t="s">
        <v>53</v>
      </c>
      <c r="G369" s="3" t="s">
        <v>50</v>
      </c>
      <c r="H369" s="4">
        <v>766</v>
      </c>
      <c r="I369" s="4">
        <v>300</v>
      </c>
      <c r="J369" s="3" t="s">
        <v>26</v>
      </c>
      <c r="K369" s="4" t="b">
        <v>0</v>
      </c>
      <c r="L369" s="6">
        <v>0.33333333333333298</v>
      </c>
      <c r="M369" s="6">
        <v>0.33333333333333298</v>
      </c>
      <c r="N369" s="3" t="s">
        <v>58</v>
      </c>
      <c r="O369" s="3" t="s">
        <v>59</v>
      </c>
      <c r="P369" s="3" t="s">
        <v>661</v>
      </c>
      <c r="Q369" s="3" t="s">
        <v>2324</v>
      </c>
      <c r="R369" s="3" t="s">
        <v>1074</v>
      </c>
      <c r="S369" s="3" t="s">
        <v>1006</v>
      </c>
      <c r="T369" s="3" t="s">
        <v>1007</v>
      </c>
      <c r="U369" s="11" t="s">
        <v>2325</v>
      </c>
      <c r="V369" s="11" t="s">
        <v>1031</v>
      </c>
      <c r="W369" s="11" t="s">
        <v>1032</v>
      </c>
      <c r="X369" s="13">
        <v>0.7</v>
      </c>
      <c r="Y369" s="12"/>
      <c r="Z369" s="11"/>
      <c r="AA369" s="11"/>
      <c r="AB369" s="11"/>
      <c r="AC369" s="11">
        <v>2</v>
      </c>
      <c r="AD369" s="11" t="s">
        <v>1227</v>
      </c>
      <c r="AE369" s="11" t="s">
        <v>2326</v>
      </c>
      <c r="AF369" s="11" t="s">
        <v>1014</v>
      </c>
      <c r="AG369" s="11" t="s">
        <v>1015</v>
      </c>
      <c r="AH369" s="11"/>
      <c r="AI369" s="11" t="s">
        <v>1016</v>
      </c>
      <c r="AJ369" s="11"/>
      <c r="AK369" s="11" t="s">
        <v>1229</v>
      </c>
      <c r="AL369" s="11" t="s">
        <v>1017</v>
      </c>
      <c r="AM369" s="11" t="s">
        <v>1230</v>
      </c>
      <c r="AN369" s="11" t="s">
        <v>1019</v>
      </c>
      <c r="AO369" s="11" t="s">
        <v>1281</v>
      </c>
      <c r="AP369" s="11" t="s">
        <v>1021</v>
      </c>
      <c r="AQ369" s="11" t="s">
        <v>1282</v>
      </c>
      <c r="AR369" s="11" t="s">
        <v>1048</v>
      </c>
      <c r="AS369" s="11" t="s">
        <v>1283</v>
      </c>
      <c r="AT369" s="11" t="s">
        <v>1050</v>
      </c>
      <c r="AU369" s="11" t="s">
        <v>1282</v>
      </c>
      <c r="AV369" s="11" t="s">
        <v>1283</v>
      </c>
      <c r="AW369" s="12">
        <v>1</v>
      </c>
      <c r="AX369" s="12">
        <v>1</v>
      </c>
      <c r="AY369" s="12">
        <v>1</v>
      </c>
      <c r="AZ369" s="12">
        <v>1</v>
      </c>
      <c r="BA369" s="12">
        <v>2</v>
      </c>
      <c r="BB369" s="12">
        <v>1</v>
      </c>
      <c r="BC369" s="12">
        <v>1</v>
      </c>
      <c r="BD369" s="11" t="s">
        <v>1026</v>
      </c>
      <c r="BE369" s="11" t="s">
        <v>1051</v>
      </c>
    </row>
    <row r="370" spans="1:57" s="8" customFormat="1" ht="58" x14ac:dyDescent="0.35">
      <c r="A370" s="7" t="s">
        <v>398</v>
      </c>
      <c r="B370" s="7" t="s">
        <v>399</v>
      </c>
      <c r="C370" s="3" t="s">
        <v>662</v>
      </c>
      <c r="D370" s="3" t="s">
        <v>57</v>
      </c>
      <c r="E370" s="3"/>
      <c r="F370" s="3" t="s">
        <v>53</v>
      </c>
      <c r="G370" s="3" t="s">
        <v>50</v>
      </c>
      <c r="H370" s="4">
        <v>420</v>
      </c>
      <c r="I370" s="4">
        <v>300</v>
      </c>
      <c r="J370" s="3" t="s">
        <v>26</v>
      </c>
      <c r="K370" s="4" t="b">
        <v>0</v>
      </c>
      <c r="L370" s="6">
        <v>0.33333333333333298</v>
      </c>
      <c r="M370" s="6">
        <v>0.33333333333333298</v>
      </c>
      <c r="N370" s="3" t="s">
        <v>58</v>
      </c>
      <c r="O370" s="3" t="s">
        <v>59</v>
      </c>
      <c r="P370" s="3" t="s">
        <v>146</v>
      </c>
      <c r="Q370" s="3" t="s">
        <v>1284</v>
      </c>
      <c r="R370" s="3" t="s">
        <v>1074</v>
      </c>
      <c r="S370" s="3" t="s">
        <v>1006</v>
      </c>
      <c r="T370" s="3" t="s">
        <v>1007</v>
      </c>
      <c r="U370" s="11" t="s">
        <v>2327</v>
      </c>
      <c r="V370" s="11" t="s">
        <v>1064</v>
      </c>
      <c r="W370" s="11" t="s">
        <v>1065</v>
      </c>
      <c r="X370" s="13">
        <v>1</v>
      </c>
      <c r="Y370" s="12"/>
      <c r="Z370" s="11"/>
      <c r="AA370" s="11"/>
      <c r="AB370" s="11"/>
      <c r="AC370" s="11">
        <v>1</v>
      </c>
      <c r="AD370" s="11" t="s">
        <v>1227</v>
      </c>
      <c r="AE370" s="11" t="s">
        <v>1286</v>
      </c>
      <c r="AF370" s="11" t="s">
        <v>1014</v>
      </c>
      <c r="AG370" s="11" t="s">
        <v>1015</v>
      </c>
      <c r="AH370" s="11" t="s">
        <v>54</v>
      </c>
      <c r="AI370" s="11" t="s">
        <v>1016</v>
      </c>
      <c r="AJ370" s="11"/>
      <c r="AK370" s="11" t="s">
        <v>1229</v>
      </c>
      <c r="AL370" s="11" t="s">
        <v>1017</v>
      </c>
      <c r="AM370" s="11" t="s">
        <v>1230</v>
      </c>
      <c r="AN370" s="11" t="s">
        <v>1019</v>
      </c>
      <c r="AO370" s="11" t="s">
        <v>1176</v>
      </c>
      <c r="AP370" s="11" t="s">
        <v>1021</v>
      </c>
      <c r="AQ370" s="11" t="s">
        <v>1177</v>
      </c>
      <c r="AR370" s="11" t="s">
        <v>1025</v>
      </c>
      <c r="AS370" s="11" t="s">
        <v>1178</v>
      </c>
      <c r="AT370" s="11" t="s">
        <v>1025</v>
      </c>
      <c r="AU370" s="11" t="s">
        <v>1177</v>
      </c>
      <c r="AV370" s="11" t="s">
        <v>1178</v>
      </c>
      <c r="AW370" s="12">
        <v>2</v>
      </c>
      <c r="AX370" s="12">
        <v>2</v>
      </c>
      <c r="AY370" s="12">
        <v>2</v>
      </c>
      <c r="AZ370" s="12">
        <v>2</v>
      </c>
      <c r="BA370" s="12">
        <v>1</v>
      </c>
      <c r="BB370" s="12">
        <v>2</v>
      </c>
      <c r="BC370" s="12">
        <v>1</v>
      </c>
      <c r="BD370" s="11" t="s">
        <v>1026</v>
      </c>
      <c r="BE370" s="11" t="s">
        <v>1027</v>
      </c>
    </row>
    <row r="371" spans="1:57" s="8" customFormat="1" ht="72.5" x14ac:dyDescent="0.35">
      <c r="A371" s="7" t="s">
        <v>398</v>
      </c>
      <c r="B371" s="7" t="s">
        <v>399</v>
      </c>
      <c r="C371" s="3" t="s">
        <v>663</v>
      </c>
      <c r="D371" s="3" t="s">
        <v>45</v>
      </c>
      <c r="E371" s="3" t="s">
        <v>45</v>
      </c>
      <c r="F371" s="3" t="s">
        <v>46</v>
      </c>
      <c r="G371" s="3" t="s">
        <v>25</v>
      </c>
      <c r="H371" s="4">
        <v>354</v>
      </c>
      <c r="I371" s="4">
        <v>200</v>
      </c>
      <c r="J371" s="3" t="s">
        <v>26</v>
      </c>
      <c r="K371" s="4" t="b">
        <v>1</v>
      </c>
      <c r="L371" s="6">
        <v>1</v>
      </c>
      <c r="M371" s="6">
        <v>1</v>
      </c>
      <c r="N371" s="3" t="s">
        <v>47</v>
      </c>
      <c r="O371" s="3"/>
      <c r="P371" s="3" t="s">
        <v>81</v>
      </c>
      <c r="Q371" s="3" t="s">
        <v>1133</v>
      </c>
      <c r="R371" s="3" t="s">
        <v>1029</v>
      </c>
      <c r="S371" s="3" t="s">
        <v>1006</v>
      </c>
      <c r="T371" s="3" t="s">
        <v>2328</v>
      </c>
      <c r="U371" s="11" t="s">
        <v>2329</v>
      </c>
      <c r="V371" s="11" t="s">
        <v>1031</v>
      </c>
      <c r="W371" s="11" t="s">
        <v>1032</v>
      </c>
      <c r="X371" s="13">
        <v>0.7</v>
      </c>
      <c r="Y371" s="12"/>
      <c r="Z371" s="11"/>
      <c r="AA371" s="11"/>
      <c r="AB371" s="11"/>
      <c r="AC371" s="11">
        <v>0</v>
      </c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 t="s">
        <v>1019</v>
      </c>
      <c r="AO371" s="11" t="s">
        <v>1135</v>
      </c>
      <c r="AP371" s="11" t="s">
        <v>1021</v>
      </c>
      <c r="AQ371" s="11" t="s">
        <v>1136</v>
      </c>
      <c r="AR371" s="11" t="s">
        <v>1050</v>
      </c>
      <c r="AS371" s="11" t="s">
        <v>1137</v>
      </c>
      <c r="AT371" s="11" t="s">
        <v>1050</v>
      </c>
      <c r="AU371" s="11" t="s">
        <v>1136</v>
      </c>
      <c r="AV371" s="11" t="s">
        <v>1137</v>
      </c>
      <c r="AW371" s="12">
        <v>1</v>
      </c>
      <c r="AX371" s="12">
        <v>1</v>
      </c>
      <c r="AY371" s="12">
        <v>1</v>
      </c>
      <c r="AZ371" s="12">
        <v>1</v>
      </c>
      <c r="BA371" s="12">
        <v>1</v>
      </c>
      <c r="BB371" s="12">
        <v>1</v>
      </c>
      <c r="BC371" s="12">
        <v>1</v>
      </c>
      <c r="BD371" s="11" t="s">
        <v>1026</v>
      </c>
      <c r="BE371" s="11" t="s">
        <v>1103</v>
      </c>
    </row>
    <row r="372" spans="1:57" s="8" customFormat="1" ht="72.5" x14ac:dyDescent="0.35">
      <c r="A372" s="7" t="s">
        <v>398</v>
      </c>
      <c r="B372" s="7" t="s">
        <v>399</v>
      </c>
      <c r="C372" s="3" t="s">
        <v>663</v>
      </c>
      <c r="D372" s="3" t="s">
        <v>49</v>
      </c>
      <c r="E372" s="3"/>
      <c r="F372" s="3" t="s">
        <v>46</v>
      </c>
      <c r="G372" s="3" t="s">
        <v>50</v>
      </c>
      <c r="H372" s="4">
        <v>354</v>
      </c>
      <c r="I372" s="4">
        <v>200</v>
      </c>
      <c r="J372" s="3" t="s">
        <v>26</v>
      </c>
      <c r="K372" s="4" t="b">
        <v>1</v>
      </c>
      <c r="L372" s="6">
        <v>1</v>
      </c>
      <c r="M372" s="6">
        <v>1</v>
      </c>
      <c r="N372" s="3" t="s">
        <v>47</v>
      </c>
      <c r="O372" s="3"/>
      <c r="P372" s="3" t="s">
        <v>81</v>
      </c>
      <c r="Q372" s="3" t="s">
        <v>1133</v>
      </c>
      <c r="R372" s="3" t="s">
        <v>1029</v>
      </c>
      <c r="S372" s="3" t="s">
        <v>1006</v>
      </c>
      <c r="T372" s="3" t="s">
        <v>2328</v>
      </c>
      <c r="U372" s="11" t="s">
        <v>2329</v>
      </c>
      <c r="V372" s="11" t="s">
        <v>1031</v>
      </c>
      <c r="W372" s="11" t="s">
        <v>1032</v>
      </c>
      <c r="X372" s="13">
        <v>0.7</v>
      </c>
      <c r="Y372" s="12"/>
      <c r="Z372" s="11"/>
      <c r="AA372" s="11"/>
      <c r="AB372" s="11"/>
      <c r="AC372" s="11">
        <v>0</v>
      </c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 t="s">
        <v>1019</v>
      </c>
      <c r="AO372" s="11" t="s">
        <v>1135</v>
      </c>
      <c r="AP372" s="11" t="s">
        <v>1021</v>
      </c>
      <c r="AQ372" s="11" t="s">
        <v>1136</v>
      </c>
      <c r="AR372" s="11" t="s">
        <v>1050</v>
      </c>
      <c r="AS372" s="11" t="s">
        <v>1137</v>
      </c>
      <c r="AT372" s="11" t="s">
        <v>1050</v>
      </c>
      <c r="AU372" s="11" t="s">
        <v>1136</v>
      </c>
      <c r="AV372" s="11" t="s">
        <v>1137</v>
      </c>
      <c r="AW372" s="12">
        <v>1</v>
      </c>
      <c r="AX372" s="12">
        <v>1</v>
      </c>
      <c r="AY372" s="12">
        <v>1</v>
      </c>
      <c r="AZ372" s="12">
        <v>1</v>
      </c>
      <c r="BA372" s="12">
        <v>1</v>
      </c>
      <c r="BB372" s="12">
        <v>1</v>
      </c>
      <c r="BC372" s="12">
        <v>1</v>
      </c>
      <c r="BD372" s="11" t="s">
        <v>1026</v>
      </c>
      <c r="BE372" s="11" t="s">
        <v>1103</v>
      </c>
    </row>
    <row r="373" spans="1:57" s="8" customFormat="1" ht="72.5" x14ac:dyDescent="0.35">
      <c r="A373" s="7" t="s">
        <v>398</v>
      </c>
      <c r="B373" s="7" t="s">
        <v>399</v>
      </c>
      <c r="C373" s="3" t="s">
        <v>664</v>
      </c>
      <c r="D373" s="3" t="s">
        <v>45</v>
      </c>
      <c r="E373" s="3"/>
      <c r="F373" s="3" t="s">
        <v>46</v>
      </c>
      <c r="G373" s="3" t="s">
        <v>50</v>
      </c>
      <c r="H373" s="4">
        <v>427</v>
      </c>
      <c r="I373" s="4">
        <v>200</v>
      </c>
      <c r="J373" s="3" t="s">
        <v>26</v>
      </c>
      <c r="K373" s="4" t="b">
        <v>0</v>
      </c>
      <c r="L373" s="6">
        <v>1</v>
      </c>
      <c r="M373" s="6">
        <v>0.66666666666666596</v>
      </c>
      <c r="N373" s="3" t="s">
        <v>47</v>
      </c>
      <c r="O373" s="3" t="s">
        <v>90</v>
      </c>
      <c r="P373" s="3" t="s">
        <v>665</v>
      </c>
      <c r="Q373" s="3" t="s">
        <v>2330</v>
      </c>
      <c r="R373" s="3" t="s">
        <v>1029</v>
      </c>
      <c r="S373" s="3" t="s">
        <v>1006</v>
      </c>
      <c r="T373" s="3" t="s">
        <v>1393</v>
      </c>
      <c r="U373" s="11" t="s">
        <v>2331</v>
      </c>
      <c r="V373" s="11" t="s">
        <v>1031</v>
      </c>
      <c r="W373" s="11" t="s">
        <v>1032</v>
      </c>
      <c r="X373" s="13">
        <v>0.71</v>
      </c>
      <c r="Y373" s="12"/>
      <c r="Z373" s="11"/>
      <c r="AA373" s="11"/>
      <c r="AB373" s="11"/>
      <c r="AC373" s="11">
        <v>0</v>
      </c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 t="s">
        <v>1019</v>
      </c>
      <c r="AO373" s="11" t="s">
        <v>1233</v>
      </c>
      <c r="AP373" s="11" t="s">
        <v>1114</v>
      </c>
      <c r="AQ373" s="11"/>
      <c r="AR373" s="11" t="s">
        <v>1034</v>
      </c>
      <c r="AS373" s="11"/>
      <c r="AT373" s="11" t="s">
        <v>1034</v>
      </c>
      <c r="AU373" s="11"/>
      <c r="AV373" s="11"/>
      <c r="AW373" s="12">
        <v>1</v>
      </c>
      <c r="AX373" s="12">
        <v>1</v>
      </c>
      <c r="AY373" s="12">
        <v>1</v>
      </c>
      <c r="AZ373" s="12"/>
      <c r="BA373" s="12"/>
      <c r="BB373" s="12"/>
      <c r="BC373" s="12"/>
      <c r="BD373" s="11" t="s">
        <v>1115</v>
      </c>
      <c r="BE373" s="11" t="s">
        <v>1116</v>
      </c>
    </row>
    <row r="374" spans="1:57" s="8" customFormat="1" ht="72.5" x14ac:dyDescent="0.35">
      <c r="A374" s="7" t="s">
        <v>398</v>
      </c>
      <c r="B374" s="7" t="s">
        <v>399</v>
      </c>
      <c r="C374" s="3" t="s">
        <v>664</v>
      </c>
      <c r="D374" s="3" t="s">
        <v>49</v>
      </c>
      <c r="E374" s="3"/>
      <c r="F374" s="3" t="s">
        <v>46</v>
      </c>
      <c r="G374" s="3" t="s">
        <v>50</v>
      </c>
      <c r="H374" s="4">
        <v>427</v>
      </c>
      <c r="I374" s="4">
        <v>200</v>
      </c>
      <c r="J374" s="3" t="s">
        <v>26</v>
      </c>
      <c r="K374" s="4" t="b">
        <v>0</v>
      </c>
      <c r="L374" s="6">
        <v>1</v>
      </c>
      <c r="M374" s="6">
        <v>0.66666666666666596</v>
      </c>
      <c r="N374" s="3" t="s">
        <v>47</v>
      </c>
      <c r="O374" s="3" t="s">
        <v>90</v>
      </c>
      <c r="P374" s="3" t="s">
        <v>665</v>
      </c>
      <c r="Q374" s="3" t="s">
        <v>2330</v>
      </c>
      <c r="R374" s="3" t="s">
        <v>1029</v>
      </c>
      <c r="S374" s="3" t="s">
        <v>1006</v>
      </c>
      <c r="T374" s="3" t="s">
        <v>1393</v>
      </c>
      <c r="U374" s="11" t="s">
        <v>2331</v>
      </c>
      <c r="V374" s="11" t="s">
        <v>1031</v>
      </c>
      <c r="W374" s="11" t="s">
        <v>1032</v>
      </c>
      <c r="X374" s="13">
        <v>0.71</v>
      </c>
      <c r="Y374" s="12"/>
      <c r="Z374" s="11"/>
      <c r="AA374" s="11"/>
      <c r="AB374" s="11"/>
      <c r="AC374" s="11">
        <v>0</v>
      </c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 t="s">
        <v>1019</v>
      </c>
      <c r="AO374" s="11" t="s">
        <v>1233</v>
      </c>
      <c r="AP374" s="11" t="s">
        <v>1114</v>
      </c>
      <c r="AQ374" s="11"/>
      <c r="AR374" s="11" t="s">
        <v>1034</v>
      </c>
      <c r="AS374" s="11"/>
      <c r="AT374" s="11" t="s">
        <v>1034</v>
      </c>
      <c r="AU374" s="11"/>
      <c r="AV374" s="11"/>
      <c r="AW374" s="12">
        <v>1</v>
      </c>
      <c r="AX374" s="12">
        <v>1</v>
      </c>
      <c r="AY374" s="12">
        <v>1</v>
      </c>
      <c r="AZ374" s="12"/>
      <c r="BA374" s="12"/>
      <c r="BB374" s="12"/>
      <c r="BC374" s="12"/>
      <c r="BD374" s="11" t="s">
        <v>1115</v>
      </c>
      <c r="BE374" s="11" t="s">
        <v>1116</v>
      </c>
    </row>
    <row r="375" spans="1:57" s="8" customFormat="1" ht="72.5" x14ac:dyDescent="0.35">
      <c r="A375" s="7" t="s">
        <v>398</v>
      </c>
      <c r="B375" s="7" t="s">
        <v>399</v>
      </c>
      <c r="C375" s="3" t="s">
        <v>666</v>
      </c>
      <c r="D375" s="3" t="s">
        <v>98</v>
      </c>
      <c r="E375" s="3"/>
      <c r="F375" s="3" t="s">
        <v>53</v>
      </c>
      <c r="G375" s="3" t="s">
        <v>50</v>
      </c>
      <c r="H375" s="4">
        <v>399</v>
      </c>
      <c r="I375" s="4">
        <v>300</v>
      </c>
      <c r="J375" s="3" t="s">
        <v>26</v>
      </c>
      <c r="K375" s="4" t="b">
        <v>0</v>
      </c>
      <c r="L375" s="6">
        <v>0.5</v>
      </c>
      <c r="M375" s="6">
        <v>0.66666666666666596</v>
      </c>
      <c r="N375" s="3" t="s">
        <v>303</v>
      </c>
      <c r="O375" s="3" t="s">
        <v>304</v>
      </c>
      <c r="P375" s="3" t="s">
        <v>667</v>
      </c>
      <c r="Q375" s="3" t="s">
        <v>2332</v>
      </c>
      <c r="R375" s="3" t="s">
        <v>1029</v>
      </c>
      <c r="S375" s="3" t="s">
        <v>1006</v>
      </c>
      <c r="T375" s="3" t="s">
        <v>1007</v>
      </c>
      <c r="U375" s="11" t="s">
        <v>2333</v>
      </c>
      <c r="V375" s="11" t="s">
        <v>1096</v>
      </c>
      <c r="W375" s="11" t="s">
        <v>1097</v>
      </c>
      <c r="X375" s="13">
        <v>0.68</v>
      </c>
      <c r="Y375" s="12"/>
      <c r="Z375" s="11" t="s">
        <v>2334</v>
      </c>
      <c r="AA375" s="11"/>
      <c r="AB375" s="11"/>
      <c r="AC375" s="11">
        <v>0</v>
      </c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 t="s">
        <v>1019</v>
      </c>
      <c r="AO375" s="11" t="s">
        <v>1805</v>
      </c>
      <c r="AP375" s="11" t="s">
        <v>1114</v>
      </c>
      <c r="AQ375" s="11"/>
      <c r="AR375" s="11" t="s">
        <v>1034</v>
      </c>
      <c r="AS375" s="11"/>
      <c r="AT375" s="11" t="s">
        <v>1034</v>
      </c>
      <c r="AU375" s="11"/>
      <c r="AV375" s="11"/>
      <c r="AW375" s="12">
        <v>1</v>
      </c>
      <c r="AX375" s="12">
        <v>1</v>
      </c>
      <c r="AY375" s="12">
        <v>1</v>
      </c>
      <c r="AZ375" s="12"/>
      <c r="BA375" s="12"/>
      <c r="BB375" s="12"/>
      <c r="BC375" s="12"/>
      <c r="BD375" s="11" t="s">
        <v>1115</v>
      </c>
      <c r="BE375" s="11" t="s">
        <v>1116</v>
      </c>
    </row>
    <row r="376" spans="1:57" s="8" customFormat="1" ht="72.5" x14ac:dyDescent="0.35">
      <c r="A376" s="7" t="s">
        <v>398</v>
      </c>
      <c r="B376" s="7" t="s">
        <v>399</v>
      </c>
      <c r="C376" s="3" t="s">
        <v>668</v>
      </c>
      <c r="D376" s="3" t="s">
        <v>52</v>
      </c>
      <c r="E376" s="3"/>
      <c r="F376" s="3" t="s">
        <v>53</v>
      </c>
      <c r="G376" s="3" t="s">
        <v>50</v>
      </c>
      <c r="H376" s="4">
        <v>307</v>
      </c>
      <c r="I376" s="4">
        <v>500</v>
      </c>
      <c r="J376" s="3" t="s">
        <v>74</v>
      </c>
      <c r="K376" s="4" t="b">
        <v>0</v>
      </c>
      <c r="L376" s="6">
        <v>0.33333333333333298</v>
      </c>
      <c r="M376" s="6">
        <v>0.33333333333333298</v>
      </c>
      <c r="N376" s="3" t="s">
        <v>54</v>
      </c>
      <c r="O376" s="3" t="s">
        <v>55</v>
      </c>
      <c r="P376" s="3" t="s">
        <v>669</v>
      </c>
      <c r="Q376" s="3" t="s">
        <v>2335</v>
      </c>
      <c r="R376" s="3" t="s">
        <v>1074</v>
      </c>
      <c r="S376" s="3" t="s">
        <v>1006</v>
      </c>
      <c r="T376" s="3" t="s">
        <v>1007</v>
      </c>
      <c r="U376" s="11" t="s">
        <v>2336</v>
      </c>
      <c r="V376" s="11" t="s">
        <v>1031</v>
      </c>
      <c r="W376" s="11" t="s">
        <v>1032</v>
      </c>
      <c r="X376" s="13">
        <v>0.7</v>
      </c>
      <c r="Y376" s="12"/>
      <c r="Z376" s="11"/>
      <c r="AA376" s="11"/>
      <c r="AB376" s="11"/>
      <c r="AC376" s="11">
        <v>3</v>
      </c>
      <c r="AD376" s="11" t="s">
        <v>1076</v>
      </c>
      <c r="AE376" s="11" t="s">
        <v>2337</v>
      </c>
      <c r="AF376" s="11" t="s">
        <v>1014</v>
      </c>
      <c r="AG376" s="11" t="s">
        <v>1015</v>
      </c>
      <c r="AH376" s="11" t="s">
        <v>1078</v>
      </c>
      <c r="AI376" s="11" t="s">
        <v>1016</v>
      </c>
      <c r="AJ376" s="11"/>
      <c r="AK376" s="11" t="s">
        <v>1079</v>
      </c>
      <c r="AL376" s="11" t="s">
        <v>1017</v>
      </c>
      <c r="AM376" s="11" t="s">
        <v>1080</v>
      </c>
      <c r="AN376" s="11" t="s">
        <v>1019</v>
      </c>
      <c r="AO376" s="11" t="s">
        <v>1226</v>
      </c>
      <c r="AP376" s="11" t="s">
        <v>1114</v>
      </c>
      <c r="AQ376" s="11"/>
      <c r="AR376" s="11" t="s">
        <v>1034</v>
      </c>
      <c r="AS376" s="11"/>
      <c r="AT376" s="11" t="s">
        <v>1034</v>
      </c>
      <c r="AU376" s="11"/>
      <c r="AV376" s="11"/>
      <c r="AW376" s="12">
        <v>1</v>
      </c>
      <c r="AX376" s="12">
        <v>1</v>
      </c>
      <c r="AY376" s="12">
        <v>1</v>
      </c>
      <c r="AZ376" s="12"/>
      <c r="BA376" s="12"/>
      <c r="BB376" s="12"/>
      <c r="BC376" s="12"/>
      <c r="BD376" s="11" t="s">
        <v>1115</v>
      </c>
      <c r="BE376" s="11" t="s">
        <v>1116</v>
      </c>
    </row>
    <row r="377" spans="1:57" s="8" customFormat="1" ht="72.5" x14ac:dyDescent="0.35">
      <c r="A377" s="7" t="s">
        <v>398</v>
      </c>
      <c r="B377" s="7" t="s">
        <v>399</v>
      </c>
      <c r="C377" s="3" t="s">
        <v>668</v>
      </c>
      <c r="D377" s="3" t="s">
        <v>57</v>
      </c>
      <c r="E377" s="3"/>
      <c r="F377" s="3" t="s">
        <v>53</v>
      </c>
      <c r="G377" s="3" t="s">
        <v>50</v>
      </c>
      <c r="H377" s="4">
        <v>307</v>
      </c>
      <c r="I377" s="4">
        <v>300</v>
      </c>
      <c r="J377" s="3" t="s">
        <v>26</v>
      </c>
      <c r="K377" s="4" t="b">
        <v>0</v>
      </c>
      <c r="L377" s="6">
        <v>0.33333333333333298</v>
      </c>
      <c r="M377" s="6">
        <v>0.33333333333333298</v>
      </c>
      <c r="N377" s="3" t="s">
        <v>58</v>
      </c>
      <c r="O377" s="3" t="s">
        <v>59</v>
      </c>
      <c r="P377" s="3" t="s">
        <v>669</v>
      </c>
      <c r="Q377" s="3" t="s">
        <v>2335</v>
      </c>
      <c r="R377" s="3" t="s">
        <v>1074</v>
      </c>
      <c r="S377" s="3" t="s">
        <v>1006</v>
      </c>
      <c r="T377" s="3" t="s">
        <v>1007</v>
      </c>
      <c r="U377" s="11" t="s">
        <v>2336</v>
      </c>
      <c r="V377" s="11" t="s">
        <v>1031</v>
      </c>
      <c r="W377" s="11" t="s">
        <v>1032</v>
      </c>
      <c r="X377" s="13">
        <v>0.7</v>
      </c>
      <c r="Y377" s="12"/>
      <c r="Z377" s="11"/>
      <c r="AA377" s="11"/>
      <c r="AB377" s="11"/>
      <c r="AC377" s="11">
        <v>1</v>
      </c>
      <c r="AD377" s="11" t="s">
        <v>1227</v>
      </c>
      <c r="AE377" s="11" t="s">
        <v>2338</v>
      </c>
      <c r="AF377" s="11" t="s">
        <v>1014</v>
      </c>
      <c r="AG377" s="11" t="s">
        <v>1015</v>
      </c>
      <c r="AH377" s="11" t="s">
        <v>1078</v>
      </c>
      <c r="AI377" s="11" t="s">
        <v>1016</v>
      </c>
      <c r="AJ377" s="11"/>
      <c r="AK377" s="11" t="s">
        <v>1229</v>
      </c>
      <c r="AL377" s="11" t="s">
        <v>1017</v>
      </c>
      <c r="AM377" s="11" t="s">
        <v>1230</v>
      </c>
      <c r="AN377" s="11" t="s">
        <v>1019</v>
      </c>
      <c r="AO377" s="11" t="s">
        <v>1226</v>
      </c>
      <c r="AP377" s="11" t="s">
        <v>1114</v>
      </c>
      <c r="AQ377" s="11"/>
      <c r="AR377" s="11" t="s">
        <v>1034</v>
      </c>
      <c r="AS377" s="11"/>
      <c r="AT377" s="11" t="s">
        <v>1034</v>
      </c>
      <c r="AU377" s="11"/>
      <c r="AV377" s="11"/>
      <c r="AW377" s="12">
        <v>1</v>
      </c>
      <c r="AX377" s="12">
        <v>1</v>
      </c>
      <c r="AY377" s="12">
        <v>1</v>
      </c>
      <c r="AZ377" s="12"/>
      <c r="BA377" s="12"/>
      <c r="BB377" s="12"/>
      <c r="BC377" s="12"/>
      <c r="BD377" s="11" t="s">
        <v>1115</v>
      </c>
      <c r="BE377" s="11" t="s">
        <v>1116</v>
      </c>
    </row>
    <row r="378" spans="1:57" s="8" customFormat="1" ht="58" x14ac:dyDescent="0.35">
      <c r="A378" s="7" t="s">
        <v>398</v>
      </c>
      <c r="B378" s="7" t="s">
        <v>399</v>
      </c>
      <c r="C378" s="3" t="s">
        <v>670</v>
      </c>
      <c r="D378" s="3" t="s">
        <v>57</v>
      </c>
      <c r="E378" s="3"/>
      <c r="F378" s="3" t="s">
        <v>53</v>
      </c>
      <c r="G378" s="3" t="s">
        <v>50</v>
      </c>
      <c r="H378" s="4">
        <v>424</v>
      </c>
      <c r="I378" s="4">
        <v>300</v>
      </c>
      <c r="J378" s="3" t="s">
        <v>26</v>
      </c>
      <c r="K378" s="4" t="b">
        <v>0</v>
      </c>
      <c r="L378" s="6">
        <v>0.33333333333333298</v>
      </c>
      <c r="M378" s="6">
        <v>0.33333333333333298</v>
      </c>
      <c r="N378" s="3" t="s">
        <v>58</v>
      </c>
      <c r="O378" s="3" t="s">
        <v>59</v>
      </c>
      <c r="P378" s="3" t="s">
        <v>101</v>
      </c>
      <c r="Q378" s="3" t="s">
        <v>1174</v>
      </c>
      <c r="R378" s="3" t="s">
        <v>1074</v>
      </c>
      <c r="S378" s="3" t="s">
        <v>1006</v>
      </c>
      <c r="T378" s="3" t="s">
        <v>1007</v>
      </c>
      <c r="U378" s="11" t="s">
        <v>2339</v>
      </c>
      <c r="V378" s="11" t="s">
        <v>1064</v>
      </c>
      <c r="W378" s="11" t="s">
        <v>1065</v>
      </c>
      <c r="X378" s="13">
        <v>1</v>
      </c>
      <c r="Y378" s="12"/>
      <c r="Z378" s="11"/>
      <c r="AA378" s="11"/>
      <c r="AB378" s="11"/>
      <c r="AC378" s="11">
        <v>0</v>
      </c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 t="s">
        <v>1019</v>
      </c>
      <c r="AO378" s="11" t="s">
        <v>1176</v>
      </c>
      <c r="AP378" s="11" t="s">
        <v>1021</v>
      </c>
      <c r="AQ378" s="11" t="s">
        <v>1177</v>
      </c>
      <c r="AR378" s="11" t="s">
        <v>1025</v>
      </c>
      <c r="AS378" s="11" t="s">
        <v>1178</v>
      </c>
      <c r="AT378" s="11" t="s">
        <v>1025</v>
      </c>
      <c r="AU378" s="11" t="s">
        <v>1177</v>
      </c>
      <c r="AV378" s="11" t="s">
        <v>1178</v>
      </c>
      <c r="AW378" s="12">
        <v>2</v>
      </c>
      <c r="AX378" s="12">
        <v>2</v>
      </c>
      <c r="AY378" s="12">
        <v>2</v>
      </c>
      <c r="AZ378" s="12">
        <v>2</v>
      </c>
      <c r="BA378" s="12">
        <v>1</v>
      </c>
      <c r="BB378" s="12">
        <v>2</v>
      </c>
      <c r="BC378" s="12">
        <v>1</v>
      </c>
      <c r="BD378" s="11" t="s">
        <v>1026</v>
      </c>
      <c r="BE378" s="11" t="s">
        <v>1027</v>
      </c>
    </row>
    <row r="379" spans="1:57" s="8" customFormat="1" ht="43.5" x14ac:dyDescent="0.35">
      <c r="A379" s="7" t="s">
        <v>398</v>
      </c>
      <c r="B379" s="7" t="s">
        <v>399</v>
      </c>
      <c r="C379" s="3" t="s">
        <v>671</v>
      </c>
      <c r="D379" s="3" t="s">
        <v>57</v>
      </c>
      <c r="E379" s="3"/>
      <c r="F379" s="3" t="s">
        <v>53</v>
      </c>
      <c r="G379" s="3" t="s">
        <v>50</v>
      </c>
      <c r="H379" s="4">
        <v>488</v>
      </c>
      <c r="I379" s="4">
        <v>300</v>
      </c>
      <c r="J379" s="3" t="s">
        <v>26</v>
      </c>
      <c r="K379" s="4" t="b">
        <v>0</v>
      </c>
      <c r="L379" s="6">
        <v>0.33333333333333298</v>
      </c>
      <c r="M379" s="6">
        <v>0.33333333333333298</v>
      </c>
      <c r="N379" s="3" t="s">
        <v>58</v>
      </c>
      <c r="O379" s="3" t="s">
        <v>59</v>
      </c>
      <c r="P379" s="3" t="s">
        <v>672</v>
      </c>
      <c r="Q379" s="3" t="s">
        <v>1482</v>
      </c>
      <c r="R379" s="3" t="s">
        <v>1029</v>
      </c>
      <c r="S379" s="3" t="s">
        <v>1006</v>
      </c>
      <c r="T379" s="3" t="s">
        <v>1007</v>
      </c>
      <c r="U379" s="11" t="s">
        <v>2340</v>
      </c>
      <c r="V379" s="11" t="s">
        <v>1031</v>
      </c>
      <c r="W379" s="11" t="s">
        <v>1032</v>
      </c>
      <c r="X379" s="13">
        <v>0.7</v>
      </c>
      <c r="Y379" s="12"/>
      <c r="Z379" s="11"/>
      <c r="AA379" s="11"/>
      <c r="AB379" s="11"/>
      <c r="AC379" s="11">
        <v>0</v>
      </c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 t="s">
        <v>1019</v>
      </c>
      <c r="AO379" s="11" t="s">
        <v>1484</v>
      </c>
      <c r="AP379" s="11" t="s">
        <v>1021</v>
      </c>
      <c r="AQ379" s="11" t="s">
        <v>1485</v>
      </c>
      <c r="AR379" s="11" t="s">
        <v>1050</v>
      </c>
      <c r="AS379" s="11" t="s">
        <v>1486</v>
      </c>
      <c r="AT379" s="11" t="s">
        <v>1050</v>
      </c>
      <c r="AU379" s="11" t="s">
        <v>1485</v>
      </c>
      <c r="AV379" s="11" t="s">
        <v>1486</v>
      </c>
      <c r="AW379" s="12">
        <v>1</v>
      </c>
      <c r="AX379" s="12">
        <v>1</v>
      </c>
      <c r="AY379" s="12">
        <v>1</v>
      </c>
      <c r="AZ379" s="12">
        <v>1</v>
      </c>
      <c r="BA379" s="12">
        <v>1</v>
      </c>
      <c r="BB379" s="12">
        <v>1</v>
      </c>
      <c r="BC379" s="12">
        <v>1</v>
      </c>
      <c r="BD379" s="11" t="s">
        <v>1026</v>
      </c>
      <c r="BE379" s="11" t="s">
        <v>1103</v>
      </c>
    </row>
    <row r="380" spans="1:57" s="8" customFormat="1" ht="43.5" x14ac:dyDescent="0.35">
      <c r="A380" s="7" t="s">
        <v>398</v>
      </c>
      <c r="B380" s="7" t="s">
        <v>399</v>
      </c>
      <c r="C380" s="3" t="s">
        <v>671</v>
      </c>
      <c r="D380" s="3" t="s">
        <v>98</v>
      </c>
      <c r="E380" s="3" t="s">
        <v>98</v>
      </c>
      <c r="F380" s="3" t="s">
        <v>53</v>
      </c>
      <c r="G380" s="3" t="s">
        <v>25</v>
      </c>
      <c r="H380" s="4">
        <v>488</v>
      </c>
      <c r="I380" s="4">
        <v>300</v>
      </c>
      <c r="J380" s="3" t="s">
        <v>26</v>
      </c>
      <c r="K380" s="4" t="b">
        <v>1</v>
      </c>
      <c r="L380" s="6">
        <v>1</v>
      </c>
      <c r="M380" s="6">
        <v>1</v>
      </c>
      <c r="N380" s="3" t="s">
        <v>219</v>
      </c>
      <c r="O380" s="3"/>
      <c r="P380" s="3" t="s">
        <v>672</v>
      </c>
      <c r="Q380" s="3" t="s">
        <v>1482</v>
      </c>
      <c r="R380" s="3" t="s">
        <v>1029</v>
      </c>
      <c r="S380" s="3" t="s">
        <v>1006</v>
      </c>
      <c r="T380" s="3" t="s">
        <v>1007</v>
      </c>
      <c r="U380" s="11" t="s">
        <v>2340</v>
      </c>
      <c r="V380" s="11" t="s">
        <v>1031</v>
      </c>
      <c r="W380" s="11" t="s">
        <v>1032</v>
      </c>
      <c r="X380" s="13">
        <v>0.7</v>
      </c>
      <c r="Y380" s="12"/>
      <c r="Z380" s="11"/>
      <c r="AA380" s="11"/>
      <c r="AB380" s="11"/>
      <c r="AC380" s="11">
        <v>0</v>
      </c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 t="s">
        <v>1019</v>
      </c>
      <c r="AO380" s="11" t="s">
        <v>1484</v>
      </c>
      <c r="AP380" s="11" t="s">
        <v>1021</v>
      </c>
      <c r="AQ380" s="11" t="s">
        <v>1485</v>
      </c>
      <c r="AR380" s="11" t="s">
        <v>1050</v>
      </c>
      <c r="AS380" s="11" t="s">
        <v>1486</v>
      </c>
      <c r="AT380" s="11" t="s">
        <v>1050</v>
      </c>
      <c r="AU380" s="11" t="s">
        <v>1485</v>
      </c>
      <c r="AV380" s="11" t="s">
        <v>1486</v>
      </c>
      <c r="AW380" s="12">
        <v>1</v>
      </c>
      <c r="AX380" s="12">
        <v>1</v>
      </c>
      <c r="AY380" s="12">
        <v>1</v>
      </c>
      <c r="AZ380" s="12">
        <v>1</v>
      </c>
      <c r="BA380" s="12">
        <v>1</v>
      </c>
      <c r="BB380" s="12">
        <v>1</v>
      </c>
      <c r="BC380" s="12">
        <v>1</v>
      </c>
      <c r="BD380" s="11" t="s">
        <v>1026</v>
      </c>
      <c r="BE380" s="11" t="s">
        <v>1103</v>
      </c>
    </row>
    <row r="381" spans="1:57" s="8" customFormat="1" ht="58" x14ac:dyDescent="0.35">
      <c r="A381" s="7" t="s">
        <v>398</v>
      </c>
      <c r="B381" s="7" t="s">
        <v>399</v>
      </c>
      <c r="C381" s="3" t="s">
        <v>673</v>
      </c>
      <c r="D381" s="3" t="s">
        <v>41</v>
      </c>
      <c r="E381" s="3"/>
      <c r="F381" s="3" t="s">
        <v>36</v>
      </c>
      <c r="G381" s="3" t="s">
        <v>50</v>
      </c>
      <c r="H381" s="4">
        <v>311</v>
      </c>
      <c r="I381" s="4">
        <v>150</v>
      </c>
      <c r="J381" s="3" t="s">
        <v>26</v>
      </c>
      <c r="K381" s="4" t="b">
        <v>1</v>
      </c>
      <c r="L381" s="6">
        <v>1</v>
      </c>
      <c r="M381" s="6">
        <v>1</v>
      </c>
      <c r="N381" s="3" t="s">
        <v>42</v>
      </c>
      <c r="O381" s="3"/>
      <c r="P381" s="3" t="s">
        <v>674</v>
      </c>
      <c r="Q381" s="3" t="s">
        <v>2341</v>
      </c>
      <c r="R381" s="3" t="s">
        <v>1039</v>
      </c>
      <c r="S381" s="3" t="s">
        <v>1006</v>
      </c>
      <c r="T381" s="3" t="s">
        <v>1007</v>
      </c>
      <c r="U381" s="11" t="s">
        <v>2342</v>
      </c>
      <c r="V381" s="11" t="s">
        <v>1031</v>
      </c>
      <c r="W381" s="11" t="s">
        <v>1032</v>
      </c>
      <c r="X381" s="13">
        <v>0.7</v>
      </c>
      <c r="Y381" s="12"/>
      <c r="Z381" s="11"/>
      <c r="AA381" s="11"/>
      <c r="AB381" s="11"/>
      <c r="AC381" s="11">
        <v>0</v>
      </c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 t="s">
        <v>1019</v>
      </c>
      <c r="AO381" s="11" t="s">
        <v>1480</v>
      </c>
      <c r="AP381" s="11" t="s">
        <v>1021</v>
      </c>
      <c r="AQ381" s="11" t="s">
        <v>1481</v>
      </c>
      <c r="AR381" s="11" t="s">
        <v>1023</v>
      </c>
      <c r="AS381" s="11"/>
      <c r="AT381" s="11" t="s">
        <v>1034</v>
      </c>
      <c r="AU381" s="11" t="s">
        <v>1481</v>
      </c>
      <c r="AV381" s="11"/>
      <c r="AW381" s="12">
        <v>3</v>
      </c>
      <c r="AX381" s="12">
        <v>3</v>
      </c>
      <c r="AY381" s="12">
        <v>3</v>
      </c>
      <c r="AZ381" s="12">
        <v>3</v>
      </c>
      <c r="BA381" s="12">
        <v>5</v>
      </c>
      <c r="BB381" s="12"/>
      <c r="BC381" s="12"/>
      <c r="BD381" s="11" t="s">
        <v>1093</v>
      </c>
      <c r="BE381" s="11" t="s">
        <v>1037</v>
      </c>
    </row>
    <row r="382" spans="1:57" s="8" customFormat="1" ht="58" x14ac:dyDescent="0.35">
      <c r="A382" s="7" t="s">
        <v>398</v>
      </c>
      <c r="B382" s="7" t="s">
        <v>399</v>
      </c>
      <c r="C382" s="3" t="s">
        <v>675</v>
      </c>
      <c r="D382" s="3" t="s">
        <v>41</v>
      </c>
      <c r="E382" s="3" t="s">
        <v>41</v>
      </c>
      <c r="F382" s="3" t="s">
        <v>36</v>
      </c>
      <c r="G382" s="3" t="s">
        <v>25</v>
      </c>
      <c r="H382" s="4">
        <v>1103</v>
      </c>
      <c r="I382" s="4">
        <v>150</v>
      </c>
      <c r="J382" s="3" t="s">
        <v>26</v>
      </c>
      <c r="K382" s="4" t="b">
        <v>1</v>
      </c>
      <c r="L382" s="6">
        <v>1</v>
      </c>
      <c r="M382" s="6">
        <v>1</v>
      </c>
      <c r="N382" s="3" t="s">
        <v>42</v>
      </c>
      <c r="O382" s="3"/>
      <c r="P382" s="3" t="s">
        <v>676</v>
      </c>
      <c r="Q382" s="3" t="s">
        <v>2343</v>
      </c>
      <c r="R382" s="3" t="s">
        <v>1039</v>
      </c>
      <c r="S382" s="3" t="s">
        <v>1006</v>
      </c>
      <c r="T382" s="3" t="s">
        <v>1007</v>
      </c>
      <c r="U382" s="11" t="s">
        <v>2344</v>
      </c>
      <c r="V382" s="11" t="s">
        <v>1043</v>
      </c>
      <c r="W382" s="11" t="s">
        <v>1044</v>
      </c>
      <c r="X382" s="13">
        <v>1</v>
      </c>
      <c r="Y382" s="12"/>
      <c r="Z382" s="11"/>
      <c r="AA382" s="11"/>
      <c r="AB382" s="11"/>
      <c r="AC382" s="11">
        <v>0</v>
      </c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 t="s">
        <v>1019</v>
      </c>
      <c r="AO382" s="11"/>
      <c r="AP382" s="11" t="s">
        <v>1123</v>
      </c>
      <c r="AQ382" s="11"/>
      <c r="AR382" s="11" t="s">
        <v>1034</v>
      </c>
      <c r="AS382" s="11"/>
      <c r="AT382" s="11" t="s">
        <v>1034</v>
      </c>
      <c r="AU382" s="11"/>
      <c r="AV382" s="11"/>
      <c r="AW382" s="12"/>
      <c r="AX382" s="12"/>
      <c r="AY382" s="12"/>
      <c r="AZ382" s="12"/>
      <c r="BA382" s="12"/>
      <c r="BB382" s="12"/>
      <c r="BC382" s="12"/>
      <c r="BD382" s="11" t="s">
        <v>1115</v>
      </c>
      <c r="BE382" s="11" t="s">
        <v>1124</v>
      </c>
    </row>
    <row r="383" spans="1:57" s="8" customFormat="1" ht="72.5" x14ac:dyDescent="0.35">
      <c r="A383" s="7" t="s">
        <v>398</v>
      </c>
      <c r="B383" s="7" t="s">
        <v>399</v>
      </c>
      <c r="C383" s="3" t="s">
        <v>677</v>
      </c>
      <c r="D383" s="3" t="s">
        <v>41</v>
      </c>
      <c r="E383" s="3" t="s">
        <v>41</v>
      </c>
      <c r="F383" s="3" t="s">
        <v>36</v>
      </c>
      <c r="G383" s="3" t="s">
        <v>25</v>
      </c>
      <c r="H383" s="4">
        <v>1308</v>
      </c>
      <c r="I383" s="4">
        <v>150</v>
      </c>
      <c r="J383" s="3" t="s">
        <v>26</v>
      </c>
      <c r="K383" s="4" t="b">
        <v>1</v>
      </c>
      <c r="L383" s="6">
        <v>1</v>
      </c>
      <c r="M383" s="6">
        <v>1</v>
      </c>
      <c r="N383" s="3" t="s">
        <v>42</v>
      </c>
      <c r="O383" s="3"/>
      <c r="P383" s="3" t="s">
        <v>678</v>
      </c>
      <c r="Q383" s="3" t="s">
        <v>2345</v>
      </c>
      <c r="R383" s="3" t="s">
        <v>1039</v>
      </c>
      <c r="S383" s="3" t="s">
        <v>1473</v>
      </c>
      <c r="T383" s="3" t="s">
        <v>2346</v>
      </c>
      <c r="U383" s="11" t="s">
        <v>2347</v>
      </c>
      <c r="V383" s="11" t="s">
        <v>1009</v>
      </c>
      <c r="W383" s="11" t="s">
        <v>1010</v>
      </c>
      <c r="X383" s="13">
        <v>0.94</v>
      </c>
      <c r="Y383" s="12"/>
      <c r="Z383" s="11" t="s">
        <v>2348</v>
      </c>
      <c r="AA383" s="11"/>
      <c r="AB383" s="11"/>
      <c r="AC383" s="11">
        <v>0</v>
      </c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 t="s">
        <v>1019</v>
      </c>
      <c r="AO383" s="11" t="s">
        <v>1477</v>
      </c>
      <c r="AP383" s="11" t="s">
        <v>1114</v>
      </c>
      <c r="AQ383" s="11"/>
      <c r="AR383" s="11" t="s">
        <v>1034</v>
      </c>
      <c r="AS383" s="11"/>
      <c r="AT383" s="11" t="s">
        <v>1034</v>
      </c>
      <c r="AU383" s="11"/>
      <c r="AV383" s="11"/>
      <c r="AW383" s="12">
        <v>1</v>
      </c>
      <c r="AX383" s="12">
        <v>1</v>
      </c>
      <c r="AY383" s="12">
        <v>1</v>
      </c>
      <c r="AZ383" s="12"/>
      <c r="BA383" s="12"/>
      <c r="BB383" s="12"/>
      <c r="BC383" s="12"/>
      <c r="BD383" s="11" t="s">
        <v>1115</v>
      </c>
      <c r="BE383" s="11" t="s">
        <v>1116</v>
      </c>
    </row>
    <row r="384" spans="1:57" s="8" customFormat="1" ht="43.5" x14ac:dyDescent="0.35">
      <c r="A384" s="7" t="s">
        <v>398</v>
      </c>
      <c r="B384" s="7" t="s">
        <v>399</v>
      </c>
      <c r="C384" s="3" t="s">
        <v>679</v>
      </c>
      <c r="D384" s="3" t="s">
        <v>30</v>
      </c>
      <c r="E384" s="3" t="s">
        <v>30</v>
      </c>
      <c r="F384" s="3" t="s">
        <v>31</v>
      </c>
      <c r="G384" s="3" t="s">
        <v>25</v>
      </c>
      <c r="H384" s="4">
        <v>396</v>
      </c>
      <c r="I384" s="4">
        <v>250</v>
      </c>
      <c r="J384" s="3" t="s">
        <v>26</v>
      </c>
      <c r="K384" s="4" t="b">
        <v>1</v>
      </c>
      <c r="L384" s="6">
        <v>1</v>
      </c>
      <c r="M384" s="6">
        <v>1</v>
      </c>
      <c r="N384" s="3" t="s">
        <v>32</v>
      </c>
      <c r="O384" s="3"/>
      <c r="P384" s="3" t="s">
        <v>391</v>
      </c>
      <c r="Q384" s="3" t="s">
        <v>1907</v>
      </c>
      <c r="R384" s="3" t="s">
        <v>1074</v>
      </c>
      <c r="S384" s="3" t="s">
        <v>1006</v>
      </c>
      <c r="T384" s="3" t="s">
        <v>1007</v>
      </c>
      <c r="U384" s="11" t="s">
        <v>2349</v>
      </c>
      <c r="V384" s="11" t="s">
        <v>1031</v>
      </c>
      <c r="W384" s="11" t="s">
        <v>1032</v>
      </c>
      <c r="X384" s="13">
        <v>0.7</v>
      </c>
      <c r="Y384" s="12"/>
      <c r="Z384" s="11"/>
      <c r="AA384" s="11"/>
      <c r="AB384" s="11"/>
      <c r="AC384" s="11">
        <v>0</v>
      </c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 t="s">
        <v>1019</v>
      </c>
      <c r="AO384" s="11" t="s">
        <v>1909</v>
      </c>
      <c r="AP384" s="11" t="s">
        <v>1021</v>
      </c>
      <c r="AQ384" s="11" t="s">
        <v>1910</v>
      </c>
      <c r="AR384" s="11" t="s">
        <v>1050</v>
      </c>
      <c r="AS384" s="11" t="s">
        <v>1911</v>
      </c>
      <c r="AT384" s="11" t="s">
        <v>1050</v>
      </c>
      <c r="AU384" s="11" t="s">
        <v>1910</v>
      </c>
      <c r="AV384" s="11" t="s">
        <v>1911</v>
      </c>
      <c r="AW384" s="12">
        <v>1</v>
      </c>
      <c r="AX384" s="12">
        <v>1</v>
      </c>
      <c r="AY384" s="12">
        <v>1</v>
      </c>
      <c r="AZ384" s="12">
        <v>1</v>
      </c>
      <c r="BA384" s="12">
        <v>1</v>
      </c>
      <c r="BB384" s="12">
        <v>1</v>
      </c>
      <c r="BC384" s="12">
        <v>1</v>
      </c>
      <c r="BD384" s="11" t="s">
        <v>1026</v>
      </c>
      <c r="BE384" s="11" t="s">
        <v>1103</v>
      </c>
    </row>
    <row r="385" spans="1:57" s="8" customFormat="1" ht="72.5" x14ac:dyDescent="0.35">
      <c r="A385" s="7" t="s">
        <v>398</v>
      </c>
      <c r="B385" s="7" t="s">
        <v>399</v>
      </c>
      <c r="C385" s="3" t="s">
        <v>680</v>
      </c>
      <c r="D385" s="3" t="s">
        <v>231</v>
      </c>
      <c r="E385" s="3" t="s">
        <v>231</v>
      </c>
      <c r="F385" s="3" t="s">
        <v>31</v>
      </c>
      <c r="G385" s="3" t="s">
        <v>25</v>
      </c>
      <c r="H385" s="4">
        <v>800</v>
      </c>
      <c r="I385" s="4">
        <v>400</v>
      </c>
      <c r="J385" s="3" t="s">
        <v>26</v>
      </c>
      <c r="K385" s="4" t="b">
        <v>1</v>
      </c>
      <c r="L385" s="6">
        <v>1</v>
      </c>
      <c r="M385" s="6">
        <v>1</v>
      </c>
      <c r="N385" s="3" t="s">
        <v>232</v>
      </c>
      <c r="O385" s="3"/>
      <c r="P385" s="3" t="s">
        <v>681</v>
      </c>
      <c r="Q385" s="3" t="s">
        <v>2350</v>
      </c>
      <c r="R385" s="3" t="s">
        <v>1029</v>
      </c>
      <c r="S385" s="3" t="s">
        <v>1006</v>
      </c>
      <c r="T385" s="3" t="s">
        <v>1007</v>
      </c>
      <c r="U385" s="11" t="s">
        <v>2351</v>
      </c>
      <c r="V385" s="11" t="s">
        <v>1031</v>
      </c>
      <c r="W385" s="11" t="s">
        <v>1032</v>
      </c>
      <c r="X385" s="13">
        <v>0.7</v>
      </c>
      <c r="Y385" s="12"/>
      <c r="Z385" s="11"/>
      <c r="AA385" s="11"/>
      <c r="AB385" s="11"/>
      <c r="AC385" s="11">
        <v>0</v>
      </c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 t="s">
        <v>1019</v>
      </c>
      <c r="AO385" s="11" t="s">
        <v>1563</v>
      </c>
      <c r="AP385" s="11" t="s">
        <v>1021</v>
      </c>
      <c r="AQ385" s="11" t="s">
        <v>1564</v>
      </c>
      <c r="AR385" s="11" t="s">
        <v>1023</v>
      </c>
      <c r="AS385" s="11" t="s">
        <v>1565</v>
      </c>
      <c r="AT385" s="11" t="s">
        <v>1025</v>
      </c>
      <c r="AU385" s="11" t="s">
        <v>1564</v>
      </c>
      <c r="AV385" s="11" t="s">
        <v>1565</v>
      </c>
      <c r="AW385" s="12">
        <v>2</v>
      </c>
      <c r="AX385" s="12">
        <v>2</v>
      </c>
      <c r="AY385" s="12">
        <v>2</v>
      </c>
      <c r="AZ385" s="12">
        <v>2</v>
      </c>
      <c r="BA385" s="12">
        <v>4</v>
      </c>
      <c r="BB385" s="12">
        <v>2</v>
      </c>
      <c r="BC385" s="12">
        <v>1</v>
      </c>
      <c r="BD385" s="11" t="s">
        <v>1026</v>
      </c>
      <c r="BE385" s="11" t="s">
        <v>1027</v>
      </c>
    </row>
    <row r="386" spans="1:57" s="8" customFormat="1" ht="58" x14ac:dyDescent="0.35">
      <c r="A386" s="7" t="s">
        <v>398</v>
      </c>
      <c r="B386" s="7" t="s">
        <v>399</v>
      </c>
      <c r="C386" s="3" t="s">
        <v>682</v>
      </c>
      <c r="D386" s="3" t="s">
        <v>57</v>
      </c>
      <c r="E386" s="3"/>
      <c r="F386" s="3" t="s">
        <v>53</v>
      </c>
      <c r="G386" s="3" t="s">
        <v>50</v>
      </c>
      <c r="H386" s="4">
        <v>1308</v>
      </c>
      <c r="I386" s="4">
        <v>300</v>
      </c>
      <c r="J386" s="3" t="s">
        <v>26</v>
      </c>
      <c r="K386" s="4" t="b">
        <v>1</v>
      </c>
      <c r="L386" s="6">
        <v>1</v>
      </c>
      <c r="M386" s="6">
        <v>1</v>
      </c>
      <c r="N386" s="3" t="s">
        <v>62</v>
      </c>
      <c r="O386" s="3"/>
      <c r="P386" s="3" t="s">
        <v>683</v>
      </c>
      <c r="Q386" s="3" t="s">
        <v>2352</v>
      </c>
      <c r="R386" s="3" t="s">
        <v>1029</v>
      </c>
      <c r="S386" s="3" t="s">
        <v>1006</v>
      </c>
      <c r="T386" s="3" t="s">
        <v>1007</v>
      </c>
      <c r="U386" s="11" t="s">
        <v>2353</v>
      </c>
      <c r="V386" s="11" t="s">
        <v>1031</v>
      </c>
      <c r="W386" s="11" t="s">
        <v>1032</v>
      </c>
      <c r="X386" s="13">
        <v>0.7</v>
      </c>
      <c r="Y386" s="12"/>
      <c r="Z386" s="11"/>
      <c r="AA386" s="11"/>
      <c r="AB386" s="11"/>
      <c r="AC386" s="11">
        <v>1</v>
      </c>
      <c r="AD386" s="11" t="s">
        <v>1201</v>
      </c>
      <c r="AE386" s="11" t="s">
        <v>2354</v>
      </c>
      <c r="AF386" s="11" t="s">
        <v>1014</v>
      </c>
      <c r="AG386" s="11" t="s">
        <v>1203</v>
      </c>
      <c r="AH386" s="11"/>
      <c r="AI386" s="11" t="s">
        <v>1016</v>
      </c>
      <c r="AJ386" s="11"/>
      <c r="AK386" s="11" t="s">
        <v>1204</v>
      </c>
      <c r="AL386" s="11" t="s">
        <v>1017</v>
      </c>
      <c r="AM386" s="11" t="s">
        <v>1205</v>
      </c>
      <c r="AN386" s="11" t="s">
        <v>1019</v>
      </c>
      <c r="AO386" s="11" t="s">
        <v>1573</v>
      </c>
      <c r="AP386" s="11" t="s">
        <v>1021</v>
      </c>
      <c r="AQ386" s="11" t="s">
        <v>1574</v>
      </c>
      <c r="AR386" s="11" t="s">
        <v>1023</v>
      </c>
      <c r="AS386" s="11" t="s">
        <v>1575</v>
      </c>
      <c r="AT386" s="11" t="s">
        <v>1025</v>
      </c>
      <c r="AU386" s="11" t="s">
        <v>1574</v>
      </c>
      <c r="AV386" s="11" t="s">
        <v>1575</v>
      </c>
      <c r="AW386" s="12">
        <v>2</v>
      </c>
      <c r="AX386" s="12">
        <v>2</v>
      </c>
      <c r="AY386" s="12">
        <v>2</v>
      </c>
      <c r="AZ386" s="12">
        <v>2</v>
      </c>
      <c r="BA386" s="12">
        <v>2</v>
      </c>
      <c r="BB386" s="12">
        <v>2</v>
      </c>
      <c r="BC386" s="12">
        <v>1</v>
      </c>
      <c r="BD386" s="11" t="s">
        <v>1026</v>
      </c>
      <c r="BE386" s="11" t="s">
        <v>1027</v>
      </c>
    </row>
    <row r="387" spans="1:57" s="8" customFormat="1" ht="159.5" x14ac:dyDescent="0.35">
      <c r="A387" s="7" t="s">
        <v>398</v>
      </c>
      <c r="B387" s="7" t="s">
        <v>399</v>
      </c>
      <c r="C387" s="3" t="s">
        <v>684</v>
      </c>
      <c r="D387" s="3" t="s">
        <v>231</v>
      </c>
      <c r="E387" s="3"/>
      <c r="F387" s="3" t="s">
        <v>31</v>
      </c>
      <c r="G387" s="3" t="s">
        <v>50</v>
      </c>
      <c r="H387" s="4">
        <v>1901</v>
      </c>
      <c r="I387" s="4">
        <v>400</v>
      </c>
      <c r="J387" s="3" t="s">
        <v>26</v>
      </c>
      <c r="K387" s="4" t="b">
        <v>1</v>
      </c>
      <c r="L387" s="6">
        <v>1</v>
      </c>
      <c r="M387" s="6">
        <v>1</v>
      </c>
      <c r="N387" s="3" t="s">
        <v>232</v>
      </c>
      <c r="O387" s="3"/>
      <c r="P387" s="3" t="s">
        <v>685</v>
      </c>
      <c r="Q387" s="3" t="s">
        <v>2355</v>
      </c>
      <c r="R387" s="3" t="s">
        <v>1029</v>
      </c>
      <c r="S387" s="3" t="s">
        <v>1006</v>
      </c>
      <c r="T387" s="3" t="s">
        <v>1007</v>
      </c>
      <c r="U387" s="11" t="s">
        <v>2356</v>
      </c>
      <c r="V387" s="11" t="s">
        <v>1031</v>
      </c>
      <c r="W387" s="11" t="s">
        <v>1032</v>
      </c>
      <c r="X387" s="13">
        <v>0.7</v>
      </c>
      <c r="Y387" s="12"/>
      <c r="Z387" s="11"/>
      <c r="AA387" s="11"/>
      <c r="AB387" s="11"/>
      <c r="AC387" s="11">
        <v>0</v>
      </c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 t="s">
        <v>1019</v>
      </c>
      <c r="AO387" s="11" t="s">
        <v>1509</v>
      </c>
      <c r="AP387" s="11" t="s">
        <v>1114</v>
      </c>
      <c r="AQ387" s="11"/>
      <c r="AR387" s="11" t="s">
        <v>1034</v>
      </c>
      <c r="AS387" s="11"/>
      <c r="AT387" s="11" t="s">
        <v>1034</v>
      </c>
      <c r="AU387" s="11"/>
      <c r="AV387" s="11"/>
      <c r="AW387" s="12">
        <v>1</v>
      </c>
      <c r="AX387" s="12">
        <v>1</v>
      </c>
      <c r="AY387" s="12">
        <v>1</v>
      </c>
      <c r="AZ387" s="12"/>
      <c r="BA387" s="12"/>
      <c r="BB387" s="12"/>
      <c r="BC387" s="12"/>
      <c r="BD387" s="11" t="s">
        <v>1115</v>
      </c>
      <c r="BE387" s="11" t="s">
        <v>1116</v>
      </c>
    </row>
    <row r="388" spans="1:57" s="8" customFormat="1" ht="58" x14ac:dyDescent="0.35">
      <c r="A388" s="7" t="s">
        <v>398</v>
      </c>
      <c r="B388" s="7" t="s">
        <v>399</v>
      </c>
      <c r="C388" s="3" t="s">
        <v>686</v>
      </c>
      <c r="D388" s="3" t="s">
        <v>83</v>
      </c>
      <c r="E388" s="3" t="s">
        <v>83</v>
      </c>
      <c r="F388" s="3" t="s">
        <v>84</v>
      </c>
      <c r="G388" s="3" t="s">
        <v>25</v>
      </c>
      <c r="H388" s="4">
        <v>1204</v>
      </c>
      <c r="I388" s="4">
        <v>500</v>
      </c>
      <c r="J388" s="3" t="s">
        <v>26</v>
      </c>
      <c r="K388" s="4" t="b">
        <v>1</v>
      </c>
      <c r="L388" s="6">
        <v>1</v>
      </c>
      <c r="M388" s="6">
        <v>1</v>
      </c>
      <c r="N388" s="3" t="s">
        <v>85</v>
      </c>
      <c r="O388" s="3"/>
      <c r="P388" s="3" t="s">
        <v>687</v>
      </c>
      <c r="Q388" s="3" t="s">
        <v>2357</v>
      </c>
      <c r="R388" s="3" t="s">
        <v>1139</v>
      </c>
      <c r="S388" s="3" t="s">
        <v>2358</v>
      </c>
      <c r="T388" s="3" t="s">
        <v>2359</v>
      </c>
      <c r="U388" s="11" t="s">
        <v>2360</v>
      </c>
      <c r="V388" s="11" t="s">
        <v>2361</v>
      </c>
      <c r="W388" s="11" t="s">
        <v>2362</v>
      </c>
      <c r="X388" s="13">
        <v>0.96</v>
      </c>
      <c r="Y388" s="12" t="s">
        <v>2363</v>
      </c>
      <c r="Z388" s="11"/>
      <c r="AA388" s="11"/>
      <c r="AB388" s="11" t="s">
        <v>2364</v>
      </c>
      <c r="AC388" s="11">
        <v>0</v>
      </c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 t="s">
        <v>1019</v>
      </c>
      <c r="AO388" s="11" t="s">
        <v>1683</v>
      </c>
      <c r="AP388" s="11" t="s">
        <v>1021</v>
      </c>
      <c r="AQ388" s="11" t="s">
        <v>1684</v>
      </c>
      <c r="AR388" s="11" t="s">
        <v>1048</v>
      </c>
      <c r="AS388" s="11" t="s">
        <v>1685</v>
      </c>
      <c r="AT388" s="11" t="s">
        <v>1050</v>
      </c>
      <c r="AU388" s="11" t="s">
        <v>1684</v>
      </c>
      <c r="AV388" s="11" t="s">
        <v>1685</v>
      </c>
      <c r="AW388" s="12">
        <v>1</v>
      </c>
      <c r="AX388" s="12">
        <v>1</v>
      </c>
      <c r="AY388" s="12">
        <v>1</v>
      </c>
      <c r="AZ388" s="12">
        <v>1</v>
      </c>
      <c r="BA388" s="12">
        <v>5</v>
      </c>
      <c r="BB388" s="12">
        <v>1</v>
      </c>
      <c r="BC388" s="12">
        <v>1</v>
      </c>
      <c r="BD388" s="11" t="s">
        <v>1026</v>
      </c>
      <c r="BE388" s="11" t="s">
        <v>1051</v>
      </c>
    </row>
    <row r="389" spans="1:57" s="8" customFormat="1" ht="58" x14ac:dyDescent="0.35">
      <c r="A389" s="7" t="s">
        <v>398</v>
      </c>
      <c r="B389" s="7" t="s">
        <v>399</v>
      </c>
      <c r="C389" s="3" t="s">
        <v>688</v>
      </c>
      <c r="D389" s="3" t="s">
        <v>57</v>
      </c>
      <c r="E389" s="3"/>
      <c r="F389" s="3" t="s">
        <v>53</v>
      </c>
      <c r="G389" s="3" t="s">
        <v>50</v>
      </c>
      <c r="H389" s="4">
        <v>257</v>
      </c>
      <c r="I389" s="4">
        <v>300</v>
      </c>
      <c r="J389" s="3" t="s">
        <v>74</v>
      </c>
      <c r="K389" s="4" t="b">
        <v>0</v>
      </c>
      <c r="L389" s="6">
        <v>0.33333333333333298</v>
      </c>
      <c r="M389" s="6">
        <v>0.33333333333333298</v>
      </c>
      <c r="N389" s="3" t="s">
        <v>58</v>
      </c>
      <c r="O389" s="3" t="s">
        <v>59</v>
      </c>
      <c r="P389" s="3" t="s">
        <v>689</v>
      </c>
      <c r="Q389" s="3" t="s">
        <v>2365</v>
      </c>
      <c r="R389" s="3" t="s">
        <v>1074</v>
      </c>
      <c r="S389" s="3" t="s">
        <v>1006</v>
      </c>
      <c r="T389" s="3" t="s">
        <v>1540</v>
      </c>
      <c r="U389" s="11" t="s">
        <v>2366</v>
      </c>
      <c r="V389" s="11" t="s">
        <v>1031</v>
      </c>
      <c r="W389" s="11" t="s">
        <v>1032</v>
      </c>
      <c r="X389" s="13">
        <v>0.7</v>
      </c>
      <c r="Y389" s="12"/>
      <c r="Z389" s="11"/>
      <c r="AA389" s="11"/>
      <c r="AB389" s="11"/>
      <c r="AC389" s="11">
        <v>0</v>
      </c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 t="s">
        <v>1019</v>
      </c>
      <c r="AO389" s="11" t="s">
        <v>1421</v>
      </c>
      <c r="AP389" s="11" t="s">
        <v>1021</v>
      </c>
      <c r="AQ389" s="11"/>
      <c r="AR389" s="11" t="s">
        <v>1034</v>
      </c>
      <c r="AS389" s="11" t="s">
        <v>1422</v>
      </c>
      <c r="AT389" s="11" t="s">
        <v>1050</v>
      </c>
      <c r="AU389" s="11"/>
      <c r="AV389" s="11" t="s">
        <v>1422</v>
      </c>
      <c r="AW389" s="12">
        <v>1</v>
      </c>
      <c r="AX389" s="12">
        <v>1</v>
      </c>
      <c r="AY389" s="12">
        <v>1</v>
      </c>
      <c r="AZ389" s="12"/>
      <c r="BA389" s="12"/>
      <c r="BB389" s="12">
        <v>1</v>
      </c>
      <c r="BC389" s="12">
        <v>1</v>
      </c>
      <c r="BD389" s="11" t="s">
        <v>1036</v>
      </c>
      <c r="BE389" s="11" t="s">
        <v>1037</v>
      </c>
    </row>
    <row r="390" spans="1:57" s="8" customFormat="1" ht="58" x14ac:dyDescent="0.35">
      <c r="A390" s="7" t="s">
        <v>398</v>
      </c>
      <c r="B390" s="7" t="s">
        <v>399</v>
      </c>
      <c r="C390" s="3" t="s">
        <v>690</v>
      </c>
      <c r="D390" s="3" t="s">
        <v>57</v>
      </c>
      <c r="E390" s="3"/>
      <c r="F390" s="3" t="s">
        <v>53</v>
      </c>
      <c r="G390" s="3" t="s">
        <v>50</v>
      </c>
      <c r="H390" s="4">
        <v>545</v>
      </c>
      <c r="I390" s="4">
        <v>300</v>
      </c>
      <c r="J390" s="3" t="s">
        <v>26</v>
      </c>
      <c r="K390" s="4" t="b">
        <v>0</v>
      </c>
      <c r="L390" s="6">
        <v>0.33333333333333298</v>
      </c>
      <c r="M390" s="6">
        <v>0.33333333333333298</v>
      </c>
      <c r="N390" s="3" t="s">
        <v>58</v>
      </c>
      <c r="O390" s="3" t="s">
        <v>59</v>
      </c>
      <c r="P390" s="3" t="s">
        <v>691</v>
      </c>
      <c r="Q390" s="3" t="s">
        <v>2367</v>
      </c>
      <c r="R390" s="3" t="s">
        <v>1235</v>
      </c>
      <c r="S390" s="3" t="s">
        <v>1006</v>
      </c>
      <c r="T390" s="3" t="s">
        <v>1007</v>
      </c>
      <c r="U390" s="11" t="s">
        <v>2368</v>
      </c>
      <c r="V390" s="11" t="s">
        <v>1031</v>
      </c>
      <c r="W390" s="11" t="s">
        <v>1032</v>
      </c>
      <c r="X390" s="13">
        <v>0.7</v>
      </c>
      <c r="Y390" s="12"/>
      <c r="Z390" s="11"/>
      <c r="AA390" s="11"/>
      <c r="AB390" s="11"/>
      <c r="AC390" s="11">
        <v>0</v>
      </c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 t="s">
        <v>1019</v>
      </c>
      <c r="AO390" s="11" t="s">
        <v>1413</v>
      </c>
      <c r="AP390" s="11" t="s">
        <v>1021</v>
      </c>
      <c r="AQ390" s="11" t="s">
        <v>1414</v>
      </c>
      <c r="AR390" s="11" t="s">
        <v>1048</v>
      </c>
      <c r="AS390" s="11" t="s">
        <v>1415</v>
      </c>
      <c r="AT390" s="11" t="s">
        <v>1048</v>
      </c>
      <c r="AU390" s="11" t="s">
        <v>1414</v>
      </c>
      <c r="AV390" s="11" t="s">
        <v>1415</v>
      </c>
      <c r="AW390" s="12">
        <v>1</v>
      </c>
      <c r="AX390" s="12">
        <v>1</v>
      </c>
      <c r="AY390" s="12">
        <v>1</v>
      </c>
      <c r="AZ390" s="12">
        <v>1</v>
      </c>
      <c r="BA390" s="12">
        <v>3</v>
      </c>
      <c r="BB390" s="12">
        <v>1</v>
      </c>
      <c r="BC390" s="12">
        <v>3</v>
      </c>
      <c r="BD390" s="11" t="s">
        <v>1026</v>
      </c>
      <c r="BE390" s="11" t="s">
        <v>1027</v>
      </c>
    </row>
    <row r="391" spans="1:57" s="8" customFormat="1" ht="58" x14ac:dyDescent="0.35">
      <c r="A391" s="7" t="s">
        <v>398</v>
      </c>
      <c r="B391" s="7" t="s">
        <v>399</v>
      </c>
      <c r="C391" s="3" t="s">
        <v>692</v>
      </c>
      <c r="D391" s="3" t="s">
        <v>57</v>
      </c>
      <c r="E391" s="3"/>
      <c r="F391" s="3" t="s">
        <v>53</v>
      </c>
      <c r="G391" s="3" t="s">
        <v>50</v>
      </c>
      <c r="H391" s="4">
        <v>324</v>
      </c>
      <c r="I391" s="4">
        <v>300</v>
      </c>
      <c r="J391" s="3" t="s">
        <v>26</v>
      </c>
      <c r="K391" s="4" t="b">
        <v>0</v>
      </c>
      <c r="L391" s="6">
        <v>0.33333333333333298</v>
      </c>
      <c r="M391" s="6">
        <v>0.33333333333333298</v>
      </c>
      <c r="N391" s="3" t="s">
        <v>58</v>
      </c>
      <c r="O391" s="3" t="s">
        <v>59</v>
      </c>
      <c r="P391" s="3" t="s">
        <v>693</v>
      </c>
      <c r="Q391" s="3" t="s">
        <v>2369</v>
      </c>
      <c r="R391" s="3" t="s">
        <v>1074</v>
      </c>
      <c r="S391" s="3" t="s">
        <v>1006</v>
      </c>
      <c r="T391" s="3" t="s">
        <v>1007</v>
      </c>
      <c r="U391" s="11" t="s">
        <v>2370</v>
      </c>
      <c r="V391" s="11" t="s">
        <v>1031</v>
      </c>
      <c r="W391" s="11" t="s">
        <v>1032</v>
      </c>
      <c r="X391" s="13">
        <v>0.7</v>
      </c>
      <c r="Y391" s="12"/>
      <c r="Z391" s="11"/>
      <c r="AA391" s="11"/>
      <c r="AB391" s="11"/>
      <c r="AC391" s="11">
        <v>0</v>
      </c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 t="s">
        <v>1019</v>
      </c>
      <c r="AO391" s="11" t="s">
        <v>1430</v>
      </c>
      <c r="AP391" s="11" t="s">
        <v>1021</v>
      </c>
      <c r="AQ391" s="11" t="s">
        <v>2371</v>
      </c>
      <c r="AR391" s="11" t="s">
        <v>1048</v>
      </c>
      <c r="AS391" s="11" t="s">
        <v>1432</v>
      </c>
      <c r="AT391" s="11" t="s">
        <v>1025</v>
      </c>
      <c r="AU391" s="11" t="s">
        <v>1433</v>
      </c>
      <c r="AV391" s="11" t="s">
        <v>1432</v>
      </c>
      <c r="AW391" s="12">
        <v>1</v>
      </c>
      <c r="AX391" s="12">
        <v>2</v>
      </c>
      <c r="AY391" s="12">
        <v>2</v>
      </c>
      <c r="AZ391" s="12">
        <v>1</v>
      </c>
      <c r="BA391" s="12">
        <v>2</v>
      </c>
      <c r="BB391" s="12">
        <v>2</v>
      </c>
      <c r="BC391" s="12">
        <v>1</v>
      </c>
      <c r="BD391" s="11" t="s">
        <v>1026</v>
      </c>
      <c r="BE391" s="11" t="s">
        <v>1027</v>
      </c>
    </row>
    <row r="392" spans="1:57" s="8" customFormat="1" ht="319" x14ac:dyDescent="0.35">
      <c r="A392" s="7" t="s">
        <v>694</v>
      </c>
      <c r="B392" s="7" t="s">
        <v>695</v>
      </c>
      <c r="C392" s="3" t="s">
        <v>696</v>
      </c>
      <c r="D392" s="3" t="s">
        <v>221</v>
      </c>
      <c r="E392" s="3" t="s">
        <v>221</v>
      </c>
      <c r="F392" s="3" t="s">
        <v>31</v>
      </c>
      <c r="G392" s="3" t="s">
        <v>25</v>
      </c>
      <c r="H392" s="4">
        <v>2483</v>
      </c>
      <c r="I392" s="4">
        <v>500</v>
      </c>
      <c r="J392" s="3" t="s">
        <v>26</v>
      </c>
      <c r="K392" s="4" t="b">
        <v>1</v>
      </c>
      <c r="L392" s="6">
        <v>1</v>
      </c>
      <c r="M392" s="6">
        <v>1</v>
      </c>
      <c r="N392" s="3" t="s">
        <v>222</v>
      </c>
      <c r="O392" s="3"/>
      <c r="P392" s="3" t="s">
        <v>697</v>
      </c>
      <c r="Q392" s="3" t="s">
        <v>2372</v>
      </c>
      <c r="R392" s="3" t="s">
        <v>1029</v>
      </c>
      <c r="S392" s="3" t="s">
        <v>1006</v>
      </c>
      <c r="T392" s="3" t="s">
        <v>1007</v>
      </c>
      <c r="U392" s="11" t="s">
        <v>2373</v>
      </c>
      <c r="V392" s="11" t="s">
        <v>1009</v>
      </c>
      <c r="W392" s="11" t="s">
        <v>1010</v>
      </c>
      <c r="X392" s="13">
        <v>0.85</v>
      </c>
      <c r="Y392" s="12"/>
      <c r="Z392" s="11" t="s">
        <v>2374</v>
      </c>
      <c r="AA392" s="11"/>
      <c r="AB392" s="11"/>
      <c r="AC392" s="11">
        <v>0</v>
      </c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 t="s">
        <v>1019</v>
      </c>
      <c r="AO392" s="11" t="s">
        <v>1490</v>
      </c>
      <c r="AP392" s="11" t="s">
        <v>1021</v>
      </c>
      <c r="AQ392" s="11" t="s">
        <v>1491</v>
      </c>
      <c r="AR392" s="11" t="s">
        <v>1023</v>
      </c>
      <c r="AS392" s="11" t="s">
        <v>1492</v>
      </c>
      <c r="AT392" s="11" t="s">
        <v>1025</v>
      </c>
      <c r="AU392" s="11" t="s">
        <v>1491</v>
      </c>
      <c r="AV392" s="11" t="s">
        <v>1492</v>
      </c>
      <c r="AW392" s="12">
        <v>2</v>
      </c>
      <c r="AX392" s="12">
        <v>2</v>
      </c>
      <c r="AY392" s="12">
        <v>2</v>
      </c>
      <c r="AZ392" s="12">
        <v>2</v>
      </c>
      <c r="BA392" s="12">
        <v>3</v>
      </c>
      <c r="BB392" s="12">
        <v>2</v>
      </c>
      <c r="BC392" s="12">
        <v>1</v>
      </c>
      <c r="BD392" s="11" t="s">
        <v>1026</v>
      </c>
      <c r="BE392" s="11" t="s">
        <v>1027</v>
      </c>
    </row>
    <row r="393" spans="1:57" s="8" customFormat="1" ht="58" x14ac:dyDescent="0.35">
      <c r="A393" s="7" t="s">
        <v>694</v>
      </c>
      <c r="B393" s="7" t="s">
        <v>695</v>
      </c>
      <c r="C393" s="3" t="s">
        <v>698</v>
      </c>
      <c r="D393" s="3" t="s">
        <v>57</v>
      </c>
      <c r="E393" s="3"/>
      <c r="F393" s="3" t="s">
        <v>53</v>
      </c>
      <c r="G393" s="3" t="s">
        <v>50</v>
      </c>
      <c r="H393" s="4">
        <v>425</v>
      </c>
      <c r="I393" s="4">
        <v>300</v>
      </c>
      <c r="J393" s="3" t="s">
        <v>26</v>
      </c>
      <c r="K393" s="4" t="b">
        <v>0</v>
      </c>
      <c r="L393" s="6">
        <v>0.33333333333333298</v>
      </c>
      <c r="M393" s="6">
        <v>0.33333333333333298</v>
      </c>
      <c r="N393" s="3" t="s">
        <v>58</v>
      </c>
      <c r="O393" s="3" t="s">
        <v>59</v>
      </c>
      <c r="P393" s="3" t="s">
        <v>101</v>
      </c>
      <c r="Q393" s="3" t="s">
        <v>1174</v>
      </c>
      <c r="R393" s="3" t="s">
        <v>1074</v>
      </c>
      <c r="S393" s="3" t="s">
        <v>1006</v>
      </c>
      <c r="T393" s="3" t="s">
        <v>1007</v>
      </c>
      <c r="U393" s="11" t="s">
        <v>2375</v>
      </c>
      <c r="V393" s="11" t="s">
        <v>1064</v>
      </c>
      <c r="W393" s="11" t="s">
        <v>1065</v>
      </c>
      <c r="X393" s="13">
        <v>1</v>
      </c>
      <c r="Y393" s="12"/>
      <c r="Z393" s="11"/>
      <c r="AA393" s="11"/>
      <c r="AB393" s="11"/>
      <c r="AC393" s="11">
        <v>0</v>
      </c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 t="s">
        <v>1019</v>
      </c>
      <c r="AO393" s="11" t="s">
        <v>1176</v>
      </c>
      <c r="AP393" s="11" t="s">
        <v>1021</v>
      </c>
      <c r="AQ393" s="11" t="s">
        <v>1177</v>
      </c>
      <c r="AR393" s="11" t="s">
        <v>1025</v>
      </c>
      <c r="AS393" s="11" t="s">
        <v>1178</v>
      </c>
      <c r="AT393" s="11" t="s">
        <v>1025</v>
      </c>
      <c r="AU393" s="11" t="s">
        <v>1177</v>
      </c>
      <c r="AV393" s="11" t="s">
        <v>1178</v>
      </c>
      <c r="AW393" s="12">
        <v>2</v>
      </c>
      <c r="AX393" s="12">
        <v>2</v>
      </c>
      <c r="AY393" s="12">
        <v>2</v>
      </c>
      <c r="AZ393" s="12">
        <v>2</v>
      </c>
      <c r="BA393" s="12">
        <v>1</v>
      </c>
      <c r="BB393" s="12">
        <v>2</v>
      </c>
      <c r="BC393" s="12">
        <v>1</v>
      </c>
      <c r="BD393" s="11" t="s">
        <v>1026</v>
      </c>
      <c r="BE393" s="11" t="s">
        <v>1027</v>
      </c>
    </row>
    <row r="394" spans="1:57" s="8" customFormat="1" ht="72.5" x14ac:dyDescent="0.35">
      <c r="A394" s="7" t="s">
        <v>694</v>
      </c>
      <c r="B394" s="7" t="s">
        <v>695</v>
      </c>
      <c r="C394" s="3" t="s">
        <v>699</v>
      </c>
      <c r="D394" s="3" t="s">
        <v>52</v>
      </c>
      <c r="E394" s="3"/>
      <c r="F394" s="3" t="s">
        <v>53</v>
      </c>
      <c r="G394" s="3" t="s">
        <v>50</v>
      </c>
      <c r="H394" s="4">
        <v>565</v>
      </c>
      <c r="I394" s="4">
        <v>500</v>
      </c>
      <c r="J394" s="3" t="s">
        <v>26</v>
      </c>
      <c r="K394" s="4" t="b">
        <v>0</v>
      </c>
      <c r="L394" s="6">
        <v>0.33333333333333298</v>
      </c>
      <c r="M394" s="6">
        <v>0.33333333333333298</v>
      </c>
      <c r="N394" s="3" t="s">
        <v>54</v>
      </c>
      <c r="O394" s="3" t="s">
        <v>55</v>
      </c>
      <c r="P394" s="3" t="s">
        <v>109</v>
      </c>
      <c r="Q394" s="3" t="s">
        <v>1195</v>
      </c>
      <c r="R394" s="3" t="s">
        <v>1139</v>
      </c>
      <c r="S394" s="3" t="s">
        <v>1006</v>
      </c>
      <c r="T394" s="3" t="s">
        <v>1007</v>
      </c>
      <c r="U394" s="11" t="s">
        <v>2376</v>
      </c>
      <c r="V394" s="11" t="s">
        <v>1031</v>
      </c>
      <c r="W394" s="11" t="s">
        <v>1032</v>
      </c>
      <c r="X394" s="13">
        <v>0.7</v>
      </c>
      <c r="Y394" s="12"/>
      <c r="Z394" s="11"/>
      <c r="AA394" s="11"/>
      <c r="AB394" s="11"/>
      <c r="AC394" s="11">
        <v>5</v>
      </c>
      <c r="AD394" s="11" t="s">
        <v>1076</v>
      </c>
      <c r="AE394" s="11" t="s">
        <v>2377</v>
      </c>
      <c r="AF394" s="11" t="s">
        <v>1014</v>
      </c>
      <c r="AG394" s="11" t="s">
        <v>1015</v>
      </c>
      <c r="AH394" s="11" t="s">
        <v>1199</v>
      </c>
      <c r="AI394" s="11" t="s">
        <v>1016</v>
      </c>
      <c r="AJ394" s="11"/>
      <c r="AK394" s="11" t="s">
        <v>1079</v>
      </c>
      <c r="AL394" s="11" t="s">
        <v>1017</v>
      </c>
      <c r="AM394" s="11" t="s">
        <v>1080</v>
      </c>
      <c r="AN394" s="11" t="s">
        <v>1019</v>
      </c>
      <c r="AO394" s="11" t="s">
        <v>1200</v>
      </c>
      <c r="AP394" s="11" t="s">
        <v>1114</v>
      </c>
      <c r="AQ394" s="11"/>
      <c r="AR394" s="11" t="s">
        <v>1034</v>
      </c>
      <c r="AS394" s="11"/>
      <c r="AT394" s="11" t="s">
        <v>1034</v>
      </c>
      <c r="AU394" s="11"/>
      <c r="AV394" s="11"/>
      <c r="AW394" s="12">
        <v>1</v>
      </c>
      <c r="AX394" s="12">
        <v>1</v>
      </c>
      <c r="AY394" s="12">
        <v>2</v>
      </c>
      <c r="AZ394" s="12"/>
      <c r="BA394" s="12"/>
      <c r="BB394" s="12"/>
      <c r="BC394" s="12"/>
      <c r="BD394" s="11" t="s">
        <v>1115</v>
      </c>
      <c r="BE394" s="11" t="s">
        <v>1116</v>
      </c>
    </row>
    <row r="395" spans="1:57" s="8" customFormat="1" ht="72.5" x14ac:dyDescent="0.35">
      <c r="A395" s="7" t="s">
        <v>694</v>
      </c>
      <c r="B395" s="7" t="s">
        <v>695</v>
      </c>
      <c r="C395" s="3" t="s">
        <v>699</v>
      </c>
      <c r="D395" s="3" t="s">
        <v>57</v>
      </c>
      <c r="E395" s="3" t="s">
        <v>57</v>
      </c>
      <c r="F395" s="3" t="s">
        <v>53</v>
      </c>
      <c r="G395" s="3" t="s">
        <v>25</v>
      </c>
      <c r="H395" s="4">
        <v>565</v>
      </c>
      <c r="I395" s="4">
        <v>300</v>
      </c>
      <c r="J395" s="3" t="s">
        <v>26</v>
      </c>
      <c r="K395" s="4" t="b">
        <v>1</v>
      </c>
      <c r="L395" s="6">
        <v>1</v>
      </c>
      <c r="M395" s="6">
        <v>1</v>
      </c>
      <c r="N395" s="3" t="s">
        <v>62</v>
      </c>
      <c r="O395" s="3"/>
      <c r="P395" s="3" t="s">
        <v>109</v>
      </c>
      <c r="Q395" s="3" t="s">
        <v>1195</v>
      </c>
      <c r="R395" s="3" t="s">
        <v>1139</v>
      </c>
      <c r="S395" s="3" t="s">
        <v>1006</v>
      </c>
      <c r="T395" s="3" t="s">
        <v>1007</v>
      </c>
      <c r="U395" s="11" t="s">
        <v>2376</v>
      </c>
      <c r="V395" s="11" t="s">
        <v>1031</v>
      </c>
      <c r="W395" s="11" t="s">
        <v>1032</v>
      </c>
      <c r="X395" s="13">
        <v>0.7</v>
      </c>
      <c r="Y395" s="12"/>
      <c r="Z395" s="11"/>
      <c r="AA395" s="11"/>
      <c r="AB395" s="11"/>
      <c r="AC395" s="11">
        <v>1</v>
      </c>
      <c r="AD395" s="11" t="s">
        <v>1201</v>
      </c>
      <c r="AE395" s="11" t="s">
        <v>1202</v>
      </c>
      <c r="AF395" s="11" t="s">
        <v>1014</v>
      </c>
      <c r="AG395" s="11" t="s">
        <v>1203</v>
      </c>
      <c r="AH395" s="11"/>
      <c r="AI395" s="11" t="s">
        <v>1016</v>
      </c>
      <c r="AJ395" s="11"/>
      <c r="AK395" s="11" t="s">
        <v>1204</v>
      </c>
      <c r="AL395" s="11" t="s">
        <v>1017</v>
      </c>
      <c r="AM395" s="11" t="s">
        <v>1205</v>
      </c>
      <c r="AN395" s="11" t="s">
        <v>1019</v>
      </c>
      <c r="AO395" s="11" t="s">
        <v>1200</v>
      </c>
      <c r="AP395" s="11" t="s">
        <v>1114</v>
      </c>
      <c r="AQ395" s="11"/>
      <c r="AR395" s="11" t="s">
        <v>1034</v>
      </c>
      <c r="AS395" s="11"/>
      <c r="AT395" s="11" t="s">
        <v>1034</v>
      </c>
      <c r="AU395" s="11"/>
      <c r="AV395" s="11"/>
      <c r="AW395" s="12">
        <v>1</v>
      </c>
      <c r="AX395" s="12">
        <v>1</v>
      </c>
      <c r="AY395" s="12">
        <v>2</v>
      </c>
      <c r="AZ395" s="12"/>
      <c r="BA395" s="12"/>
      <c r="BB395" s="12"/>
      <c r="BC395" s="12"/>
      <c r="BD395" s="11" t="s">
        <v>1115</v>
      </c>
      <c r="BE395" s="11" t="s">
        <v>1116</v>
      </c>
    </row>
    <row r="396" spans="1:57" s="8" customFormat="1" ht="72.5" x14ac:dyDescent="0.35">
      <c r="A396" s="7" t="s">
        <v>694</v>
      </c>
      <c r="B396" s="7" t="s">
        <v>695</v>
      </c>
      <c r="C396" s="3" t="s">
        <v>699</v>
      </c>
      <c r="D396" s="3" t="s">
        <v>98</v>
      </c>
      <c r="E396" s="3"/>
      <c r="F396" s="3" t="s">
        <v>53</v>
      </c>
      <c r="G396" s="3" t="s">
        <v>50</v>
      </c>
      <c r="H396" s="4">
        <v>565</v>
      </c>
      <c r="I396" s="4">
        <v>300</v>
      </c>
      <c r="J396" s="3" t="s">
        <v>26</v>
      </c>
      <c r="K396" s="4" t="b">
        <v>0</v>
      </c>
      <c r="L396" s="6">
        <v>0.5</v>
      </c>
      <c r="M396" s="6">
        <v>0.5</v>
      </c>
      <c r="N396" s="3" t="s">
        <v>58</v>
      </c>
      <c r="O396" s="3" t="s">
        <v>99</v>
      </c>
      <c r="P396" s="3" t="s">
        <v>109</v>
      </c>
      <c r="Q396" s="3" t="s">
        <v>1195</v>
      </c>
      <c r="R396" s="3" t="s">
        <v>1139</v>
      </c>
      <c r="S396" s="3" t="s">
        <v>1006</v>
      </c>
      <c r="T396" s="3" t="s">
        <v>1007</v>
      </c>
      <c r="U396" s="11" t="s">
        <v>2376</v>
      </c>
      <c r="V396" s="11" t="s">
        <v>1031</v>
      </c>
      <c r="W396" s="11" t="s">
        <v>1032</v>
      </c>
      <c r="X396" s="13">
        <v>0.7</v>
      </c>
      <c r="Y396" s="12"/>
      <c r="Z396" s="11"/>
      <c r="AA396" s="11"/>
      <c r="AB396" s="11"/>
      <c r="AC396" s="11">
        <v>0</v>
      </c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 t="s">
        <v>1019</v>
      </c>
      <c r="AO396" s="11" t="s">
        <v>1200</v>
      </c>
      <c r="AP396" s="11" t="s">
        <v>1114</v>
      </c>
      <c r="AQ396" s="11"/>
      <c r="AR396" s="11" t="s">
        <v>1034</v>
      </c>
      <c r="AS396" s="11"/>
      <c r="AT396" s="11" t="s">
        <v>1034</v>
      </c>
      <c r="AU396" s="11"/>
      <c r="AV396" s="11"/>
      <c r="AW396" s="12">
        <v>1</v>
      </c>
      <c r="AX396" s="12">
        <v>1</v>
      </c>
      <c r="AY396" s="12">
        <v>2</v>
      </c>
      <c r="AZ396" s="12"/>
      <c r="BA396" s="12"/>
      <c r="BB396" s="12"/>
      <c r="BC396" s="12"/>
      <c r="BD396" s="11" t="s">
        <v>1115</v>
      </c>
      <c r="BE396" s="11" t="s">
        <v>1116</v>
      </c>
    </row>
    <row r="397" spans="1:57" s="8" customFormat="1" ht="58" x14ac:dyDescent="0.35">
      <c r="A397" s="7" t="s">
        <v>694</v>
      </c>
      <c r="B397" s="7" t="s">
        <v>695</v>
      </c>
      <c r="C397" s="3" t="s">
        <v>700</v>
      </c>
      <c r="D397" s="3" t="s">
        <v>57</v>
      </c>
      <c r="E397" s="3"/>
      <c r="F397" s="3" t="s">
        <v>53</v>
      </c>
      <c r="G397" s="3" t="s">
        <v>50</v>
      </c>
      <c r="H397" s="4">
        <v>463</v>
      </c>
      <c r="I397" s="4">
        <v>300</v>
      </c>
      <c r="J397" s="3" t="s">
        <v>26</v>
      </c>
      <c r="K397" s="4" t="b">
        <v>0</v>
      </c>
      <c r="L397" s="6">
        <v>0.33333333333333298</v>
      </c>
      <c r="M397" s="6">
        <v>0.33333333333333298</v>
      </c>
      <c r="N397" s="3" t="s">
        <v>58</v>
      </c>
      <c r="O397" s="3" t="s">
        <v>59</v>
      </c>
      <c r="P397" s="3" t="s">
        <v>701</v>
      </c>
      <c r="Q397" s="3" t="s">
        <v>1104</v>
      </c>
      <c r="R397" s="3" t="s">
        <v>1074</v>
      </c>
      <c r="S397" s="3" t="s">
        <v>1006</v>
      </c>
      <c r="T397" s="3" t="s">
        <v>1007</v>
      </c>
      <c r="U397" s="11" t="s">
        <v>2378</v>
      </c>
      <c r="V397" s="11" t="s">
        <v>1064</v>
      </c>
      <c r="W397" s="11" t="s">
        <v>1065</v>
      </c>
      <c r="X397" s="13">
        <v>1</v>
      </c>
      <c r="Y397" s="12"/>
      <c r="Z397" s="11"/>
      <c r="AA397" s="11"/>
      <c r="AB397" s="11"/>
      <c r="AC397" s="11">
        <v>0</v>
      </c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 t="s">
        <v>1019</v>
      </c>
      <c r="AO397" s="11" t="s">
        <v>1106</v>
      </c>
      <c r="AP397" s="11" t="s">
        <v>1021</v>
      </c>
      <c r="AQ397" s="11" t="s">
        <v>1107</v>
      </c>
      <c r="AR397" s="11" t="s">
        <v>1023</v>
      </c>
      <c r="AS397" s="11" t="s">
        <v>1108</v>
      </c>
      <c r="AT397" s="11" t="s">
        <v>1025</v>
      </c>
      <c r="AU397" s="11" t="s">
        <v>1107</v>
      </c>
      <c r="AV397" s="11" t="s">
        <v>1108</v>
      </c>
      <c r="AW397" s="12">
        <v>2</v>
      </c>
      <c r="AX397" s="12">
        <v>1</v>
      </c>
      <c r="AY397" s="12">
        <v>2</v>
      </c>
      <c r="AZ397" s="12">
        <v>2</v>
      </c>
      <c r="BA397" s="12">
        <v>2</v>
      </c>
      <c r="BB397" s="12">
        <v>2</v>
      </c>
      <c r="BC397" s="12">
        <v>1</v>
      </c>
      <c r="BD397" s="11" t="s">
        <v>1026</v>
      </c>
      <c r="BE397" s="11" t="s">
        <v>1027</v>
      </c>
    </row>
    <row r="398" spans="1:57" s="8" customFormat="1" ht="58" x14ac:dyDescent="0.35">
      <c r="A398" s="7" t="s">
        <v>694</v>
      </c>
      <c r="B398" s="7" t="s">
        <v>695</v>
      </c>
      <c r="C398" s="3" t="s">
        <v>702</v>
      </c>
      <c r="D398" s="3" t="s">
        <v>221</v>
      </c>
      <c r="E398" s="3"/>
      <c r="F398" s="3" t="s">
        <v>31</v>
      </c>
      <c r="G398" s="3" t="s">
        <v>50</v>
      </c>
      <c r="H398" s="4">
        <v>988</v>
      </c>
      <c r="I398" s="4">
        <v>500</v>
      </c>
      <c r="J398" s="3" t="s">
        <v>26</v>
      </c>
      <c r="K398" s="4" t="b">
        <v>0</v>
      </c>
      <c r="L398" s="6">
        <v>0.5</v>
      </c>
      <c r="M398" s="6">
        <v>0.33333333333333298</v>
      </c>
      <c r="N398" s="3" t="s">
        <v>243</v>
      </c>
      <c r="O398" s="3" t="s">
        <v>244</v>
      </c>
      <c r="P398" s="3" t="s">
        <v>703</v>
      </c>
      <c r="Q398" s="3" t="s">
        <v>2379</v>
      </c>
      <c r="R398" s="3" t="s">
        <v>1539</v>
      </c>
      <c r="S398" s="3" t="s">
        <v>1006</v>
      </c>
      <c r="T398" s="3" t="s">
        <v>1007</v>
      </c>
      <c r="U398" s="11" t="s">
        <v>2380</v>
      </c>
      <c r="V398" s="11" t="s">
        <v>1031</v>
      </c>
      <c r="W398" s="11" t="s">
        <v>1032</v>
      </c>
      <c r="X398" s="13">
        <v>0.7</v>
      </c>
      <c r="Y398" s="12"/>
      <c r="Z398" s="11"/>
      <c r="AA398" s="11"/>
      <c r="AB398" s="11"/>
      <c r="AC398" s="11">
        <v>0</v>
      </c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 t="s">
        <v>1019</v>
      </c>
      <c r="AO398" s="11" t="s">
        <v>1542</v>
      </c>
      <c r="AP398" s="11" t="s">
        <v>1021</v>
      </c>
      <c r="AQ398" s="11" t="s">
        <v>1543</v>
      </c>
      <c r="AR398" s="11" t="s">
        <v>1050</v>
      </c>
      <c r="AS398" s="11" t="s">
        <v>1544</v>
      </c>
      <c r="AT398" s="11" t="s">
        <v>1050</v>
      </c>
      <c r="AU398" s="11" t="s">
        <v>1543</v>
      </c>
      <c r="AV398" s="11" t="s">
        <v>1544</v>
      </c>
      <c r="AW398" s="12">
        <v>1</v>
      </c>
      <c r="AX398" s="12">
        <v>1</v>
      </c>
      <c r="AY398" s="12">
        <v>1</v>
      </c>
      <c r="AZ398" s="12">
        <v>1</v>
      </c>
      <c r="BA398" s="12">
        <v>1</v>
      </c>
      <c r="BB398" s="12">
        <v>1</v>
      </c>
      <c r="BC398" s="12">
        <v>1</v>
      </c>
      <c r="BD398" s="11" t="s">
        <v>1026</v>
      </c>
      <c r="BE398" s="11" t="s">
        <v>1103</v>
      </c>
    </row>
    <row r="399" spans="1:57" s="8" customFormat="1" ht="58" x14ac:dyDescent="0.35">
      <c r="A399" s="7" t="s">
        <v>694</v>
      </c>
      <c r="B399" s="7" t="s">
        <v>695</v>
      </c>
      <c r="C399" s="3" t="s">
        <v>704</v>
      </c>
      <c r="D399" s="3" t="s">
        <v>52</v>
      </c>
      <c r="E399" s="3"/>
      <c r="F399" s="3" t="s">
        <v>53</v>
      </c>
      <c r="G399" s="3" t="s">
        <v>50</v>
      </c>
      <c r="H399" s="4">
        <v>618</v>
      </c>
      <c r="I399" s="4">
        <v>500</v>
      </c>
      <c r="J399" s="3" t="s">
        <v>26</v>
      </c>
      <c r="K399" s="4" t="b">
        <v>0</v>
      </c>
      <c r="L399" s="6">
        <v>0.33333333333333298</v>
      </c>
      <c r="M399" s="6">
        <v>0.33333333333333298</v>
      </c>
      <c r="N399" s="3" t="s">
        <v>54</v>
      </c>
      <c r="O399" s="3" t="s">
        <v>55</v>
      </c>
      <c r="P399" s="3" t="s">
        <v>56</v>
      </c>
      <c r="Q399" s="3" t="s">
        <v>1073</v>
      </c>
      <c r="R399" s="3" t="s">
        <v>1074</v>
      </c>
      <c r="S399" s="3" t="s">
        <v>1006</v>
      </c>
      <c r="T399" s="3" t="s">
        <v>1007</v>
      </c>
      <c r="U399" s="11" t="s">
        <v>2381</v>
      </c>
      <c r="V399" s="11" t="s">
        <v>1031</v>
      </c>
      <c r="W399" s="11" t="s">
        <v>1032</v>
      </c>
      <c r="X399" s="13">
        <v>0.7</v>
      </c>
      <c r="Y399" s="12"/>
      <c r="Z399" s="11"/>
      <c r="AA399" s="11"/>
      <c r="AB399" s="11"/>
      <c r="AC399" s="11">
        <v>4</v>
      </c>
      <c r="AD399" s="11" t="s">
        <v>1076</v>
      </c>
      <c r="AE399" s="11" t="s">
        <v>1077</v>
      </c>
      <c r="AF399" s="11" t="s">
        <v>1014</v>
      </c>
      <c r="AG399" s="11" t="s">
        <v>1015</v>
      </c>
      <c r="AH399" s="11" t="s">
        <v>1078</v>
      </c>
      <c r="AI399" s="11" t="s">
        <v>1016</v>
      </c>
      <c r="AJ399" s="11"/>
      <c r="AK399" s="11" t="s">
        <v>1079</v>
      </c>
      <c r="AL399" s="11" t="s">
        <v>1017</v>
      </c>
      <c r="AM399" s="11" t="s">
        <v>1080</v>
      </c>
      <c r="AN399" s="11" t="s">
        <v>1019</v>
      </c>
      <c r="AO399" s="11" t="s">
        <v>1081</v>
      </c>
      <c r="AP399" s="11" t="s">
        <v>1021</v>
      </c>
      <c r="AQ399" s="11" t="s">
        <v>1082</v>
      </c>
      <c r="AR399" s="11" t="s">
        <v>1050</v>
      </c>
      <c r="AS399" s="11" t="s">
        <v>1083</v>
      </c>
      <c r="AT399" s="11" t="s">
        <v>1048</v>
      </c>
      <c r="AU399" s="11" t="s">
        <v>1082</v>
      </c>
      <c r="AV399" s="11" t="s">
        <v>1083</v>
      </c>
      <c r="AW399" s="12">
        <v>1</v>
      </c>
      <c r="AX399" s="12">
        <v>1</v>
      </c>
      <c r="AY399" s="12">
        <v>1</v>
      </c>
      <c r="AZ399" s="12">
        <v>1</v>
      </c>
      <c r="BA399" s="12">
        <v>1</v>
      </c>
      <c r="BB399" s="12">
        <v>1</v>
      </c>
      <c r="BC399" s="12">
        <v>2</v>
      </c>
      <c r="BD399" s="11" t="s">
        <v>1026</v>
      </c>
      <c r="BE399" s="11" t="s">
        <v>1051</v>
      </c>
    </row>
    <row r="400" spans="1:57" s="8" customFormat="1" ht="58" x14ac:dyDescent="0.35">
      <c r="A400" s="7" t="s">
        <v>694</v>
      </c>
      <c r="B400" s="7" t="s">
        <v>695</v>
      </c>
      <c r="C400" s="3" t="s">
        <v>704</v>
      </c>
      <c r="D400" s="3" t="s">
        <v>57</v>
      </c>
      <c r="E400" s="3"/>
      <c r="F400" s="3" t="s">
        <v>53</v>
      </c>
      <c r="G400" s="3" t="s">
        <v>50</v>
      </c>
      <c r="H400" s="4">
        <v>618</v>
      </c>
      <c r="I400" s="4">
        <v>300</v>
      </c>
      <c r="J400" s="3" t="s">
        <v>26</v>
      </c>
      <c r="K400" s="4" t="b">
        <v>0</v>
      </c>
      <c r="L400" s="6">
        <v>0.33333333333333298</v>
      </c>
      <c r="M400" s="6">
        <v>0.33333333333333298</v>
      </c>
      <c r="N400" s="3" t="s">
        <v>58</v>
      </c>
      <c r="O400" s="3" t="s">
        <v>59</v>
      </c>
      <c r="P400" s="3" t="s">
        <v>56</v>
      </c>
      <c r="Q400" s="3" t="s">
        <v>1073</v>
      </c>
      <c r="R400" s="3" t="s">
        <v>1074</v>
      </c>
      <c r="S400" s="3" t="s">
        <v>1006</v>
      </c>
      <c r="T400" s="3" t="s">
        <v>1007</v>
      </c>
      <c r="U400" s="11" t="s">
        <v>2381</v>
      </c>
      <c r="V400" s="11" t="s">
        <v>1031</v>
      </c>
      <c r="W400" s="11" t="s">
        <v>1032</v>
      </c>
      <c r="X400" s="13">
        <v>0.7</v>
      </c>
      <c r="Y400" s="12"/>
      <c r="Z400" s="11"/>
      <c r="AA400" s="11"/>
      <c r="AB400" s="11"/>
      <c r="AC400" s="11">
        <v>0</v>
      </c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 t="s">
        <v>1019</v>
      </c>
      <c r="AO400" s="11" t="s">
        <v>1081</v>
      </c>
      <c r="AP400" s="11" t="s">
        <v>1021</v>
      </c>
      <c r="AQ400" s="11" t="s">
        <v>1082</v>
      </c>
      <c r="AR400" s="11" t="s">
        <v>1050</v>
      </c>
      <c r="AS400" s="11" t="s">
        <v>1083</v>
      </c>
      <c r="AT400" s="11" t="s">
        <v>1048</v>
      </c>
      <c r="AU400" s="11" t="s">
        <v>1082</v>
      </c>
      <c r="AV400" s="11" t="s">
        <v>1083</v>
      </c>
      <c r="AW400" s="12">
        <v>1</v>
      </c>
      <c r="AX400" s="12">
        <v>1</v>
      </c>
      <c r="AY400" s="12">
        <v>1</v>
      </c>
      <c r="AZ400" s="12">
        <v>1</v>
      </c>
      <c r="BA400" s="12">
        <v>1</v>
      </c>
      <c r="BB400" s="12">
        <v>1</v>
      </c>
      <c r="BC400" s="12">
        <v>2</v>
      </c>
      <c r="BD400" s="11" t="s">
        <v>1026</v>
      </c>
      <c r="BE400" s="11" t="s">
        <v>1051</v>
      </c>
    </row>
    <row r="401" spans="1:57" s="8" customFormat="1" ht="116" x14ac:dyDescent="0.35">
      <c r="A401" s="7" t="s">
        <v>694</v>
      </c>
      <c r="B401" s="7" t="s">
        <v>695</v>
      </c>
      <c r="C401" s="3" t="s">
        <v>705</v>
      </c>
      <c r="D401" s="3" t="s">
        <v>52</v>
      </c>
      <c r="E401" s="3"/>
      <c r="F401" s="3" t="s">
        <v>53</v>
      </c>
      <c r="G401" s="3" t="s">
        <v>50</v>
      </c>
      <c r="H401" s="4">
        <v>833</v>
      </c>
      <c r="I401" s="4">
        <v>500</v>
      </c>
      <c r="J401" s="3" t="s">
        <v>26</v>
      </c>
      <c r="K401" s="4" t="b">
        <v>0</v>
      </c>
      <c r="L401" s="6">
        <v>0.33333333333333298</v>
      </c>
      <c r="M401" s="6">
        <v>0.33333333333333298</v>
      </c>
      <c r="N401" s="3" t="s">
        <v>54</v>
      </c>
      <c r="O401" s="3" t="s">
        <v>55</v>
      </c>
      <c r="P401" s="3" t="s">
        <v>706</v>
      </c>
      <c r="Q401" s="3" t="s">
        <v>2382</v>
      </c>
      <c r="R401" s="3" t="s">
        <v>1029</v>
      </c>
      <c r="S401" s="3" t="s">
        <v>1006</v>
      </c>
      <c r="T401" s="3" t="s">
        <v>1007</v>
      </c>
      <c r="U401" s="11" t="s">
        <v>2383</v>
      </c>
      <c r="V401" s="11" t="s">
        <v>1497</v>
      </c>
      <c r="W401" s="11" t="s">
        <v>1498</v>
      </c>
      <c r="X401" s="13">
        <v>0.55000000000000004</v>
      </c>
      <c r="Y401" s="12"/>
      <c r="Z401" s="11" t="s">
        <v>2384</v>
      </c>
      <c r="AA401" s="11"/>
      <c r="AB401" s="11"/>
      <c r="AC401" s="11">
        <v>8</v>
      </c>
      <c r="AD401" s="11" t="s">
        <v>1076</v>
      </c>
      <c r="AE401" s="11" t="s">
        <v>2385</v>
      </c>
      <c r="AF401" s="11" t="s">
        <v>1014</v>
      </c>
      <c r="AG401" s="11" t="s">
        <v>1015</v>
      </c>
      <c r="AH401" s="11" t="s">
        <v>1078</v>
      </c>
      <c r="AI401" s="11" t="s">
        <v>1016</v>
      </c>
      <c r="AJ401" s="11"/>
      <c r="AK401" s="11" t="s">
        <v>1079</v>
      </c>
      <c r="AL401" s="11" t="s">
        <v>1017</v>
      </c>
      <c r="AM401" s="11" t="s">
        <v>1080</v>
      </c>
      <c r="AN401" s="11" t="s">
        <v>1019</v>
      </c>
      <c r="AO401" s="11" t="s">
        <v>1100</v>
      </c>
      <c r="AP401" s="11" t="s">
        <v>1021</v>
      </c>
      <c r="AQ401" s="11" t="s">
        <v>1101</v>
      </c>
      <c r="AR401" s="11" t="s">
        <v>1050</v>
      </c>
      <c r="AS401" s="11" t="s">
        <v>1102</v>
      </c>
      <c r="AT401" s="11" t="s">
        <v>1050</v>
      </c>
      <c r="AU401" s="11" t="s">
        <v>1101</v>
      </c>
      <c r="AV401" s="11" t="s">
        <v>1102</v>
      </c>
      <c r="AW401" s="12">
        <v>1</v>
      </c>
      <c r="AX401" s="12">
        <v>0</v>
      </c>
      <c r="AY401" s="12">
        <v>1</v>
      </c>
      <c r="AZ401" s="12">
        <v>1</v>
      </c>
      <c r="BA401" s="12">
        <v>1</v>
      </c>
      <c r="BB401" s="12">
        <v>1</v>
      </c>
      <c r="BC401" s="12">
        <v>1</v>
      </c>
      <c r="BD401" s="11" t="s">
        <v>1026</v>
      </c>
      <c r="BE401" s="11" t="s">
        <v>1103</v>
      </c>
    </row>
    <row r="402" spans="1:57" s="8" customFormat="1" ht="43.5" x14ac:dyDescent="0.35">
      <c r="A402" s="7" t="s">
        <v>694</v>
      </c>
      <c r="B402" s="7" t="s">
        <v>695</v>
      </c>
      <c r="C402" s="3" t="s">
        <v>705</v>
      </c>
      <c r="D402" s="3" t="s">
        <v>57</v>
      </c>
      <c r="E402" s="3"/>
      <c r="F402" s="3" t="s">
        <v>53</v>
      </c>
      <c r="G402" s="3" t="s">
        <v>50</v>
      </c>
      <c r="H402" s="4">
        <v>833</v>
      </c>
      <c r="I402" s="4">
        <v>300</v>
      </c>
      <c r="J402" s="3" t="s">
        <v>26</v>
      </c>
      <c r="K402" s="4" t="b">
        <v>0</v>
      </c>
      <c r="L402" s="6">
        <v>0.33333333333333298</v>
      </c>
      <c r="M402" s="6">
        <v>0.33333333333333298</v>
      </c>
      <c r="N402" s="3" t="s">
        <v>58</v>
      </c>
      <c r="O402" s="3" t="s">
        <v>59</v>
      </c>
      <c r="P402" s="3" t="s">
        <v>706</v>
      </c>
      <c r="Q402" s="3" t="s">
        <v>2382</v>
      </c>
      <c r="R402" s="3" t="s">
        <v>1029</v>
      </c>
      <c r="S402" s="3" t="s">
        <v>1006</v>
      </c>
      <c r="T402" s="3" t="s">
        <v>1007</v>
      </c>
      <c r="U402" s="11" t="s">
        <v>2383</v>
      </c>
      <c r="V402" s="11" t="s">
        <v>1497</v>
      </c>
      <c r="W402" s="11" t="s">
        <v>1498</v>
      </c>
      <c r="X402" s="13">
        <v>0.55000000000000004</v>
      </c>
      <c r="Y402" s="12"/>
      <c r="Z402" s="11" t="s">
        <v>2384</v>
      </c>
      <c r="AA402" s="11"/>
      <c r="AB402" s="11"/>
      <c r="AC402" s="11">
        <v>0</v>
      </c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 t="s">
        <v>1019</v>
      </c>
      <c r="AO402" s="11" t="s">
        <v>1100</v>
      </c>
      <c r="AP402" s="11" t="s">
        <v>1021</v>
      </c>
      <c r="AQ402" s="11" t="s">
        <v>1101</v>
      </c>
      <c r="AR402" s="11" t="s">
        <v>1050</v>
      </c>
      <c r="AS402" s="11" t="s">
        <v>1102</v>
      </c>
      <c r="AT402" s="11" t="s">
        <v>1050</v>
      </c>
      <c r="AU402" s="11" t="s">
        <v>1101</v>
      </c>
      <c r="AV402" s="11" t="s">
        <v>1102</v>
      </c>
      <c r="AW402" s="12">
        <v>1</v>
      </c>
      <c r="AX402" s="12">
        <v>0</v>
      </c>
      <c r="AY402" s="12">
        <v>1</v>
      </c>
      <c r="AZ402" s="12">
        <v>1</v>
      </c>
      <c r="BA402" s="12">
        <v>1</v>
      </c>
      <c r="BB402" s="12">
        <v>1</v>
      </c>
      <c r="BC402" s="12">
        <v>1</v>
      </c>
      <c r="BD402" s="11" t="s">
        <v>1026</v>
      </c>
      <c r="BE402" s="11" t="s">
        <v>1103</v>
      </c>
    </row>
    <row r="403" spans="1:57" s="8" customFormat="1" ht="58" x14ac:dyDescent="0.35">
      <c r="A403" s="7" t="s">
        <v>694</v>
      </c>
      <c r="B403" s="7" t="s">
        <v>695</v>
      </c>
      <c r="C403" s="3" t="s">
        <v>707</v>
      </c>
      <c r="D403" s="3" t="s">
        <v>57</v>
      </c>
      <c r="E403" s="3"/>
      <c r="F403" s="3" t="s">
        <v>53</v>
      </c>
      <c r="G403" s="3" t="s">
        <v>50</v>
      </c>
      <c r="H403" s="4">
        <v>522</v>
      </c>
      <c r="I403" s="4">
        <v>300</v>
      </c>
      <c r="J403" s="3" t="s">
        <v>26</v>
      </c>
      <c r="K403" s="4" t="b">
        <v>0</v>
      </c>
      <c r="L403" s="6">
        <v>0.33333333333333298</v>
      </c>
      <c r="M403" s="6">
        <v>0.33333333333333298</v>
      </c>
      <c r="N403" s="3" t="s">
        <v>58</v>
      </c>
      <c r="O403" s="3" t="s">
        <v>59</v>
      </c>
      <c r="P403" s="3" t="s">
        <v>140</v>
      </c>
      <c r="Q403" s="3" t="s">
        <v>2386</v>
      </c>
      <c r="R403" s="3" t="s">
        <v>1029</v>
      </c>
      <c r="S403" s="3" t="s">
        <v>1006</v>
      </c>
      <c r="T403" s="3" t="s">
        <v>1007</v>
      </c>
      <c r="U403" s="11" t="s">
        <v>2387</v>
      </c>
      <c r="V403" s="11" t="s">
        <v>1031</v>
      </c>
      <c r="W403" s="11" t="s">
        <v>1032</v>
      </c>
      <c r="X403" s="13">
        <v>0.7</v>
      </c>
      <c r="Y403" s="12"/>
      <c r="Z403" s="11"/>
      <c r="AA403" s="11"/>
      <c r="AB403" s="11"/>
      <c r="AC403" s="11">
        <v>0</v>
      </c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 t="s">
        <v>1019</v>
      </c>
      <c r="AO403" s="11" t="s">
        <v>1268</v>
      </c>
      <c r="AP403" s="11" t="s">
        <v>1021</v>
      </c>
      <c r="AQ403" s="11" t="s">
        <v>1269</v>
      </c>
      <c r="AR403" s="11" t="s">
        <v>1048</v>
      </c>
      <c r="AS403" s="11" t="s">
        <v>1270</v>
      </c>
      <c r="AT403" s="11" t="s">
        <v>1050</v>
      </c>
      <c r="AU403" s="11" t="s">
        <v>1269</v>
      </c>
      <c r="AV403" s="11" t="s">
        <v>1270</v>
      </c>
      <c r="AW403" s="12">
        <v>1</v>
      </c>
      <c r="AX403" s="12">
        <v>1</v>
      </c>
      <c r="AY403" s="12">
        <v>1</v>
      </c>
      <c r="AZ403" s="12">
        <v>1</v>
      </c>
      <c r="BA403" s="12">
        <v>4</v>
      </c>
      <c r="BB403" s="12">
        <v>1</v>
      </c>
      <c r="BC403" s="12">
        <v>1</v>
      </c>
      <c r="BD403" s="11" t="s">
        <v>1026</v>
      </c>
      <c r="BE403" s="11" t="s">
        <v>1051</v>
      </c>
    </row>
    <row r="404" spans="1:57" s="8" customFormat="1" ht="58" x14ac:dyDescent="0.35">
      <c r="A404" s="7" t="s">
        <v>694</v>
      </c>
      <c r="B404" s="7" t="s">
        <v>695</v>
      </c>
      <c r="C404" s="3" t="s">
        <v>708</v>
      </c>
      <c r="D404" s="3" t="s">
        <v>57</v>
      </c>
      <c r="E404" s="3"/>
      <c r="F404" s="3" t="s">
        <v>53</v>
      </c>
      <c r="G404" s="3" t="s">
        <v>50</v>
      </c>
      <c r="H404" s="4">
        <v>1100</v>
      </c>
      <c r="I404" s="4">
        <v>300</v>
      </c>
      <c r="J404" s="3" t="s">
        <v>26</v>
      </c>
      <c r="K404" s="4" t="b">
        <v>0</v>
      </c>
      <c r="L404" s="6">
        <v>0.33333333333333298</v>
      </c>
      <c r="M404" s="6">
        <v>0.33333333333333298</v>
      </c>
      <c r="N404" s="3" t="s">
        <v>58</v>
      </c>
      <c r="O404" s="3" t="s">
        <v>59</v>
      </c>
      <c r="P404" s="3" t="s">
        <v>709</v>
      </c>
      <c r="Q404" s="3" t="s">
        <v>2388</v>
      </c>
      <c r="R404" s="3" t="s">
        <v>1139</v>
      </c>
      <c r="S404" s="3" t="s">
        <v>2389</v>
      </c>
      <c r="T404" s="3" t="s">
        <v>1007</v>
      </c>
      <c r="U404" s="11" t="s">
        <v>2390</v>
      </c>
      <c r="V404" s="11" t="s">
        <v>1096</v>
      </c>
      <c r="W404" s="11" t="s">
        <v>1097</v>
      </c>
      <c r="X404" s="13">
        <v>0.86</v>
      </c>
      <c r="Y404" s="12"/>
      <c r="Z404" s="11" t="s">
        <v>2391</v>
      </c>
      <c r="AA404" s="11"/>
      <c r="AB404" s="11"/>
      <c r="AC404" s="11">
        <v>0</v>
      </c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 t="s">
        <v>1019</v>
      </c>
      <c r="AO404" s="11" t="s">
        <v>1882</v>
      </c>
      <c r="AP404" s="11" t="s">
        <v>1021</v>
      </c>
      <c r="AQ404" s="11" t="s">
        <v>1883</v>
      </c>
      <c r="AR404" s="11" t="s">
        <v>1048</v>
      </c>
      <c r="AS404" s="11"/>
      <c r="AT404" s="11" t="s">
        <v>1034</v>
      </c>
      <c r="AU404" s="11" t="s">
        <v>1883</v>
      </c>
      <c r="AV404" s="11"/>
      <c r="AW404" s="12">
        <v>1</v>
      </c>
      <c r="AX404" s="12">
        <v>1</v>
      </c>
      <c r="AY404" s="12">
        <v>1</v>
      </c>
      <c r="AZ404" s="12">
        <v>1</v>
      </c>
      <c r="BA404" s="12">
        <v>2</v>
      </c>
      <c r="BB404" s="12"/>
      <c r="BC404" s="12"/>
      <c r="BD404" s="11" t="s">
        <v>1093</v>
      </c>
      <c r="BE404" s="11" t="s">
        <v>1037</v>
      </c>
    </row>
    <row r="405" spans="1:57" s="8" customFormat="1" ht="72.5" x14ac:dyDescent="0.35">
      <c r="A405" s="7" t="s">
        <v>694</v>
      </c>
      <c r="B405" s="7" t="s">
        <v>695</v>
      </c>
      <c r="C405" s="3" t="s">
        <v>710</v>
      </c>
      <c r="D405" s="3" t="s">
        <v>98</v>
      </c>
      <c r="E405" s="3"/>
      <c r="F405" s="3" t="s">
        <v>53</v>
      </c>
      <c r="G405" s="3" t="s">
        <v>50</v>
      </c>
      <c r="H405" s="4">
        <v>393</v>
      </c>
      <c r="I405" s="4">
        <v>300</v>
      </c>
      <c r="J405" s="3" t="s">
        <v>26</v>
      </c>
      <c r="K405" s="4" t="b">
        <v>0</v>
      </c>
      <c r="L405" s="6">
        <v>0.5</v>
      </c>
      <c r="M405" s="6">
        <v>0.66666666666666596</v>
      </c>
      <c r="N405" s="3" t="s">
        <v>303</v>
      </c>
      <c r="O405" s="3" t="s">
        <v>304</v>
      </c>
      <c r="P405" s="3" t="s">
        <v>711</v>
      </c>
      <c r="Q405" s="3" t="s">
        <v>2392</v>
      </c>
      <c r="R405" s="3" t="s">
        <v>1029</v>
      </c>
      <c r="S405" s="3" t="s">
        <v>1006</v>
      </c>
      <c r="T405" s="3" t="s">
        <v>1007</v>
      </c>
      <c r="U405" s="11" t="s">
        <v>2393</v>
      </c>
      <c r="V405" s="11" t="s">
        <v>1009</v>
      </c>
      <c r="W405" s="11" t="s">
        <v>1010</v>
      </c>
      <c r="X405" s="13">
        <v>0.76</v>
      </c>
      <c r="Y405" s="12"/>
      <c r="Z405" s="11" t="s">
        <v>2394</v>
      </c>
      <c r="AA405" s="11"/>
      <c r="AB405" s="11"/>
      <c r="AC405" s="11">
        <v>0</v>
      </c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 t="s">
        <v>1019</v>
      </c>
      <c r="AO405" s="11" t="s">
        <v>1706</v>
      </c>
      <c r="AP405" s="11" t="s">
        <v>1021</v>
      </c>
      <c r="AQ405" s="11" t="s">
        <v>1707</v>
      </c>
      <c r="AR405" s="11" t="s">
        <v>1048</v>
      </c>
      <c r="AS405" s="11" t="s">
        <v>1708</v>
      </c>
      <c r="AT405" s="11" t="s">
        <v>1050</v>
      </c>
      <c r="AU405" s="11" t="s">
        <v>1707</v>
      </c>
      <c r="AV405" s="11" t="s">
        <v>1708</v>
      </c>
      <c r="AW405" s="12">
        <v>1</v>
      </c>
      <c r="AX405" s="12">
        <v>1</v>
      </c>
      <c r="AY405" s="12">
        <v>1</v>
      </c>
      <c r="AZ405" s="12">
        <v>1</v>
      </c>
      <c r="BA405" s="12">
        <v>5</v>
      </c>
      <c r="BB405" s="12">
        <v>1</v>
      </c>
      <c r="BC405" s="12">
        <v>1</v>
      </c>
      <c r="BD405" s="11" t="s">
        <v>1026</v>
      </c>
      <c r="BE405" s="11" t="s">
        <v>1051</v>
      </c>
    </row>
    <row r="406" spans="1:57" s="8" customFormat="1" ht="72.5" x14ac:dyDescent="0.35">
      <c r="A406" s="7" t="s">
        <v>694</v>
      </c>
      <c r="B406" s="7" t="s">
        <v>695</v>
      </c>
      <c r="C406" s="3" t="s">
        <v>712</v>
      </c>
      <c r="D406" s="3" t="s">
        <v>231</v>
      </c>
      <c r="E406" s="3" t="s">
        <v>231</v>
      </c>
      <c r="F406" s="3" t="s">
        <v>31</v>
      </c>
      <c r="G406" s="3" t="s">
        <v>25</v>
      </c>
      <c r="H406" s="4">
        <v>906</v>
      </c>
      <c r="I406" s="4">
        <v>400</v>
      </c>
      <c r="J406" s="3" t="s">
        <v>26</v>
      </c>
      <c r="K406" s="4" t="b">
        <v>1</v>
      </c>
      <c r="L406" s="6">
        <v>1</v>
      </c>
      <c r="M406" s="6">
        <v>1</v>
      </c>
      <c r="N406" s="3" t="s">
        <v>232</v>
      </c>
      <c r="O406" s="3"/>
      <c r="P406" s="3" t="s">
        <v>713</v>
      </c>
      <c r="Q406" s="3" t="s">
        <v>2395</v>
      </c>
      <c r="R406" s="3" t="s">
        <v>1029</v>
      </c>
      <c r="S406" s="3" t="s">
        <v>1006</v>
      </c>
      <c r="T406" s="3" t="s">
        <v>1007</v>
      </c>
      <c r="U406" s="11" t="s">
        <v>2396</v>
      </c>
      <c r="V406" s="11" t="s">
        <v>1096</v>
      </c>
      <c r="W406" s="11" t="s">
        <v>1097</v>
      </c>
      <c r="X406" s="13">
        <v>0.88</v>
      </c>
      <c r="Y406" s="12"/>
      <c r="Z406" s="11" t="s">
        <v>2397</v>
      </c>
      <c r="AA406" s="11"/>
      <c r="AB406" s="11"/>
      <c r="AC406" s="11">
        <v>0</v>
      </c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 t="s">
        <v>1019</v>
      </c>
      <c r="AO406" s="11" t="s">
        <v>1563</v>
      </c>
      <c r="AP406" s="11" t="s">
        <v>1021</v>
      </c>
      <c r="AQ406" s="11" t="s">
        <v>1564</v>
      </c>
      <c r="AR406" s="11" t="s">
        <v>1023</v>
      </c>
      <c r="AS406" s="11" t="s">
        <v>1565</v>
      </c>
      <c r="AT406" s="11" t="s">
        <v>1025</v>
      </c>
      <c r="AU406" s="11" t="s">
        <v>1564</v>
      </c>
      <c r="AV406" s="11" t="s">
        <v>1565</v>
      </c>
      <c r="AW406" s="12">
        <v>2</v>
      </c>
      <c r="AX406" s="12">
        <v>2</v>
      </c>
      <c r="AY406" s="12">
        <v>2</v>
      </c>
      <c r="AZ406" s="12">
        <v>2</v>
      </c>
      <c r="BA406" s="12">
        <v>4</v>
      </c>
      <c r="BB406" s="12">
        <v>2</v>
      </c>
      <c r="BC406" s="12">
        <v>1</v>
      </c>
      <c r="BD406" s="11" t="s">
        <v>1026</v>
      </c>
      <c r="BE406" s="11" t="s">
        <v>1027</v>
      </c>
    </row>
    <row r="407" spans="1:57" s="8" customFormat="1" ht="72.5" x14ac:dyDescent="0.35">
      <c r="A407" s="7" t="s">
        <v>694</v>
      </c>
      <c r="B407" s="7" t="s">
        <v>695</v>
      </c>
      <c r="C407" s="3" t="s">
        <v>714</v>
      </c>
      <c r="D407" s="3" t="s">
        <v>45</v>
      </c>
      <c r="E407" s="3" t="s">
        <v>45</v>
      </c>
      <c r="F407" s="3" t="s">
        <v>46</v>
      </c>
      <c r="G407" s="3" t="s">
        <v>25</v>
      </c>
      <c r="H407" s="4">
        <v>358</v>
      </c>
      <c r="I407" s="4">
        <v>200</v>
      </c>
      <c r="J407" s="3" t="s">
        <v>26</v>
      </c>
      <c r="K407" s="4" t="b">
        <v>1</v>
      </c>
      <c r="L407" s="6">
        <v>1</v>
      </c>
      <c r="M407" s="6">
        <v>1</v>
      </c>
      <c r="N407" s="3" t="s">
        <v>47</v>
      </c>
      <c r="O407" s="3"/>
      <c r="P407" s="3" t="s">
        <v>715</v>
      </c>
      <c r="Q407" s="3" t="s">
        <v>2398</v>
      </c>
      <c r="R407" s="3" t="s">
        <v>1029</v>
      </c>
      <c r="S407" s="3" t="s">
        <v>1006</v>
      </c>
      <c r="T407" s="3" t="s">
        <v>1007</v>
      </c>
      <c r="U407" s="11" t="s">
        <v>2399</v>
      </c>
      <c r="V407" s="11" t="s">
        <v>1031</v>
      </c>
      <c r="W407" s="11" t="s">
        <v>1032</v>
      </c>
      <c r="X407" s="13">
        <v>0.7</v>
      </c>
      <c r="Y407" s="12"/>
      <c r="Z407" s="11"/>
      <c r="AA407" s="11"/>
      <c r="AB407" s="11"/>
      <c r="AC407" s="11">
        <v>0</v>
      </c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 t="s">
        <v>1019</v>
      </c>
      <c r="AO407" s="11" t="s">
        <v>1889</v>
      </c>
      <c r="AP407" s="11" t="s">
        <v>1114</v>
      </c>
      <c r="AQ407" s="11"/>
      <c r="AR407" s="11" t="s">
        <v>1034</v>
      </c>
      <c r="AS407" s="11"/>
      <c r="AT407" s="11" t="s">
        <v>1034</v>
      </c>
      <c r="AU407" s="11"/>
      <c r="AV407" s="11"/>
      <c r="AW407" s="12">
        <v>1</v>
      </c>
      <c r="AX407" s="12">
        <v>1</v>
      </c>
      <c r="AY407" s="12">
        <v>1</v>
      </c>
      <c r="AZ407" s="12"/>
      <c r="BA407" s="12"/>
      <c r="BB407" s="12"/>
      <c r="BC407" s="12"/>
      <c r="BD407" s="11" t="s">
        <v>1115</v>
      </c>
      <c r="BE407" s="11" t="s">
        <v>1116</v>
      </c>
    </row>
    <row r="408" spans="1:57" s="8" customFormat="1" ht="58" x14ac:dyDescent="0.35">
      <c r="A408" s="7" t="s">
        <v>694</v>
      </c>
      <c r="B408" s="7" t="s">
        <v>695</v>
      </c>
      <c r="C408" s="3" t="s">
        <v>716</v>
      </c>
      <c r="D408" s="3" t="s">
        <v>57</v>
      </c>
      <c r="E408" s="3"/>
      <c r="F408" s="3" t="s">
        <v>53</v>
      </c>
      <c r="G408" s="3" t="s">
        <v>50</v>
      </c>
      <c r="H408" s="4">
        <v>545</v>
      </c>
      <c r="I408" s="4">
        <v>300</v>
      </c>
      <c r="J408" s="3" t="s">
        <v>26</v>
      </c>
      <c r="K408" s="4" t="b">
        <v>0</v>
      </c>
      <c r="L408" s="6">
        <v>0.33333333333333298</v>
      </c>
      <c r="M408" s="6">
        <v>0.33333333333333298</v>
      </c>
      <c r="N408" s="3" t="s">
        <v>58</v>
      </c>
      <c r="O408" s="3" t="s">
        <v>59</v>
      </c>
      <c r="P408" s="3" t="s">
        <v>717</v>
      </c>
      <c r="Q408" s="3" t="s">
        <v>2400</v>
      </c>
      <c r="R408" s="3" t="s">
        <v>1074</v>
      </c>
      <c r="S408" s="3" t="s">
        <v>1006</v>
      </c>
      <c r="T408" s="3" t="s">
        <v>1007</v>
      </c>
      <c r="U408" s="11" t="s">
        <v>2401</v>
      </c>
      <c r="V408" s="11" t="s">
        <v>1031</v>
      </c>
      <c r="W408" s="11" t="s">
        <v>1032</v>
      </c>
      <c r="X408" s="13">
        <v>0.7</v>
      </c>
      <c r="Y408" s="12"/>
      <c r="Z408" s="11"/>
      <c r="AA408" s="11"/>
      <c r="AB408" s="11"/>
      <c r="AC408" s="11">
        <v>1</v>
      </c>
      <c r="AD408" s="11" t="s">
        <v>1227</v>
      </c>
      <c r="AE408" s="11" t="s">
        <v>2402</v>
      </c>
      <c r="AF408" s="11" t="s">
        <v>1014</v>
      </c>
      <c r="AG408" s="11" t="s">
        <v>1015</v>
      </c>
      <c r="AH408" s="11" t="s">
        <v>1078</v>
      </c>
      <c r="AI408" s="11" t="s">
        <v>1016</v>
      </c>
      <c r="AJ408" s="11"/>
      <c r="AK408" s="11" t="s">
        <v>1229</v>
      </c>
      <c r="AL408" s="11" t="s">
        <v>1017</v>
      </c>
      <c r="AM408" s="11" t="s">
        <v>1230</v>
      </c>
      <c r="AN408" s="11" t="s">
        <v>1019</v>
      </c>
      <c r="AO408" s="11" t="s">
        <v>1384</v>
      </c>
      <c r="AP408" s="11" t="s">
        <v>1021</v>
      </c>
      <c r="AQ408" s="11" t="s">
        <v>1385</v>
      </c>
      <c r="AR408" s="11" t="s">
        <v>1048</v>
      </c>
      <c r="AS408" s="11" t="s">
        <v>1386</v>
      </c>
      <c r="AT408" s="11" t="s">
        <v>1050</v>
      </c>
      <c r="AU408" s="11" t="s">
        <v>1385</v>
      </c>
      <c r="AV408" s="11" t="s">
        <v>1386</v>
      </c>
      <c r="AW408" s="12">
        <v>1</v>
      </c>
      <c r="AX408" s="12">
        <v>1</v>
      </c>
      <c r="AY408" s="12">
        <v>1</v>
      </c>
      <c r="AZ408" s="12">
        <v>1</v>
      </c>
      <c r="BA408" s="12">
        <v>2</v>
      </c>
      <c r="BB408" s="12">
        <v>1</v>
      </c>
      <c r="BC408" s="12">
        <v>1</v>
      </c>
      <c r="BD408" s="11" t="s">
        <v>1026</v>
      </c>
      <c r="BE408" s="11" t="s">
        <v>1051</v>
      </c>
    </row>
    <row r="409" spans="1:57" s="8" customFormat="1" ht="72.5" x14ac:dyDescent="0.35">
      <c r="A409" s="7" t="s">
        <v>694</v>
      </c>
      <c r="B409" s="7" t="s">
        <v>695</v>
      </c>
      <c r="C409" s="3" t="s">
        <v>718</v>
      </c>
      <c r="D409" s="3" t="s">
        <v>231</v>
      </c>
      <c r="E409" s="3" t="s">
        <v>231</v>
      </c>
      <c r="F409" s="3" t="s">
        <v>31</v>
      </c>
      <c r="G409" s="3" t="s">
        <v>25</v>
      </c>
      <c r="H409" s="4">
        <v>899</v>
      </c>
      <c r="I409" s="4">
        <v>400</v>
      </c>
      <c r="J409" s="3" t="s">
        <v>26</v>
      </c>
      <c r="K409" s="4" t="b">
        <v>1</v>
      </c>
      <c r="L409" s="6">
        <v>1</v>
      </c>
      <c r="M409" s="6">
        <v>1</v>
      </c>
      <c r="N409" s="3" t="s">
        <v>232</v>
      </c>
      <c r="O409" s="3"/>
      <c r="P409" s="3" t="s">
        <v>719</v>
      </c>
      <c r="Q409" s="3" t="s">
        <v>2141</v>
      </c>
      <c r="R409" s="3" t="s">
        <v>1029</v>
      </c>
      <c r="S409" s="3" t="s">
        <v>1006</v>
      </c>
      <c r="T409" s="3" t="s">
        <v>1007</v>
      </c>
      <c r="U409" s="11" t="s">
        <v>2403</v>
      </c>
      <c r="V409" s="11" t="s">
        <v>1031</v>
      </c>
      <c r="W409" s="11" t="s">
        <v>1032</v>
      </c>
      <c r="X409" s="13">
        <v>0.7</v>
      </c>
      <c r="Y409" s="12"/>
      <c r="Z409" s="11"/>
      <c r="AA409" s="11"/>
      <c r="AB409" s="11"/>
      <c r="AC409" s="11">
        <v>0</v>
      </c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 t="s">
        <v>1019</v>
      </c>
      <c r="AO409" s="11" t="s">
        <v>1563</v>
      </c>
      <c r="AP409" s="11" t="s">
        <v>1021</v>
      </c>
      <c r="AQ409" s="11" t="s">
        <v>1564</v>
      </c>
      <c r="AR409" s="11" t="s">
        <v>1023</v>
      </c>
      <c r="AS409" s="11" t="s">
        <v>1565</v>
      </c>
      <c r="AT409" s="11" t="s">
        <v>1025</v>
      </c>
      <c r="AU409" s="11" t="s">
        <v>1564</v>
      </c>
      <c r="AV409" s="11" t="s">
        <v>1565</v>
      </c>
      <c r="AW409" s="12">
        <v>2</v>
      </c>
      <c r="AX409" s="12">
        <v>2</v>
      </c>
      <c r="AY409" s="12">
        <v>2</v>
      </c>
      <c r="AZ409" s="12">
        <v>2</v>
      </c>
      <c r="BA409" s="12">
        <v>4</v>
      </c>
      <c r="BB409" s="12">
        <v>2</v>
      </c>
      <c r="BC409" s="12">
        <v>1</v>
      </c>
      <c r="BD409" s="11" t="s">
        <v>1026</v>
      </c>
      <c r="BE409" s="11" t="s">
        <v>1027</v>
      </c>
    </row>
    <row r="410" spans="1:57" s="8" customFormat="1" ht="72.5" x14ac:dyDescent="0.35">
      <c r="A410" s="7" t="s">
        <v>694</v>
      </c>
      <c r="B410" s="7" t="s">
        <v>695</v>
      </c>
      <c r="C410" s="3" t="s">
        <v>720</v>
      </c>
      <c r="D410" s="3" t="s">
        <v>52</v>
      </c>
      <c r="E410" s="3"/>
      <c r="F410" s="3" t="s">
        <v>53</v>
      </c>
      <c r="G410" s="3" t="s">
        <v>50</v>
      </c>
      <c r="H410" s="4">
        <v>727</v>
      </c>
      <c r="I410" s="4">
        <v>500</v>
      </c>
      <c r="J410" s="3" t="s">
        <v>26</v>
      </c>
      <c r="K410" s="4" t="b">
        <v>0</v>
      </c>
      <c r="L410" s="6">
        <v>0.33333333333333298</v>
      </c>
      <c r="M410" s="6">
        <v>0.33333333333333298</v>
      </c>
      <c r="N410" s="3" t="s">
        <v>54</v>
      </c>
      <c r="O410" s="3" t="s">
        <v>55</v>
      </c>
      <c r="P410" s="3" t="s">
        <v>721</v>
      </c>
      <c r="Q410" s="3" t="s">
        <v>2404</v>
      </c>
      <c r="R410" s="3" t="s">
        <v>1029</v>
      </c>
      <c r="S410" s="3" t="s">
        <v>1006</v>
      </c>
      <c r="T410" s="3" t="s">
        <v>2014</v>
      </c>
      <c r="U410" s="11" t="s">
        <v>2405</v>
      </c>
      <c r="V410" s="11" t="s">
        <v>1031</v>
      </c>
      <c r="W410" s="11" t="s">
        <v>1032</v>
      </c>
      <c r="X410" s="13">
        <v>0.7</v>
      </c>
      <c r="Y410" s="12"/>
      <c r="Z410" s="11"/>
      <c r="AA410" s="11"/>
      <c r="AB410" s="11"/>
      <c r="AC410" s="11">
        <v>5</v>
      </c>
      <c r="AD410" s="11" t="s">
        <v>1076</v>
      </c>
      <c r="AE410" s="11" t="s">
        <v>2406</v>
      </c>
      <c r="AF410" s="11" t="s">
        <v>1014</v>
      </c>
      <c r="AG410" s="11" t="s">
        <v>1015</v>
      </c>
      <c r="AH410" s="11" t="s">
        <v>1078</v>
      </c>
      <c r="AI410" s="11" t="s">
        <v>1016</v>
      </c>
      <c r="AJ410" s="11"/>
      <c r="AK410" s="11" t="s">
        <v>1079</v>
      </c>
      <c r="AL410" s="11" t="s">
        <v>1017</v>
      </c>
      <c r="AM410" s="11" t="s">
        <v>1080</v>
      </c>
      <c r="AN410" s="11" t="s">
        <v>1019</v>
      </c>
      <c r="AO410" s="11" t="s">
        <v>1161</v>
      </c>
      <c r="AP410" s="11" t="s">
        <v>1021</v>
      </c>
      <c r="AQ410" s="11" t="s">
        <v>1162</v>
      </c>
      <c r="AR410" s="11" t="s">
        <v>1048</v>
      </c>
      <c r="AS410" s="11" t="s">
        <v>1163</v>
      </c>
      <c r="AT410" s="11" t="s">
        <v>1050</v>
      </c>
      <c r="AU410" s="11" t="s">
        <v>1162</v>
      </c>
      <c r="AV410" s="11" t="s">
        <v>1163</v>
      </c>
      <c r="AW410" s="12">
        <v>1</v>
      </c>
      <c r="AX410" s="12">
        <v>1</v>
      </c>
      <c r="AY410" s="12">
        <v>1</v>
      </c>
      <c r="AZ410" s="12">
        <v>1</v>
      </c>
      <c r="BA410" s="12">
        <v>4</v>
      </c>
      <c r="BB410" s="12">
        <v>1</v>
      </c>
      <c r="BC410" s="12">
        <v>1</v>
      </c>
      <c r="BD410" s="11" t="s">
        <v>1026</v>
      </c>
      <c r="BE410" s="11" t="s">
        <v>1051</v>
      </c>
    </row>
    <row r="411" spans="1:57" s="8" customFormat="1" ht="58" x14ac:dyDescent="0.35">
      <c r="A411" s="7" t="s">
        <v>694</v>
      </c>
      <c r="B411" s="7" t="s">
        <v>695</v>
      </c>
      <c r="C411" s="3" t="s">
        <v>720</v>
      </c>
      <c r="D411" s="3" t="s">
        <v>57</v>
      </c>
      <c r="E411" s="3"/>
      <c r="F411" s="3" t="s">
        <v>53</v>
      </c>
      <c r="G411" s="3" t="s">
        <v>50</v>
      </c>
      <c r="H411" s="4">
        <v>727</v>
      </c>
      <c r="I411" s="4">
        <v>300</v>
      </c>
      <c r="J411" s="3" t="s">
        <v>26</v>
      </c>
      <c r="K411" s="4" t="b">
        <v>0</v>
      </c>
      <c r="L411" s="6">
        <v>0.33333333333333298</v>
      </c>
      <c r="M411" s="6">
        <v>0.33333333333333298</v>
      </c>
      <c r="N411" s="3" t="s">
        <v>58</v>
      </c>
      <c r="O411" s="3" t="s">
        <v>59</v>
      </c>
      <c r="P411" s="3" t="s">
        <v>721</v>
      </c>
      <c r="Q411" s="3" t="s">
        <v>2404</v>
      </c>
      <c r="R411" s="3" t="s">
        <v>1029</v>
      </c>
      <c r="S411" s="3" t="s">
        <v>1006</v>
      </c>
      <c r="T411" s="3" t="s">
        <v>2014</v>
      </c>
      <c r="U411" s="11" t="s">
        <v>2405</v>
      </c>
      <c r="V411" s="11" t="s">
        <v>1031</v>
      </c>
      <c r="W411" s="11" t="s">
        <v>1032</v>
      </c>
      <c r="X411" s="13">
        <v>0.7</v>
      </c>
      <c r="Y411" s="12"/>
      <c r="Z411" s="11"/>
      <c r="AA411" s="11"/>
      <c r="AB411" s="11"/>
      <c r="AC411" s="11">
        <v>0</v>
      </c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 t="s">
        <v>1019</v>
      </c>
      <c r="AO411" s="11" t="s">
        <v>1161</v>
      </c>
      <c r="AP411" s="11" t="s">
        <v>1021</v>
      </c>
      <c r="AQ411" s="11" t="s">
        <v>1162</v>
      </c>
      <c r="AR411" s="11" t="s">
        <v>1048</v>
      </c>
      <c r="AS411" s="11" t="s">
        <v>1163</v>
      </c>
      <c r="AT411" s="11" t="s">
        <v>1050</v>
      </c>
      <c r="AU411" s="11" t="s">
        <v>1162</v>
      </c>
      <c r="AV411" s="11" t="s">
        <v>1163</v>
      </c>
      <c r="AW411" s="12">
        <v>1</v>
      </c>
      <c r="AX411" s="12">
        <v>1</v>
      </c>
      <c r="AY411" s="12">
        <v>1</v>
      </c>
      <c r="AZ411" s="12">
        <v>1</v>
      </c>
      <c r="BA411" s="12">
        <v>4</v>
      </c>
      <c r="BB411" s="12">
        <v>1</v>
      </c>
      <c r="BC411" s="12">
        <v>1</v>
      </c>
      <c r="BD411" s="11" t="s">
        <v>1026</v>
      </c>
      <c r="BE411" s="11" t="s">
        <v>1051</v>
      </c>
    </row>
    <row r="412" spans="1:57" s="8" customFormat="1" ht="58" x14ac:dyDescent="0.35">
      <c r="A412" s="7" t="s">
        <v>694</v>
      </c>
      <c r="B412" s="7" t="s">
        <v>695</v>
      </c>
      <c r="C412" s="3" t="s">
        <v>720</v>
      </c>
      <c r="D412" s="3" t="s">
        <v>98</v>
      </c>
      <c r="E412" s="3"/>
      <c r="F412" s="3" t="s">
        <v>53</v>
      </c>
      <c r="G412" s="3" t="s">
        <v>50</v>
      </c>
      <c r="H412" s="4">
        <v>727</v>
      </c>
      <c r="I412" s="4">
        <v>300</v>
      </c>
      <c r="J412" s="3" t="s">
        <v>26</v>
      </c>
      <c r="K412" s="4" t="b">
        <v>0</v>
      </c>
      <c r="L412" s="6">
        <v>0.5</v>
      </c>
      <c r="M412" s="6">
        <v>0.5</v>
      </c>
      <c r="N412" s="3" t="s">
        <v>58</v>
      </c>
      <c r="O412" s="3" t="s">
        <v>99</v>
      </c>
      <c r="P412" s="3" t="s">
        <v>721</v>
      </c>
      <c r="Q412" s="3" t="s">
        <v>2404</v>
      </c>
      <c r="R412" s="3" t="s">
        <v>1029</v>
      </c>
      <c r="S412" s="3" t="s">
        <v>1006</v>
      </c>
      <c r="T412" s="3" t="s">
        <v>2014</v>
      </c>
      <c r="U412" s="11" t="s">
        <v>2405</v>
      </c>
      <c r="V412" s="11" t="s">
        <v>1031</v>
      </c>
      <c r="W412" s="11" t="s">
        <v>1032</v>
      </c>
      <c r="X412" s="13">
        <v>0.7</v>
      </c>
      <c r="Y412" s="12"/>
      <c r="Z412" s="11"/>
      <c r="AA412" s="11"/>
      <c r="AB412" s="11"/>
      <c r="AC412" s="11">
        <v>0</v>
      </c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 t="s">
        <v>1019</v>
      </c>
      <c r="AO412" s="11" t="s">
        <v>1161</v>
      </c>
      <c r="AP412" s="11" t="s">
        <v>1021</v>
      </c>
      <c r="AQ412" s="11" t="s">
        <v>1162</v>
      </c>
      <c r="AR412" s="11" t="s">
        <v>1048</v>
      </c>
      <c r="AS412" s="11" t="s">
        <v>1163</v>
      </c>
      <c r="AT412" s="11" t="s">
        <v>1050</v>
      </c>
      <c r="AU412" s="11" t="s">
        <v>1162</v>
      </c>
      <c r="AV412" s="11" t="s">
        <v>1163</v>
      </c>
      <c r="AW412" s="12">
        <v>1</v>
      </c>
      <c r="AX412" s="12">
        <v>1</v>
      </c>
      <c r="AY412" s="12">
        <v>1</v>
      </c>
      <c r="AZ412" s="12">
        <v>1</v>
      </c>
      <c r="BA412" s="12">
        <v>4</v>
      </c>
      <c r="BB412" s="12">
        <v>1</v>
      </c>
      <c r="BC412" s="12">
        <v>1</v>
      </c>
      <c r="BD412" s="11" t="s">
        <v>1026</v>
      </c>
      <c r="BE412" s="11" t="s">
        <v>1051</v>
      </c>
    </row>
    <row r="413" spans="1:57" s="8" customFormat="1" ht="72.5" x14ac:dyDescent="0.35">
      <c r="A413" s="7" t="s">
        <v>694</v>
      </c>
      <c r="B413" s="7" t="s">
        <v>695</v>
      </c>
      <c r="C413" s="3" t="s">
        <v>722</v>
      </c>
      <c r="D413" s="3" t="s">
        <v>57</v>
      </c>
      <c r="E413" s="3"/>
      <c r="F413" s="3" t="s">
        <v>53</v>
      </c>
      <c r="G413" s="3" t="s">
        <v>50</v>
      </c>
      <c r="H413" s="4">
        <v>317</v>
      </c>
      <c r="I413" s="4">
        <v>300</v>
      </c>
      <c r="J413" s="3" t="s">
        <v>26</v>
      </c>
      <c r="K413" s="4" t="b">
        <v>0</v>
      </c>
      <c r="L413" s="6">
        <v>0.66666666666666596</v>
      </c>
      <c r="M413" s="6">
        <v>0.66666666666666596</v>
      </c>
      <c r="N413" s="3" t="s">
        <v>723</v>
      </c>
      <c r="O413" s="3" t="s">
        <v>304</v>
      </c>
      <c r="P413" s="3" t="s">
        <v>724</v>
      </c>
      <c r="Q413" s="3" t="s">
        <v>2407</v>
      </c>
      <c r="R413" s="3" t="s">
        <v>1029</v>
      </c>
      <c r="S413" s="3" t="s">
        <v>1006</v>
      </c>
      <c r="T413" s="3" t="s">
        <v>1007</v>
      </c>
      <c r="U413" s="11" t="s">
        <v>2408</v>
      </c>
      <c r="V413" s="11" t="s">
        <v>1031</v>
      </c>
      <c r="W413" s="11" t="s">
        <v>1032</v>
      </c>
      <c r="X413" s="13">
        <v>0.7</v>
      </c>
      <c r="Y413" s="12"/>
      <c r="Z413" s="11"/>
      <c r="AA413" s="11"/>
      <c r="AB413" s="11"/>
      <c r="AC413" s="11">
        <v>0</v>
      </c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 t="s">
        <v>1019</v>
      </c>
      <c r="AO413" s="11" t="s">
        <v>2409</v>
      </c>
      <c r="AP413" s="11" t="s">
        <v>1114</v>
      </c>
      <c r="AQ413" s="11"/>
      <c r="AR413" s="11" t="s">
        <v>1034</v>
      </c>
      <c r="AS413" s="11"/>
      <c r="AT413" s="11" t="s">
        <v>1034</v>
      </c>
      <c r="AU413" s="11"/>
      <c r="AV413" s="11"/>
      <c r="AW413" s="12">
        <v>1</v>
      </c>
      <c r="AX413" s="12">
        <v>1</v>
      </c>
      <c r="AY413" s="12">
        <v>1</v>
      </c>
      <c r="AZ413" s="12"/>
      <c r="BA413" s="12"/>
      <c r="BB413" s="12"/>
      <c r="BC413" s="12"/>
      <c r="BD413" s="11" t="s">
        <v>1115</v>
      </c>
      <c r="BE413" s="11" t="s">
        <v>1116</v>
      </c>
    </row>
    <row r="414" spans="1:57" s="8" customFormat="1" ht="58" x14ac:dyDescent="0.35">
      <c r="A414" s="7" t="s">
        <v>694</v>
      </c>
      <c r="B414" s="7" t="s">
        <v>695</v>
      </c>
      <c r="C414" s="3" t="s">
        <v>725</v>
      </c>
      <c r="D414" s="3" t="s">
        <v>52</v>
      </c>
      <c r="E414" s="3"/>
      <c r="F414" s="3" t="s">
        <v>53</v>
      </c>
      <c r="G414" s="3" t="s">
        <v>50</v>
      </c>
      <c r="H414" s="4">
        <v>409</v>
      </c>
      <c r="I414" s="4">
        <v>500</v>
      </c>
      <c r="J414" s="3" t="s">
        <v>74</v>
      </c>
      <c r="K414" s="4" t="b">
        <v>0</v>
      </c>
      <c r="L414" s="6">
        <v>0.33333333333333298</v>
      </c>
      <c r="M414" s="6">
        <v>0.33333333333333298</v>
      </c>
      <c r="N414" s="3" t="s">
        <v>54</v>
      </c>
      <c r="O414" s="3" t="s">
        <v>55</v>
      </c>
      <c r="P414" s="3" t="s">
        <v>726</v>
      </c>
      <c r="Q414" s="3" t="s">
        <v>2410</v>
      </c>
      <c r="R414" s="3" t="s">
        <v>1029</v>
      </c>
      <c r="S414" s="3" t="s">
        <v>1006</v>
      </c>
      <c r="T414" s="3" t="s">
        <v>1007</v>
      </c>
      <c r="U414" s="11" t="s">
        <v>2411</v>
      </c>
      <c r="V414" s="11" t="s">
        <v>1064</v>
      </c>
      <c r="W414" s="11" t="s">
        <v>1065</v>
      </c>
      <c r="X414" s="13">
        <v>1</v>
      </c>
      <c r="Y414" s="12"/>
      <c r="Z414" s="11"/>
      <c r="AA414" s="11"/>
      <c r="AB414" s="11"/>
      <c r="AC414" s="11">
        <v>0</v>
      </c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 t="s">
        <v>1019</v>
      </c>
      <c r="AO414" s="11" t="s">
        <v>1503</v>
      </c>
      <c r="AP414" s="11" t="s">
        <v>1021</v>
      </c>
      <c r="AQ414" s="11" t="s">
        <v>1504</v>
      </c>
      <c r="AR414" s="11" t="s">
        <v>1048</v>
      </c>
      <c r="AS414" s="11"/>
      <c r="AT414" s="11" t="s">
        <v>1034</v>
      </c>
      <c r="AU414" s="11" t="s">
        <v>1505</v>
      </c>
      <c r="AV414" s="11"/>
      <c r="AW414" s="12">
        <v>1</v>
      </c>
      <c r="AX414" s="12">
        <v>2</v>
      </c>
      <c r="AY414" s="12">
        <v>2</v>
      </c>
      <c r="AZ414" s="12">
        <v>1</v>
      </c>
      <c r="BA414" s="12">
        <v>4</v>
      </c>
      <c r="BB414" s="12"/>
      <c r="BC414" s="12"/>
      <c r="BD414" s="11" t="s">
        <v>1093</v>
      </c>
      <c r="BE414" s="11" t="s">
        <v>1037</v>
      </c>
    </row>
    <row r="415" spans="1:57" s="8" customFormat="1" ht="58" x14ac:dyDescent="0.35">
      <c r="A415" s="7" t="s">
        <v>694</v>
      </c>
      <c r="B415" s="7" t="s">
        <v>695</v>
      </c>
      <c r="C415" s="3" t="s">
        <v>725</v>
      </c>
      <c r="D415" s="3" t="s">
        <v>57</v>
      </c>
      <c r="E415" s="3"/>
      <c r="F415" s="3" t="s">
        <v>53</v>
      </c>
      <c r="G415" s="3" t="s">
        <v>50</v>
      </c>
      <c r="H415" s="4">
        <v>409</v>
      </c>
      <c r="I415" s="4">
        <v>300</v>
      </c>
      <c r="J415" s="3" t="s">
        <v>26</v>
      </c>
      <c r="K415" s="4" t="b">
        <v>0</v>
      </c>
      <c r="L415" s="6">
        <v>0.33333333333333298</v>
      </c>
      <c r="M415" s="6">
        <v>0.33333333333333298</v>
      </c>
      <c r="N415" s="3" t="s">
        <v>58</v>
      </c>
      <c r="O415" s="3" t="s">
        <v>59</v>
      </c>
      <c r="P415" s="3" t="s">
        <v>726</v>
      </c>
      <c r="Q415" s="3" t="s">
        <v>2410</v>
      </c>
      <c r="R415" s="3" t="s">
        <v>1029</v>
      </c>
      <c r="S415" s="3" t="s">
        <v>1006</v>
      </c>
      <c r="T415" s="3" t="s">
        <v>1007</v>
      </c>
      <c r="U415" s="11" t="s">
        <v>2411</v>
      </c>
      <c r="V415" s="11" t="s">
        <v>1064</v>
      </c>
      <c r="W415" s="11" t="s">
        <v>1065</v>
      </c>
      <c r="X415" s="13">
        <v>1</v>
      </c>
      <c r="Y415" s="12"/>
      <c r="Z415" s="11"/>
      <c r="AA415" s="11"/>
      <c r="AB415" s="11"/>
      <c r="AC415" s="11">
        <v>0</v>
      </c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 t="s">
        <v>1019</v>
      </c>
      <c r="AO415" s="11" t="s">
        <v>1503</v>
      </c>
      <c r="AP415" s="11" t="s">
        <v>1021</v>
      </c>
      <c r="AQ415" s="11" t="s">
        <v>1504</v>
      </c>
      <c r="AR415" s="11" t="s">
        <v>1048</v>
      </c>
      <c r="AS415" s="11"/>
      <c r="AT415" s="11" t="s">
        <v>1034</v>
      </c>
      <c r="AU415" s="11" t="s">
        <v>1505</v>
      </c>
      <c r="AV415" s="11"/>
      <c r="AW415" s="12">
        <v>1</v>
      </c>
      <c r="AX415" s="12">
        <v>2</v>
      </c>
      <c r="AY415" s="12">
        <v>2</v>
      </c>
      <c r="AZ415" s="12">
        <v>1</v>
      </c>
      <c r="BA415" s="12">
        <v>4</v>
      </c>
      <c r="BB415" s="12"/>
      <c r="BC415" s="12"/>
      <c r="BD415" s="11" t="s">
        <v>1093</v>
      </c>
      <c r="BE415" s="11" t="s">
        <v>1037</v>
      </c>
    </row>
    <row r="416" spans="1:57" s="8" customFormat="1" ht="58" x14ac:dyDescent="0.35">
      <c r="A416" s="7" t="s">
        <v>694</v>
      </c>
      <c r="B416" s="7" t="s">
        <v>695</v>
      </c>
      <c r="C416" s="3" t="s">
        <v>725</v>
      </c>
      <c r="D416" s="3" t="s">
        <v>98</v>
      </c>
      <c r="E416" s="3"/>
      <c r="F416" s="3" t="s">
        <v>53</v>
      </c>
      <c r="G416" s="3" t="s">
        <v>50</v>
      </c>
      <c r="H416" s="4">
        <v>409</v>
      </c>
      <c r="I416" s="4">
        <v>300</v>
      </c>
      <c r="J416" s="3" t="s">
        <v>26</v>
      </c>
      <c r="K416" s="4" t="b">
        <v>0</v>
      </c>
      <c r="L416" s="6">
        <v>0.5</v>
      </c>
      <c r="M416" s="6">
        <v>0.5</v>
      </c>
      <c r="N416" s="3" t="s">
        <v>58</v>
      </c>
      <c r="O416" s="3" t="s">
        <v>99</v>
      </c>
      <c r="P416" s="3" t="s">
        <v>726</v>
      </c>
      <c r="Q416" s="3" t="s">
        <v>2410</v>
      </c>
      <c r="R416" s="3" t="s">
        <v>1029</v>
      </c>
      <c r="S416" s="3" t="s">
        <v>1006</v>
      </c>
      <c r="T416" s="3" t="s">
        <v>1007</v>
      </c>
      <c r="U416" s="11" t="s">
        <v>2411</v>
      </c>
      <c r="V416" s="11" t="s">
        <v>1064</v>
      </c>
      <c r="W416" s="11" t="s">
        <v>1065</v>
      </c>
      <c r="X416" s="13">
        <v>1</v>
      </c>
      <c r="Y416" s="12"/>
      <c r="Z416" s="11"/>
      <c r="AA416" s="11"/>
      <c r="AB416" s="11"/>
      <c r="AC416" s="11">
        <v>0</v>
      </c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 t="s">
        <v>1019</v>
      </c>
      <c r="AO416" s="11" t="s">
        <v>1503</v>
      </c>
      <c r="AP416" s="11" t="s">
        <v>1021</v>
      </c>
      <c r="AQ416" s="11" t="s">
        <v>1504</v>
      </c>
      <c r="AR416" s="11" t="s">
        <v>1048</v>
      </c>
      <c r="AS416" s="11"/>
      <c r="AT416" s="11" t="s">
        <v>1034</v>
      </c>
      <c r="AU416" s="11" t="s">
        <v>1505</v>
      </c>
      <c r="AV416" s="11"/>
      <c r="AW416" s="12">
        <v>1</v>
      </c>
      <c r="AX416" s="12">
        <v>2</v>
      </c>
      <c r="AY416" s="12">
        <v>2</v>
      </c>
      <c r="AZ416" s="12">
        <v>1</v>
      </c>
      <c r="BA416" s="12">
        <v>4</v>
      </c>
      <c r="BB416" s="12"/>
      <c r="BC416" s="12"/>
      <c r="BD416" s="11" t="s">
        <v>1093</v>
      </c>
      <c r="BE416" s="11" t="s">
        <v>1037</v>
      </c>
    </row>
    <row r="417" spans="1:57" s="8" customFormat="1" ht="58" x14ac:dyDescent="0.35">
      <c r="A417" s="7" t="s">
        <v>694</v>
      </c>
      <c r="B417" s="7" t="s">
        <v>695</v>
      </c>
      <c r="C417" s="3" t="s">
        <v>727</v>
      </c>
      <c r="D417" s="3" t="s">
        <v>57</v>
      </c>
      <c r="E417" s="3"/>
      <c r="F417" s="3" t="s">
        <v>53</v>
      </c>
      <c r="G417" s="3" t="s">
        <v>50</v>
      </c>
      <c r="H417" s="4">
        <v>351</v>
      </c>
      <c r="I417" s="4">
        <v>300</v>
      </c>
      <c r="J417" s="3" t="s">
        <v>26</v>
      </c>
      <c r="K417" s="4" t="b">
        <v>0</v>
      </c>
      <c r="L417" s="6">
        <v>0.33333333333333298</v>
      </c>
      <c r="M417" s="6">
        <v>0.33333333333333298</v>
      </c>
      <c r="N417" s="3" t="s">
        <v>58</v>
      </c>
      <c r="O417" s="3" t="s">
        <v>59</v>
      </c>
      <c r="P417" s="3" t="s">
        <v>501</v>
      </c>
      <c r="Q417" s="3" t="s">
        <v>2082</v>
      </c>
      <c r="R417" s="3" t="s">
        <v>1074</v>
      </c>
      <c r="S417" s="3" t="s">
        <v>1006</v>
      </c>
      <c r="T417" s="3" t="s">
        <v>1007</v>
      </c>
      <c r="U417" s="11" t="s">
        <v>2412</v>
      </c>
      <c r="V417" s="11" t="s">
        <v>1031</v>
      </c>
      <c r="W417" s="11" t="s">
        <v>1032</v>
      </c>
      <c r="X417" s="13">
        <v>0.7</v>
      </c>
      <c r="Y417" s="12"/>
      <c r="Z417" s="11"/>
      <c r="AA417" s="11"/>
      <c r="AB417" s="11"/>
      <c r="AC417" s="11">
        <v>0</v>
      </c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 t="s">
        <v>1019</v>
      </c>
      <c r="AO417" s="11" t="s">
        <v>1904</v>
      </c>
      <c r="AP417" s="11" t="s">
        <v>1021</v>
      </c>
      <c r="AQ417" s="11" t="s">
        <v>1905</v>
      </c>
      <c r="AR417" s="11" t="s">
        <v>1048</v>
      </c>
      <c r="AS417" s="11" t="s">
        <v>1906</v>
      </c>
      <c r="AT417" s="11" t="s">
        <v>1050</v>
      </c>
      <c r="AU417" s="11" t="s">
        <v>1905</v>
      </c>
      <c r="AV417" s="11" t="s">
        <v>1906</v>
      </c>
      <c r="AW417" s="12">
        <v>1</v>
      </c>
      <c r="AX417" s="12">
        <v>1</v>
      </c>
      <c r="AY417" s="12">
        <v>1</v>
      </c>
      <c r="AZ417" s="12">
        <v>1</v>
      </c>
      <c r="BA417" s="12">
        <v>2</v>
      </c>
      <c r="BB417" s="12">
        <v>1</v>
      </c>
      <c r="BC417" s="12">
        <v>1</v>
      </c>
      <c r="BD417" s="11" t="s">
        <v>1026</v>
      </c>
      <c r="BE417" s="11" t="s">
        <v>1051</v>
      </c>
    </row>
    <row r="418" spans="1:57" s="8" customFormat="1" ht="87" x14ac:dyDescent="0.35">
      <c r="A418" s="7" t="s">
        <v>694</v>
      </c>
      <c r="B418" s="7" t="s">
        <v>695</v>
      </c>
      <c r="C418" s="3" t="s">
        <v>728</v>
      </c>
      <c r="D418" s="3" t="s">
        <v>45</v>
      </c>
      <c r="E418" s="3" t="s">
        <v>45</v>
      </c>
      <c r="F418" s="3" t="s">
        <v>46</v>
      </c>
      <c r="G418" s="3" t="s">
        <v>25</v>
      </c>
      <c r="H418" s="4">
        <v>556</v>
      </c>
      <c r="I418" s="4">
        <v>200</v>
      </c>
      <c r="J418" s="3" t="s">
        <v>26</v>
      </c>
      <c r="K418" s="4" t="b">
        <v>1</v>
      </c>
      <c r="L418" s="6">
        <v>1</v>
      </c>
      <c r="M418" s="6">
        <v>1</v>
      </c>
      <c r="N418" s="3" t="s">
        <v>47</v>
      </c>
      <c r="O418" s="3"/>
      <c r="P418" s="3" t="s">
        <v>729</v>
      </c>
      <c r="Q418" s="3" t="s">
        <v>2413</v>
      </c>
      <c r="R418" s="3" t="s">
        <v>1029</v>
      </c>
      <c r="S418" s="3" t="s">
        <v>1006</v>
      </c>
      <c r="T418" s="3" t="s">
        <v>1007</v>
      </c>
      <c r="U418" s="11" t="s">
        <v>2414</v>
      </c>
      <c r="V418" s="11" t="s">
        <v>1031</v>
      </c>
      <c r="W418" s="11" t="s">
        <v>1032</v>
      </c>
      <c r="X418" s="13">
        <v>0.7</v>
      </c>
      <c r="Y418" s="12"/>
      <c r="Z418" s="11"/>
      <c r="AA418" s="11"/>
      <c r="AB418" s="11"/>
      <c r="AC418" s="11">
        <v>0</v>
      </c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 t="s">
        <v>1019</v>
      </c>
      <c r="AO418" s="11" t="s">
        <v>1181</v>
      </c>
      <c r="AP418" s="11" t="s">
        <v>1021</v>
      </c>
      <c r="AQ418" s="11" t="s">
        <v>1182</v>
      </c>
      <c r="AR418" s="11" t="s">
        <v>1025</v>
      </c>
      <c r="AS418" s="11" t="s">
        <v>1183</v>
      </c>
      <c r="AT418" s="11" t="s">
        <v>1025</v>
      </c>
      <c r="AU418" s="11" t="s">
        <v>1182</v>
      </c>
      <c r="AV418" s="11" t="s">
        <v>1183</v>
      </c>
      <c r="AW418" s="12">
        <v>2</v>
      </c>
      <c r="AX418" s="12">
        <v>2</v>
      </c>
      <c r="AY418" s="12">
        <v>2</v>
      </c>
      <c r="AZ418" s="12">
        <v>2</v>
      </c>
      <c r="BA418" s="12">
        <v>1</v>
      </c>
      <c r="BB418" s="12">
        <v>2</v>
      </c>
      <c r="BC418" s="12">
        <v>1</v>
      </c>
      <c r="BD418" s="11" t="s">
        <v>1026</v>
      </c>
      <c r="BE418" s="11" t="s">
        <v>1027</v>
      </c>
    </row>
    <row r="419" spans="1:57" s="8" customFormat="1" ht="87" x14ac:dyDescent="0.35">
      <c r="A419" s="7" t="s">
        <v>694</v>
      </c>
      <c r="B419" s="7" t="s">
        <v>695</v>
      </c>
      <c r="C419" s="3" t="s">
        <v>728</v>
      </c>
      <c r="D419" s="3" t="s">
        <v>49</v>
      </c>
      <c r="E419" s="3"/>
      <c r="F419" s="3" t="s">
        <v>46</v>
      </c>
      <c r="G419" s="3" t="s">
        <v>50</v>
      </c>
      <c r="H419" s="4">
        <v>556</v>
      </c>
      <c r="I419" s="4">
        <v>200</v>
      </c>
      <c r="J419" s="3" t="s">
        <v>26</v>
      </c>
      <c r="K419" s="4" t="b">
        <v>1</v>
      </c>
      <c r="L419" s="6">
        <v>1</v>
      </c>
      <c r="M419" s="6">
        <v>1</v>
      </c>
      <c r="N419" s="3" t="s">
        <v>47</v>
      </c>
      <c r="O419" s="3"/>
      <c r="P419" s="3" t="s">
        <v>729</v>
      </c>
      <c r="Q419" s="3" t="s">
        <v>2413</v>
      </c>
      <c r="R419" s="3" t="s">
        <v>1029</v>
      </c>
      <c r="S419" s="3" t="s">
        <v>1006</v>
      </c>
      <c r="T419" s="3" t="s">
        <v>1007</v>
      </c>
      <c r="U419" s="11" t="s">
        <v>2414</v>
      </c>
      <c r="V419" s="11" t="s">
        <v>1031</v>
      </c>
      <c r="W419" s="11" t="s">
        <v>1032</v>
      </c>
      <c r="X419" s="13">
        <v>0.7</v>
      </c>
      <c r="Y419" s="12"/>
      <c r="Z419" s="11"/>
      <c r="AA419" s="11"/>
      <c r="AB419" s="11"/>
      <c r="AC419" s="11">
        <v>0</v>
      </c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 t="s">
        <v>1019</v>
      </c>
      <c r="AO419" s="11" t="s">
        <v>1181</v>
      </c>
      <c r="AP419" s="11" t="s">
        <v>1021</v>
      </c>
      <c r="AQ419" s="11" t="s">
        <v>1182</v>
      </c>
      <c r="AR419" s="11" t="s">
        <v>1025</v>
      </c>
      <c r="AS419" s="11" t="s">
        <v>1183</v>
      </c>
      <c r="AT419" s="11" t="s">
        <v>1025</v>
      </c>
      <c r="AU419" s="11" t="s">
        <v>1182</v>
      </c>
      <c r="AV419" s="11" t="s">
        <v>1183</v>
      </c>
      <c r="AW419" s="12">
        <v>2</v>
      </c>
      <c r="AX419" s="12">
        <v>2</v>
      </c>
      <c r="AY419" s="12">
        <v>2</v>
      </c>
      <c r="AZ419" s="12">
        <v>2</v>
      </c>
      <c r="BA419" s="12">
        <v>1</v>
      </c>
      <c r="BB419" s="12">
        <v>2</v>
      </c>
      <c r="BC419" s="12">
        <v>1</v>
      </c>
      <c r="BD419" s="11" t="s">
        <v>1026</v>
      </c>
      <c r="BE419" s="11" t="s">
        <v>1027</v>
      </c>
    </row>
    <row r="420" spans="1:57" s="8" customFormat="1" ht="72.5" x14ac:dyDescent="0.35">
      <c r="A420" s="7" t="s">
        <v>694</v>
      </c>
      <c r="B420" s="7" t="s">
        <v>695</v>
      </c>
      <c r="C420" s="3" t="s">
        <v>730</v>
      </c>
      <c r="D420" s="3" t="s">
        <v>52</v>
      </c>
      <c r="E420" s="3"/>
      <c r="F420" s="3" t="s">
        <v>53</v>
      </c>
      <c r="G420" s="3" t="s">
        <v>50</v>
      </c>
      <c r="H420" s="4">
        <v>780</v>
      </c>
      <c r="I420" s="4">
        <v>500</v>
      </c>
      <c r="J420" s="3" t="s">
        <v>26</v>
      </c>
      <c r="K420" s="4" t="b">
        <v>0</v>
      </c>
      <c r="L420" s="6">
        <v>0.33333333333333298</v>
      </c>
      <c r="M420" s="6">
        <v>0.33333333333333298</v>
      </c>
      <c r="N420" s="3" t="s">
        <v>54</v>
      </c>
      <c r="O420" s="3" t="s">
        <v>55</v>
      </c>
      <c r="P420" s="3" t="s">
        <v>301</v>
      </c>
      <c r="Q420" s="3" t="s">
        <v>2415</v>
      </c>
      <c r="R420" s="3" t="s">
        <v>1441</v>
      </c>
      <c r="S420" s="3" t="s">
        <v>1696</v>
      </c>
      <c r="T420" s="3" t="s">
        <v>2416</v>
      </c>
      <c r="U420" s="11" t="s">
        <v>2417</v>
      </c>
      <c r="V420" s="11" t="s">
        <v>1497</v>
      </c>
      <c r="W420" s="11" t="s">
        <v>1498</v>
      </c>
      <c r="X420" s="13">
        <v>0.77</v>
      </c>
      <c r="Y420" s="12"/>
      <c r="Z420" s="11" t="s">
        <v>2418</v>
      </c>
      <c r="AA420" s="11"/>
      <c r="AB420" s="11"/>
      <c r="AC420" s="11">
        <v>5</v>
      </c>
      <c r="AD420" s="11" t="s">
        <v>2419</v>
      </c>
      <c r="AE420" s="11" t="s">
        <v>2420</v>
      </c>
      <c r="AF420" s="11" t="s">
        <v>1014</v>
      </c>
      <c r="AG420" s="11" t="s">
        <v>1015</v>
      </c>
      <c r="AH420" s="11" t="s">
        <v>1078</v>
      </c>
      <c r="AI420" s="11" t="s">
        <v>1016</v>
      </c>
      <c r="AJ420" s="11"/>
      <c r="AK420" s="11" t="s">
        <v>2421</v>
      </c>
      <c r="AL420" s="11" t="s">
        <v>1017</v>
      </c>
      <c r="AM420" s="11" t="s">
        <v>2422</v>
      </c>
      <c r="AN420" s="11" t="s">
        <v>1019</v>
      </c>
      <c r="AO420" s="11" t="s">
        <v>1701</v>
      </c>
      <c r="AP420" s="11" t="s">
        <v>1021</v>
      </c>
      <c r="AQ420" s="11"/>
      <c r="AR420" s="11" t="s">
        <v>1034</v>
      </c>
      <c r="AS420" s="11" t="s">
        <v>1702</v>
      </c>
      <c r="AT420" s="11" t="s">
        <v>1050</v>
      </c>
      <c r="AU420" s="11"/>
      <c r="AV420" s="11" t="s">
        <v>1702</v>
      </c>
      <c r="AW420" s="12">
        <v>1</v>
      </c>
      <c r="AX420" s="12">
        <v>1</v>
      </c>
      <c r="AY420" s="12">
        <v>1</v>
      </c>
      <c r="AZ420" s="12"/>
      <c r="BA420" s="12"/>
      <c r="BB420" s="12">
        <v>1</v>
      </c>
      <c r="BC420" s="12">
        <v>1</v>
      </c>
      <c r="BD420" s="11" t="s">
        <v>1036</v>
      </c>
      <c r="BE420" s="11" t="s">
        <v>1037</v>
      </c>
    </row>
    <row r="421" spans="1:57" s="8" customFormat="1" ht="58" x14ac:dyDescent="0.35">
      <c r="A421" s="7" t="s">
        <v>694</v>
      </c>
      <c r="B421" s="7" t="s">
        <v>695</v>
      </c>
      <c r="C421" s="3" t="s">
        <v>730</v>
      </c>
      <c r="D421" s="3" t="s">
        <v>57</v>
      </c>
      <c r="E421" s="3"/>
      <c r="F421" s="3" t="s">
        <v>53</v>
      </c>
      <c r="G421" s="3" t="s">
        <v>50</v>
      </c>
      <c r="H421" s="4">
        <v>780</v>
      </c>
      <c r="I421" s="4">
        <v>300</v>
      </c>
      <c r="J421" s="3" t="s">
        <v>26</v>
      </c>
      <c r="K421" s="4" t="b">
        <v>0</v>
      </c>
      <c r="L421" s="6">
        <v>0.33333333333333298</v>
      </c>
      <c r="M421" s="6">
        <v>0.33333333333333298</v>
      </c>
      <c r="N421" s="3" t="s">
        <v>58</v>
      </c>
      <c r="O421" s="3" t="s">
        <v>59</v>
      </c>
      <c r="P421" s="3" t="s">
        <v>301</v>
      </c>
      <c r="Q421" s="3" t="s">
        <v>2415</v>
      </c>
      <c r="R421" s="3" t="s">
        <v>1441</v>
      </c>
      <c r="S421" s="3" t="s">
        <v>1696</v>
      </c>
      <c r="T421" s="3" t="s">
        <v>2416</v>
      </c>
      <c r="U421" s="11" t="s">
        <v>2417</v>
      </c>
      <c r="V421" s="11" t="s">
        <v>1497</v>
      </c>
      <c r="W421" s="11" t="s">
        <v>1498</v>
      </c>
      <c r="X421" s="13">
        <v>0.77</v>
      </c>
      <c r="Y421" s="12"/>
      <c r="Z421" s="11" t="s">
        <v>2418</v>
      </c>
      <c r="AA421" s="11"/>
      <c r="AB421" s="11"/>
      <c r="AC421" s="11">
        <v>0</v>
      </c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 t="s">
        <v>1019</v>
      </c>
      <c r="AO421" s="11" t="s">
        <v>1701</v>
      </c>
      <c r="AP421" s="11" t="s">
        <v>1021</v>
      </c>
      <c r="AQ421" s="11"/>
      <c r="AR421" s="11" t="s">
        <v>1034</v>
      </c>
      <c r="AS421" s="11" t="s">
        <v>1702</v>
      </c>
      <c r="AT421" s="11" t="s">
        <v>1050</v>
      </c>
      <c r="AU421" s="11"/>
      <c r="AV421" s="11" t="s">
        <v>1702</v>
      </c>
      <c r="AW421" s="12">
        <v>1</v>
      </c>
      <c r="AX421" s="12">
        <v>1</v>
      </c>
      <c r="AY421" s="12">
        <v>1</v>
      </c>
      <c r="AZ421" s="12"/>
      <c r="BA421" s="12"/>
      <c r="BB421" s="12">
        <v>1</v>
      </c>
      <c r="BC421" s="12">
        <v>1</v>
      </c>
      <c r="BD421" s="11" t="s">
        <v>1036</v>
      </c>
      <c r="BE421" s="11" t="s">
        <v>1037</v>
      </c>
    </row>
    <row r="422" spans="1:57" s="8" customFormat="1" ht="58" x14ac:dyDescent="0.35">
      <c r="A422" s="7" t="s">
        <v>694</v>
      </c>
      <c r="B422" s="7" t="s">
        <v>695</v>
      </c>
      <c r="C422" s="3" t="s">
        <v>730</v>
      </c>
      <c r="D422" s="3" t="s">
        <v>98</v>
      </c>
      <c r="E422" s="3"/>
      <c r="F422" s="3" t="s">
        <v>53</v>
      </c>
      <c r="G422" s="3" t="s">
        <v>50</v>
      </c>
      <c r="H422" s="4">
        <v>780</v>
      </c>
      <c r="I422" s="4">
        <v>300</v>
      </c>
      <c r="J422" s="3" t="s">
        <v>26</v>
      </c>
      <c r="K422" s="4" t="b">
        <v>0</v>
      </c>
      <c r="L422" s="6">
        <v>0.5</v>
      </c>
      <c r="M422" s="6">
        <v>0.5</v>
      </c>
      <c r="N422" s="3" t="s">
        <v>58</v>
      </c>
      <c r="O422" s="3" t="s">
        <v>99</v>
      </c>
      <c r="P422" s="3" t="s">
        <v>301</v>
      </c>
      <c r="Q422" s="3" t="s">
        <v>2415</v>
      </c>
      <c r="R422" s="3" t="s">
        <v>1441</v>
      </c>
      <c r="S422" s="3" t="s">
        <v>1696</v>
      </c>
      <c r="T422" s="3" t="s">
        <v>2416</v>
      </c>
      <c r="U422" s="11" t="s">
        <v>2417</v>
      </c>
      <c r="V422" s="11" t="s">
        <v>1497</v>
      </c>
      <c r="W422" s="11" t="s">
        <v>1498</v>
      </c>
      <c r="X422" s="13">
        <v>0.77</v>
      </c>
      <c r="Y422" s="12"/>
      <c r="Z422" s="11" t="s">
        <v>2418</v>
      </c>
      <c r="AA422" s="11"/>
      <c r="AB422" s="11"/>
      <c r="AC422" s="11">
        <v>0</v>
      </c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 t="s">
        <v>1019</v>
      </c>
      <c r="AO422" s="11" t="s">
        <v>1701</v>
      </c>
      <c r="AP422" s="11" t="s">
        <v>1021</v>
      </c>
      <c r="AQ422" s="11"/>
      <c r="AR422" s="11" t="s">
        <v>1034</v>
      </c>
      <c r="AS422" s="11" t="s">
        <v>1702</v>
      </c>
      <c r="AT422" s="11" t="s">
        <v>1050</v>
      </c>
      <c r="AU422" s="11"/>
      <c r="AV422" s="11" t="s">
        <v>1702</v>
      </c>
      <c r="AW422" s="12">
        <v>1</v>
      </c>
      <c r="AX422" s="12">
        <v>1</v>
      </c>
      <c r="AY422" s="12">
        <v>1</v>
      </c>
      <c r="AZ422" s="12"/>
      <c r="BA422" s="12"/>
      <c r="BB422" s="12">
        <v>1</v>
      </c>
      <c r="BC422" s="12">
        <v>1</v>
      </c>
      <c r="BD422" s="11" t="s">
        <v>1036</v>
      </c>
      <c r="BE422" s="11" t="s">
        <v>1037</v>
      </c>
    </row>
    <row r="423" spans="1:57" s="8" customFormat="1" ht="58" x14ac:dyDescent="0.35">
      <c r="A423" s="7" t="s">
        <v>694</v>
      </c>
      <c r="B423" s="7" t="s">
        <v>695</v>
      </c>
      <c r="C423" s="3" t="s">
        <v>731</v>
      </c>
      <c r="D423" s="3" t="s">
        <v>130</v>
      </c>
      <c r="E423" s="3" t="s">
        <v>130</v>
      </c>
      <c r="F423" s="3" t="s">
        <v>24</v>
      </c>
      <c r="G423" s="3" t="s">
        <v>25</v>
      </c>
      <c r="H423" s="4">
        <v>854</v>
      </c>
      <c r="I423" s="4">
        <v>400</v>
      </c>
      <c r="J423" s="3" t="s">
        <v>26</v>
      </c>
      <c r="K423" s="4" t="b">
        <v>1</v>
      </c>
      <c r="L423" s="6">
        <v>1</v>
      </c>
      <c r="M423" s="6">
        <v>1</v>
      </c>
      <c r="N423" s="3" t="s">
        <v>131</v>
      </c>
      <c r="O423" s="3"/>
      <c r="P423" s="3" t="s">
        <v>732</v>
      </c>
      <c r="Q423" s="3" t="s">
        <v>2423</v>
      </c>
      <c r="R423" s="3" t="s">
        <v>1029</v>
      </c>
      <c r="S423" s="3" t="s">
        <v>1006</v>
      </c>
      <c r="T423" s="3" t="s">
        <v>1007</v>
      </c>
      <c r="U423" s="11" t="s">
        <v>2424</v>
      </c>
      <c r="V423" s="11" t="s">
        <v>1064</v>
      </c>
      <c r="W423" s="11" t="s">
        <v>1065</v>
      </c>
      <c r="X423" s="13">
        <v>1</v>
      </c>
      <c r="Y423" s="12"/>
      <c r="Z423" s="11"/>
      <c r="AA423" s="11"/>
      <c r="AB423" s="11"/>
      <c r="AC423" s="11">
        <v>0</v>
      </c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 t="s">
        <v>1019</v>
      </c>
      <c r="AO423" s="11" t="s">
        <v>1254</v>
      </c>
      <c r="AP423" s="11" t="s">
        <v>1021</v>
      </c>
      <c r="AQ423" s="11" t="s">
        <v>1255</v>
      </c>
      <c r="AR423" s="11" t="s">
        <v>1048</v>
      </c>
      <c r="AS423" s="11" t="s">
        <v>1256</v>
      </c>
      <c r="AT423" s="11" t="s">
        <v>1050</v>
      </c>
      <c r="AU423" s="11" t="s">
        <v>1255</v>
      </c>
      <c r="AV423" s="11" t="s">
        <v>1256</v>
      </c>
      <c r="AW423" s="12">
        <v>1</v>
      </c>
      <c r="AX423" s="12">
        <v>1</v>
      </c>
      <c r="AY423" s="12">
        <v>1</v>
      </c>
      <c r="AZ423" s="12">
        <v>1</v>
      </c>
      <c r="BA423" s="12">
        <v>3</v>
      </c>
      <c r="BB423" s="12">
        <v>1</v>
      </c>
      <c r="BC423" s="12">
        <v>1</v>
      </c>
      <c r="BD423" s="11" t="s">
        <v>1026</v>
      </c>
      <c r="BE423" s="11" t="s">
        <v>1051</v>
      </c>
    </row>
    <row r="424" spans="1:57" s="8" customFormat="1" ht="58" x14ac:dyDescent="0.35">
      <c r="A424" s="7" t="s">
        <v>694</v>
      </c>
      <c r="B424" s="7" t="s">
        <v>695</v>
      </c>
      <c r="C424" s="3" t="s">
        <v>733</v>
      </c>
      <c r="D424" s="3" t="s">
        <v>57</v>
      </c>
      <c r="E424" s="3"/>
      <c r="F424" s="3" t="s">
        <v>53</v>
      </c>
      <c r="G424" s="3" t="s">
        <v>50</v>
      </c>
      <c r="H424" s="4">
        <v>357</v>
      </c>
      <c r="I424" s="4">
        <v>300</v>
      </c>
      <c r="J424" s="3" t="s">
        <v>26</v>
      </c>
      <c r="K424" s="4" t="b">
        <v>0</v>
      </c>
      <c r="L424" s="6">
        <v>0.33333333333333298</v>
      </c>
      <c r="M424" s="6">
        <v>0.33333333333333298</v>
      </c>
      <c r="N424" s="3" t="s">
        <v>58</v>
      </c>
      <c r="O424" s="3" t="s">
        <v>59</v>
      </c>
      <c r="P424" s="3" t="s">
        <v>287</v>
      </c>
      <c r="Q424" s="3" t="s">
        <v>1660</v>
      </c>
      <c r="R424" s="3" t="s">
        <v>1074</v>
      </c>
      <c r="S424" s="3" t="s">
        <v>1006</v>
      </c>
      <c r="T424" s="3" t="s">
        <v>1007</v>
      </c>
      <c r="U424" s="11" t="s">
        <v>2425</v>
      </c>
      <c r="V424" s="11" t="s">
        <v>1064</v>
      </c>
      <c r="W424" s="11" t="s">
        <v>1065</v>
      </c>
      <c r="X424" s="13">
        <v>1</v>
      </c>
      <c r="Y424" s="12"/>
      <c r="Z424" s="11"/>
      <c r="AA424" s="11"/>
      <c r="AB424" s="11"/>
      <c r="AC424" s="11">
        <v>0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 t="s">
        <v>1019</v>
      </c>
      <c r="AO424" s="11" t="s">
        <v>1662</v>
      </c>
      <c r="AP424" s="11" t="s">
        <v>1021</v>
      </c>
      <c r="AQ424" s="11" t="s">
        <v>1663</v>
      </c>
      <c r="AR424" s="11" t="s">
        <v>1048</v>
      </c>
      <c r="AS424" s="11" t="s">
        <v>1664</v>
      </c>
      <c r="AT424" s="11" t="s">
        <v>1050</v>
      </c>
      <c r="AU424" s="11" t="s">
        <v>1663</v>
      </c>
      <c r="AV424" s="11" t="s">
        <v>1664</v>
      </c>
      <c r="AW424" s="12">
        <v>1</v>
      </c>
      <c r="AX424" s="12">
        <v>1</v>
      </c>
      <c r="AY424" s="12">
        <v>1</v>
      </c>
      <c r="AZ424" s="12">
        <v>1</v>
      </c>
      <c r="BA424" s="12">
        <v>2</v>
      </c>
      <c r="BB424" s="12">
        <v>1</v>
      </c>
      <c r="BC424" s="12">
        <v>1</v>
      </c>
      <c r="BD424" s="11" t="s">
        <v>1026</v>
      </c>
      <c r="BE424" s="11" t="s">
        <v>1051</v>
      </c>
    </row>
    <row r="425" spans="1:57" s="8" customFormat="1" ht="58" x14ac:dyDescent="0.35">
      <c r="A425" s="7" t="s">
        <v>694</v>
      </c>
      <c r="B425" s="7" t="s">
        <v>695</v>
      </c>
      <c r="C425" s="3" t="s">
        <v>733</v>
      </c>
      <c r="D425" s="3" t="s">
        <v>98</v>
      </c>
      <c r="E425" s="3"/>
      <c r="F425" s="3" t="s">
        <v>53</v>
      </c>
      <c r="G425" s="3" t="s">
        <v>50</v>
      </c>
      <c r="H425" s="4">
        <v>357</v>
      </c>
      <c r="I425" s="4">
        <v>300</v>
      </c>
      <c r="J425" s="3" t="s">
        <v>26</v>
      </c>
      <c r="K425" s="4" t="b">
        <v>0</v>
      </c>
      <c r="L425" s="6">
        <v>0.5</v>
      </c>
      <c r="M425" s="6">
        <v>0.5</v>
      </c>
      <c r="N425" s="3" t="s">
        <v>58</v>
      </c>
      <c r="O425" s="3" t="s">
        <v>99</v>
      </c>
      <c r="P425" s="3" t="s">
        <v>287</v>
      </c>
      <c r="Q425" s="3" t="s">
        <v>1660</v>
      </c>
      <c r="R425" s="3" t="s">
        <v>1074</v>
      </c>
      <c r="S425" s="3" t="s">
        <v>1006</v>
      </c>
      <c r="T425" s="3" t="s">
        <v>1007</v>
      </c>
      <c r="U425" s="11" t="s">
        <v>2425</v>
      </c>
      <c r="V425" s="11" t="s">
        <v>1064</v>
      </c>
      <c r="W425" s="11" t="s">
        <v>1065</v>
      </c>
      <c r="X425" s="13">
        <v>1</v>
      </c>
      <c r="Y425" s="12"/>
      <c r="Z425" s="11"/>
      <c r="AA425" s="11"/>
      <c r="AB425" s="11"/>
      <c r="AC425" s="11">
        <v>0</v>
      </c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 t="s">
        <v>1019</v>
      </c>
      <c r="AO425" s="11" t="s">
        <v>1662</v>
      </c>
      <c r="AP425" s="11" t="s">
        <v>1021</v>
      </c>
      <c r="AQ425" s="11" t="s">
        <v>1663</v>
      </c>
      <c r="AR425" s="11" t="s">
        <v>1048</v>
      </c>
      <c r="AS425" s="11" t="s">
        <v>1664</v>
      </c>
      <c r="AT425" s="11" t="s">
        <v>1050</v>
      </c>
      <c r="AU425" s="11" t="s">
        <v>1663</v>
      </c>
      <c r="AV425" s="11" t="s">
        <v>1664</v>
      </c>
      <c r="AW425" s="12">
        <v>1</v>
      </c>
      <c r="AX425" s="12">
        <v>1</v>
      </c>
      <c r="AY425" s="12">
        <v>1</v>
      </c>
      <c r="AZ425" s="12">
        <v>1</v>
      </c>
      <c r="BA425" s="12">
        <v>2</v>
      </c>
      <c r="BB425" s="12">
        <v>1</v>
      </c>
      <c r="BC425" s="12">
        <v>1</v>
      </c>
      <c r="BD425" s="11" t="s">
        <v>1026</v>
      </c>
      <c r="BE425" s="11" t="s">
        <v>1051</v>
      </c>
    </row>
    <row r="426" spans="1:57" s="8" customFormat="1" ht="58" x14ac:dyDescent="0.35">
      <c r="A426" s="7" t="s">
        <v>694</v>
      </c>
      <c r="B426" s="7" t="s">
        <v>695</v>
      </c>
      <c r="C426" s="3" t="s">
        <v>734</v>
      </c>
      <c r="D426" s="3" t="s">
        <v>57</v>
      </c>
      <c r="E426" s="3"/>
      <c r="F426" s="3" t="s">
        <v>53</v>
      </c>
      <c r="G426" s="3" t="s">
        <v>50</v>
      </c>
      <c r="H426" s="4">
        <v>540</v>
      </c>
      <c r="I426" s="4">
        <v>300</v>
      </c>
      <c r="J426" s="3" t="s">
        <v>26</v>
      </c>
      <c r="K426" s="4" t="b">
        <v>0</v>
      </c>
      <c r="L426" s="6">
        <v>0.33333333333333298</v>
      </c>
      <c r="M426" s="6">
        <v>0.33333333333333298</v>
      </c>
      <c r="N426" s="3" t="s">
        <v>58</v>
      </c>
      <c r="O426" s="3" t="s">
        <v>59</v>
      </c>
      <c r="P426" s="3" t="s">
        <v>735</v>
      </c>
      <c r="Q426" s="3" t="s">
        <v>2426</v>
      </c>
      <c r="R426" s="3" t="s">
        <v>1154</v>
      </c>
      <c r="S426" s="3" t="s">
        <v>1006</v>
      </c>
      <c r="T426" s="3" t="s">
        <v>1007</v>
      </c>
      <c r="U426" s="11" t="s">
        <v>2427</v>
      </c>
      <c r="V426" s="11" t="s">
        <v>1127</v>
      </c>
      <c r="W426" s="11" t="s">
        <v>1128</v>
      </c>
      <c r="X426" s="13">
        <v>1</v>
      </c>
      <c r="Y426" s="12"/>
      <c r="Z426" s="11"/>
      <c r="AA426" s="11"/>
      <c r="AB426" s="11"/>
      <c r="AC426" s="11">
        <v>0</v>
      </c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 t="s">
        <v>1019</v>
      </c>
      <c r="AO426" s="11" t="s">
        <v>1305</v>
      </c>
      <c r="AP426" s="11" t="s">
        <v>1021</v>
      </c>
      <c r="AQ426" s="11" t="s">
        <v>1306</v>
      </c>
      <c r="AR426" s="11" t="s">
        <v>1023</v>
      </c>
      <c r="AS426" s="11" t="s">
        <v>1307</v>
      </c>
      <c r="AT426" s="11" t="s">
        <v>1025</v>
      </c>
      <c r="AU426" s="11" t="s">
        <v>1306</v>
      </c>
      <c r="AV426" s="11" t="s">
        <v>1307</v>
      </c>
      <c r="AW426" s="12">
        <v>2</v>
      </c>
      <c r="AX426" s="12">
        <v>2</v>
      </c>
      <c r="AY426" s="12">
        <v>2</v>
      </c>
      <c r="AZ426" s="12">
        <v>2</v>
      </c>
      <c r="BA426" s="12">
        <v>4</v>
      </c>
      <c r="BB426" s="12">
        <v>2</v>
      </c>
      <c r="BC426" s="12">
        <v>1</v>
      </c>
      <c r="BD426" s="11" t="s">
        <v>1026</v>
      </c>
      <c r="BE426" s="11" t="s">
        <v>1027</v>
      </c>
    </row>
    <row r="427" spans="1:57" s="8" customFormat="1" ht="72.5" x14ac:dyDescent="0.35">
      <c r="A427" s="7" t="s">
        <v>694</v>
      </c>
      <c r="B427" s="7" t="s">
        <v>695</v>
      </c>
      <c r="C427" s="3" t="s">
        <v>736</v>
      </c>
      <c r="D427" s="3" t="s">
        <v>52</v>
      </c>
      <c r="E427" s="3"/>
      <c r="F427" s="3" t="s">
        <v>53</v>
      </c>
      <c r="G427" s="3" t="s">
        <v>50</v>
      </c>
      <c r="H427" s="4">
        <v>307</v>
      </c>
      <c r="I427" s="4">
        <v>500</v>
      </c>
      <c r="J427" s="3" t="s">
        <v>74</v>
      </c>
      <c r="K427" s="4" t="b">
        <v>0</v>
      </c>
      <c r="L427" s="6">
        <v>0.33333333333333298</v>
      </c>
      <c r="M427" s="6">
        <v>0.33333333333333298</v>
      </c>
      <c r="N427" s="3" t="s">
        <v>54</v>
      </c>
      <c r="O427" s="3" t="s">
        <v>55</v>
      </c>
      <c r="P427" s="3" t="s">
        <v>118</v>
      </c>
      <c r="Q427" s="3" t="s">
        <v>2428</v>
      </c>
      <c r="R427" s="3" t="s">
        <v>1074</v>
      </c>
      <c r="S427" s="3" t="s">
        <v>1006</v>
      </c>
      <c r="T427" s="3" t="s">
        <v>1007</v>
      </c>
      <c r="U427" s="11" t="s">
        <v>2429</v>
      </c>
      <c r="V427" s="11" t="s">
        <v>1031</v>
      </c>
      <c r="W427" s="11" t="s">
        <v>1032</v>
      </c>
      <c r="X427" s="13">
        <v>0.7</v>
      </c>
      <c r="Y427" s="12"/>
      <c r="Z427" s="11"/>
      <c r="AA427" s="11"/>
      <c r="AB427" s="11"/>
      <c r="AC427" s="11">
        <v>3</v>
      </c>
      <c r="AD427" s="11" t="s">
        <v>1076</v>
      </c>
      <c r="AE427" s="11" t="s">
        <v>2430</v>
      </c>
      <c r="AF427" s="11" t="s">
        <v>1014</v>
      </c>
      <c r="AG427" s="11" t="s">
        <v>1015</v>
      </c>
      <c r="AH427" s="11" t="s">
        <v>1078</v>
      </c>
      <c r="AI427" s="11" t="s">
        <v>1016</v>
      </c>
      <c r="AJ427" s="11"/>
      <c r="AK427" s="11" t="s">
        <v>1079</v>
      </c>
      <c r="AL427" s="11" t="s">
        <v>1017</v>
      </c>
      <c r="AM427" s="11" t="s">
        <v>1080</v>
      </c>
      <c r="AN427" s="11" t="s">
        <v>1019</v>
      </c>
      <c r="AO427" s="11" t="s">
        <v>1226</v>
      </c>
      <c r="AP427" s="11" t="s">
        <v>1114</v>
      </c>
      <c r="AQ427" s="11"/>
      <c r="AR427" s="11" t="s">
        <v>1034</v>
      </c>
      <c r="AS427" s="11"/>
      <c r="AT427" s="11" t="s">
        <v>1034</v>
      </c>
      <c r="AU427" s="11"/>
      <c r="AV427" s="11"/>
      <c r="AW427" s="12">
        <v>1</v>
      </c>
      <c r="AX427" s="12">
        <v>1</v>
      </c>
      <c r="AY427" s="12">
        <v>1</v>
      </c>
      <c r="AZ427" s="12"/>
      <c r="BA427" s="12"/>
      <c r="BB427" s="12"/>
      <c r="BC427" s="12"/>
      <c r="BD427" s="11" t="s">
        <v>1115</v>
      </c>
      <c r="BE427" s="11" t="s">
        <v>1116</v>
      </c>
    </row>
    <row r="428" spans="1:57" s="8" customFormat="1" ht="72.5" x14ac:dyDescent="0.35">
      <c r="A428" s="7" t="s">
        <v>694</v>
      </c>
      <c r="B428" s="7" t="s">
        <v>695</v>
      </c>
      <c r="C428" s="3" t="s">
        <v>736</v>
      </c>
      <c r="D428" s="3" t="s">
        <v>57</v>
      </c>
      <c r="E428" s="3"/>
      <c r="F428" s="3" t="s">
        <v>53</v>
      </c>
      <c r="G428" s="3" t="s">
        <v>50</v>
      </c>
      <c r="H428" s="4">
        <v>307</v>
      </c>
      <c r="I428" s="4">
        <v>300</v>
      </c>
      <c r="J428" s="3" t="s">
        <v>26</v>
      </c>
      <c r="K428" s="4" t="b">
        <v>0</v>
      </c>
      <c r="L428" s="6">
        <v>0.33333333333333298</v>
      </c>
      <c r="M428" s="6">
        <v>0.33333333333333298</v>
      </c>
      <c r="N428" s="3" t="s">
        <v>58</v>
      </c>
      <c r="O428" s="3" t="s">
        <v>59</v>
      </c>
      <c r="P428" s="3" t="s">
        <v>118</v>
      </c>
      <c r="Q428" s="3" t="s">
        <v>2428</v>
      </c>
      <c r="R428" s="3" t="s">
        <v>1074</v>
      </c>
      <c r="S428" s="3" t="s">
        <v>1006</v>
      </c>
      <c r="T428" s="3" t="s">
        <v>1007</v>
      </c>
      <c r="U428" s="11" t="s">
        <v>2429</v>
      </c>
      <c r="V428" s="11" t="s">
        <v>1031</v>
      </c>
      <c r="W428" s="11" t="s">
        <v>1032</v>
      </c>
      <c r="X428" s="13">
        <v>0.7</v>
      </c>
      <c r="Y428" s="12"/>
      <c r="Z428" s="11"/>
      <c r="AA428" s="11"/>
      <c r="AB428" s="11"/>
      <c r="AC428" s="11">
        <v>1</v>
      </c>
      <c r="AD428" s="11" t="s">
        <v>1227</v>
      </c>
      <c r="AE428" s="11" t="s">
        <v>1228</v>
      </c>
      <c r="AF428" s="11" t="s">
        <v>1014</v>
      </c>
      <c r="AG428" s="11" t="s">
        <v>1015</v>
      </c>
      <c r="AH428" s="11" t="s">
        <v>1078</v>
      </c>
      <c r="AI428" s="11" t="s">
        <v>1016</v>
      </c>
      <c r="AJ428" s="11"/>
      <c r="AK428" s="11" t="s">
        <v>1229</v>
      </c>
      <c r="AL428" s="11" t="s">
        <v>1017</v>
      </c>
      <c r="AM428" s="11" t="s">
        <v>1230</v>
      </c>
      <c r="AN428" s="11" t="s">
        <v>1019</v>
      </c>
      <c r="AO428" s="11" t="s">
        <v>1226</v>
      </c>
      <c r="AP428" s="11" t="s">
        <v>1114</v>
      </c>
      <c r="AQ428" s="11"/>
      <c r="AR428" s="11" t="s">
        <v>1034</v>
      </c>
      <c r="AS428" s="11"/>
      <c r="AT428" s="11" t="s">
        <v>1034</v>
      </c>
      <c r="AU428" s="11"/>
      <c r="AV428" s="11"/>
      <c r="AW428" s="12">
        <v>1</v>
      </c>
      <c r="AX428" s="12">
        <v>1</v>
      </c>
      <c r="AY428" s="12">
        <v>1</v>
      </c>
      <c r="AZ428" s="12"/>
      <c r="BA428" s="12"/>
      <c r="BB428" s="12"/>
      <c r="BC428" s="12"/>
      <c r="BD428" s="11" t="s">
        <v>1115</v>
      </c>
      <c r="BE428" s="11" t="s">
        <v>1116</v>
      </c>
    </row>
    <row r="429" spans="1:57" s="8" customFormat="1" ht="72.5" x14ac:dyDescent="0.35">
      <c r="A429" s="7" t="s">
        <v>694</v>
      </c>
      <c r="B429" s="7" t="s">
        <v>695</v>
      </c>
      <c r="C429" s="3" t="s">
        <v>736</v>
      </c>
      <c r="D429" s="3" t="s">
        <v>98</v>
      </c>
      <c r="E429" s="3"/>
      <c r="F429" s="3" t="s">
        <v>53</v>
      </c>
      <c r="G429" s="3" t="s">
        <v>50</v>
      </c>
      <c r="H429" s="4">
        <v>307</v>
      </c>
      <c r="I429" s="4">
        <v>300</v>
      </c>
      <c r="J429" s="3" t="s">
        <v>26</v>
      </c>
      <c r="K429" s="4" t="b">
        <v>0</v>
      </c>
      <c r="L429" s="6">
        <v>0.5</v>
      </c>
      <c r="M429" s="6">
        <v>0.5</v>
      </c>
      <c r="N429" s="3" t="s">
        <v>58</v>
      </c>
      <c r="O429" s="3" t="s">
        <v>99</v>
      </c>
      <c r="P429" s="3" t="s">
        <v>118</v>
      </c>
      <c r="Q429" s="3" t="s">
        <v>2428</v>
      </c>
      <c r="R429" s="3" t="s">
        <v>1074</v>
      </c>
      <c r="S429" s="3" t="s">
        <v>1006</v>
      </c>
      <c r="T429" s="3" t="s">
        <v>1007</v>
      </c>
      <c r="U429" s="11" t="s">
        <v>2429</v>
      </c>
      <c r="V429" s="11" t="s">
        <v>1031</v>
      </c>
      <c r="W429" s="11" t="s">
        <v>1032</v>
      </c>
      <c r="X429" s="13">
        <v>0.7</v>
      </c>
      <c r="Y429" s="12"/>
      <c r="Z429" s="11"/>
      <c r="AA429" s="11"/>
      <c r="AB429" s="11"/>
      <c r="AC429" s="11">
        <v>0</v>
      </c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 t="s">
        <v>1019</v>
      </c>
      <c r="AO429" s="11" t="s">
        <v>1226</v>
      </c>
      <c r="AP429" s="11" t="s">
        <v>1114</v>
      </c>
      <c r="AQ429" s="11"/>
      <c r="AR429" s="11" t="s">
        <v>1034</v>
      </c>
      <c r="AS429" s="11"/>
      <c r="AT429" s="11" t="s">
        <v>1034</v>
      </c>
      <c r="AU429" s="11"/>
      <c r="AV429" s="11"/>
      <c r="AW429" s="12">
        <v>1</v>
      </c>
      <c r="AX429" s="12">
        <v>1</v>
      </c>
      <c r="AY429" s="12">
        <v>1</v>
      </c>
      <c r="AZ429" s="12"/>
      <c r="BA429" s="12"/>
      <c r="BB429" s="12"/>
      <c r="BC429" s="12"/>
      <c r="BD429" s="11" t="s">
        <v>1115</v>
      </c>
      <c r="BE429" s="11" t="s">
        <v>1116</v>
      </c>
    </row>
    <row r="430" spans="1:57" s="8" customFormat="1" ht="58" x14ac:dyDescent="0.35">
      <c r="A430" s="7" t="s">
        <v>694</v>
      </c>
      <c r="B430" s="7" t="s">
        <v>695</v>
      </c>
      <c r="C430" s="3" t="s">
        <v>737</v>
      </c>
      <c r="D430" s="3" t="s">
        <v>30</v>
      </c>
      <c r="E430" s="3" t="s">
        <v>30</v>
      </c>
      <c r="F430" s="3" t="s">
        <v>31</v>
      </c>
      <c r="G430" s="3" t="s">
        <v>25</v>
      </c>
      <c r="H430" s="4">
        <v>409</v>
      </c>
      <c r="I430" s="4">
        <v>250</v>
      </c>
      <c r="J430" s="3" t="s">
        <v>26</v>
      </c>
      <c r="K430" s="4" t="b">
        <v>1</v>
      </c>
      <c r="L430" s="6">
        <v>1</v>
      </c>
      <c r="M430" s="6">
        <v>1</v>
      </c>
      <c r="N430" s="3" t="s">
        <v>32</v>
      </c>
      <c r="O430" s="3"/>
      <c r="P430" s="3" t="s">
        <v>307</v>
      </c>
      <c r="Q430" s="3" t="s">
        <v>1709</v>
      </c>
      <c r="R430" s="3" t="s">
        <v>1074</v>
      </c>
      <c r="S430" s="3" t="s">
        <v>1006</v>
      </c>
      <c r="T430" s="3" t="s">
        <v>1007</v>
      </c>
      <c r="U430" s="11" t="s">
        <v>2431</v>
      </c>
      <c r="V430" s="11" t="s">
        <v>1031</v>
      </c>
      <c r="W430" s="11" t="s">
        <v>1032</v>
      </c>
      <c r="X430" s="13">
        <v>0.7</v>
      </c>
      <c r="Y430" s="12"/>
      <c r="Z430" s="11"/>
      <c r="AA430" s="11"/>
      <c r="AB430" s="11"/>
      <c r="AC430" s="11">
        <v>0</v>
      </c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 t="s">
        <v>1019</v>
      </c>
      <c r="AO430" s="11" t="s">
        <v>1711</v>
      </c>
      <c r="AP430" s="11" t="s">
        <v>1021</v>
      </c>
      <c r="AQ430" s="11" t="s">
        <v>1712</v>
      </c>
      <c r="AR430" s="11" t="s">
        <v>1048</v>
      </c>
      <c r="AS430" s="11" t="s">
        <v>1713</v>
      </c>
      <c r="AT430" s="11" t="s">
        <v>1050</v>
      </c>
      <c r="AU430" s="11" t="s">
        <v>1712</v>
      </c>
      <c r="AV430" s="11" t="s">
        <v>1713</v>
      </c>
      <c r="AW430" s="12">
        <v>1</v>
      </c>
      <c r="AX430" s="12">
        <v>1</v>
      </c>
      <c r="AY430" s="12">
        <v>1</v>
      </c>
      <c r="AZ430" s="12">
        <v>1</v>
      </c>
      <c r="BA430" s="12">
        <v>2</v>
      </c>
      <c r="BB430" s="12">
        <v>1</v>
      </c>
      <c r="BC430" s="12">
        <v>1</v>
      </c>
      <c r="BD430" s="11" t="s">
        <v>1026</v>
      </c>
      <c r="BE430" s="11" t="s">
        <v>1051</v>
      </c>
    </row>
    <row r="431" spans="1:57" s="8" customFormat="1" ht="58" x14ac:dyDescent="0.35">
      <c r="A431" s="7" t="s">
        <v>694</v>
      </c>
      <c r="B431" s="7" t="s">
        <v>695</v>
      </c>
      <c r="C431" s="3" t="s">
        <v>738</v>
      </c>
      <c r="D431" s="3" t="s">
        <v>57</v>
      </c>
      <c r="E431" s="3"/>
      <c r="F431" s="3" t="s">
        <v>53</v>
      </c>
      <c r="G431" s="3" t="s">
        <v>50</v>
      </c>
      <c r="H431" s="4">
        <v>467</v>
      </c>
      <c r="I431" s="4">
        <v>300</v>
      </c>
      <c r="J431" s="3" t="s">
        <v>26</v>
      </c>
      <c r="K431" s="4" t="b">
        <v>0</v>
      </c>
      <c r="L431" s="6">
        <v>0.33333333333333298</v>
      </c>
      <c r="M431" s="6">
        <v>0.33333333333333298</v>
      </c>
      <c r="N431" s="3" t="s">
        <v>58</v>
      </c>
      <c r="O431" s="3" t="s">
        <v>59</v>
      </c>
      <c r="P431" s="3" t="s">
        <v>393</v>
      </c>
      <c r="Q431" s="3" t="s">
        <v>2432</v>
      </c>
      <c r="R431" s="3" t="s">
        <v>1029</v>
      </c>
      <c r="S431" s="3" t="s">
        <v>1006</v>
      </c>
      <c r="T431" s="3" t="s">
        <v>1007</v>
      </c>
      <c r="U431" s="11" t="s">
        <v>2433</v>
      </c>
      <c r="V431" s="11" t="s">
        <v>1064</v>
      </c>
      <c r="W431" s="11" t="s">
        <v>1065</v>
      </c>
      <c r="X431" s="13">
        <v>1</v>
      </c>
      <c r="Y431" s="12"/>
      <c r="Z431" s="11"/>
      <c r="AA431" s="11"/>
      <c r="AB431" s="11"/>
      <c r="AC431" s="11">
        <v>1</v>
      </c>
      <c r="AD431" s="11" t="s">
        <v>1227</v>
      </c>
      <c r="AE431" s="11" t="s">
        <v>1914</v>
      </c>
      <c r="AF431" s="11" t="s">
        <v>1014</v>
      </c>
      <c r="AG431" s="11" t="s">
        <v>1015</v>
      </c>
      <c r="AH431" s="11" t="s">
        <v>1078</v>
      </c>
      <c r="AI431" s="11" t="s">
        <v>1016</v>
      </c>
      <c r="AJ431" s="11"/>
      <c r="AK431" s="11" t="s">
        <v>1229</v>
      </c>
      <c r="AL431" s="11" t="s">
        <v>1017</v>
      </c>
      <c r="AM431" s="11" t="s">
        <v>1230</v>
      </c>
      <c r="AN431" s="11" t="s">
        <v>1019</v>
      </c>
      <c r="AO431" s="11" t="s">
        <v>1915</v>
      </c>
      <c r="AP431" s="11" t="s">
        <v>1021</v>
      </c>
      <c r="AQ431" s="11" t="s">
        <v>1916</v>
      </c>
      <c r="AR431" s="11" t="s">
        <v>1023</v>
      </c>
      <c r="AS431" s="11" t="s">
        <v>1917</v>
      </c>
      <c r="AT431" s="11" t="s">
        <v>1025</v>
      </c>
      <c r="AU431" s="11" t="s">
        <v>1916</v>
      </c>
      <c r="AV431" s="11" t="s">
        <v>1917</v>
      </c>
      <c r="AW431" s="12">
        <v>2</v>
      </c>
      <c r="AX431" s="12">
        <v>2</v>
      </c>
      <c r="AY431" s="12">
        <v>2</v>
      </c>
      <c r="AZ431" s="12">
        <v>2</v>
      </c>
      <c r="BA431" s="12">
        <v>4</v>
      </c>
      <c r="BB431" s="12">
        <v>2</v>
      </c>
      <c r="BC431" s="12">
        <v>1</v>
      </c>
      <c r="BD431" s="11" t="s">
        <v>1026</v>
      </c>
      <c r="BE431" s="11" t="s">
        <v>1027</v>
      </c>
    </row>
    <row r="432" spans="1:57" s="8" customFormat="1" ht="58" x14ac:dyDescent="0.35">
      <c r="A432" s="7" t="s">
        <v>694</v>
      </c>
      <c r="B432" s="7" t="s">
        <v>695</v>
      </c>
      <c r="C432" s="3" t="s">
        <v>739</v>
      </c>
      <c r="D432" s="3" t="s">
        <v>57</v>
      </c>
      <c r="E432" s="3"/>
      <c r="F432" s="3" t="s">
        <v>53</v>
      </c>
      <c r="G432" s="3" t="s">
        <v>50</v>
      </c>
      <c r="H432" s="4">
        <v>422</v>
      </c>
      <c r="I432" s="4">
        <v>300</v>
      </c>
      <c r="J432" s="3" t="s">
        <v>26</v>
      </c>
      <c r="K432" s="4" t="b">
        <v>0</v>
      </c>
      <c r="L432" s="6">
        <v>0.33333333333333298</v>
      </c>
      <c r="M432" s="6">
        <v>0.33333333333333298</v>
      </c>
      <c r="N432" s="3" t="s">
        <v>58</v>
      </c>
      <c r="O432" s="3" t="s">
        <v>59</v>
      </c>
      <c r="P432" s="3" t="s">
        <v>235</v>
      </c>
      <c r="Q432" s="3" t="s">
        <v>1510</v>
      </c>
      <c r="R432" s="3" t="s">
        <v>1029</v>
      </c>
      <c r="S432" s="3" t="s">
        <v>1006</v>
      </c>
      <c r="T432" s="3" t="s">
        <v>1007</v>
      </c>
      <c r="U432" s="11" t="s">
        <v>2434</v>
      </c>
      <c r="V432" s="11" t="s">
        <v>1064</v>
      </c>
      <c r="W432" s="11" t="s">
        <v>1065</v>
      </c>
      <c r="X432" s="13">
        <v>1</v>
      </c>
      <c r="Y432" s="12"/>
      <c r="Z432" s="11"/>
      <c r="AA432" s="11"/>
      <c r="AB432" s="11"/>
      <c r="AC432" s="11">
        <v>0</v>
      </c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 t="s">
        <v>1019</v>
      </c>
      <c r="AO432" s="11" t="s">
        <v>1512</v>
      </c>
      <c r="AP432" s="11" t="s">
        <v>1021</v>
      </c>
      <c r="AQ432" s="11" t="s">
        <v>1513</v>
      </c>
      <c r="AR432" s="11" t="s">
        <v>1048</v>
      </c>
      <c r="AS432" s="11" t="s">
        <v>1514</v>
      </c>
      <c r="AT432" s="11" t="s">
        <v>1025</v>
      </c>
      <c r="AU432" s="11" t="s">
        <v>1515</v>
      </c>
      <c r="AV432" s="11" t="s">
        <v>1514</v>
      </c>
      <c r="AW432" s="12">
        <v>2</v>
      </c>
      <c r="AX432" s="12">
        <v>2</v>
      </c>
      <c r="AY432" s="12">
        <v>2</v>
      </c>
      <c r="AZ432" s="12">
        <v>1</v>
      </c>
      <c r="BA432" s="12">
        <v>2</v>
      </c>
      <c r="BB432" s="12">
        <v>2</v>
      </c>
      <c r="BC432" s="12">
        <v>1</v>
      </c>
      <c r="BD432" s="11" t="s">
        <v>1026</v>
      </c>
      <c r="BE432" s="11" t="s">
        <v>1027</v>
      </c>
    </row>
    <row r="433" spans="1:57" s="8" customFormat="1" ht="58" x14ac:dyDescent="0.35">
      <c r="A433" s="7" t="s">
        <v>694</v>
      </c>
      <c r="B433" s="7" t="s">
        <v>695</v>
      </c>
      <c r="C433" s="3" t="s">
        <v>740</v>
      </c>
      <c r="D433" s="3" t="s">
        <v>57</v>
      </c>
      <c r="E433" s="3"/>
      <c r="F433" s="3" t="s">
        <v>53</v>
      </c>
      <c r="G433" s="3" t="s">
        <v>50</v>
      </c>
      <c r="H433" s="4">
        <v>636</v>
      </c>
      <c r="I433" s="4">
        <v>300</v>
      </c>
      <c r="J433" s="3" t="s">
        <v>26</v>
      </c>
      <c r="K433" s="4" t="b">
        <v>0</v>
      </c>
      <c r="L433" s="6">
        <v>0.33333333333333298</v>
      </c>
      <c r="M433" s="6">
        <v>0.33333333333333298</v>
      </c>
      <c r="N433" s="3" t="s">
        <v>58</v>
      </c>
      <c r="O433" s="3" t="s">
        <v>59</v>
      </c>
      <c r="P433" s="3" t="s">
        <v>741</v>
      </c>
      <c r="Q433" s="3" t="s">
        <v>2435</v>
      </c>
      <c r="R433" s="3" t="s">
        <v>1154</v>
      </c>
      <c r="S433" s="3" t="s">
        <v>1006</v>
      </c>
      <c r="T433" s="3" t="s">
        <v>1007</v>
      </c>
      <c r="U433" s="11" t="s">
        <v>2436</v>
      </c>
      <c r="V433" s="11" t="s">
        <v>1064</v>
      </c>
      <c r="W433" s="11" t="s">
        <v>1065</v>
      </c>
      <c r="X433" s="13">
        <v>1</v>
      </c>
      <c r="Y433" s="12"/>
      <c r="Z433" s="11"/>
      <c r="AA433" s="11"/>
      <c r="AB433" s="11"/>
      <c r="AC433" s="11">
        <v>0</v>
      </c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 t="s">
        <v>1019</v>
      </c>
      <c r="AO433" s="11" t="s">
        <v>2164</v>
      </c>
      <c r="AP433" s="11" t="s">
        <v>1021</v>
      </c>
      <c r="AQ433" s="11" t="s">
        <v>2165</v>
      </c>
      <c r="AR433" s="11" t="s">
        <v>1025</v>
      </c>
      <c r="AS433" s="11" t="s">
        <v>2166</v>
      </c>
      <c r="AT433" s="11" t="s">
        <v>1025</v>
      </c>
      <c r="AU433" s="11" t="s">
        <v>2165</v>
      </c>
      <c r="AV433" s="11" t="s">
        <v>2166</v>
      </c>
      <c r="AW433" s="12">
        <v>4</v>
      </c>
      <c r="AX433" s="12">
        <v>5</v>
      </c>
      <c r="AY433" s="12">
        <v>5</v>
      </c>
      <c r="AZ433" s="12">
        <v>5</v>
      </c>
      <c r="BA433" s="12">
        <v>1</v>
      </c>
      <c r="BB433" s="12">
        <v>5</v>
      </c>
      <c r="BC433" s="12">
        <v>1</v>
      </c>
      <c r="BD433" s="11" t="s">
        <v>1026</v>
      </c>
      <c r="BE433" s="11" t="s">
        <v>1027</v>
      </c>
    </row>
    <row r="434" spans="1:57" s="8" customFormat="1" ht="87" x14ac:dyDescent="0.35">
      <c r="A434" s="7" t="s">
        <v>694</v>
      </c>
      <c r="B434" s="7" t="s">
        <v>695</v>
      </c>
      <c r="C434" s="3" t="s">
        <v>742</v>
      </c>
      <c r="D434" s="3" t="s">
        <v>130</v>
      </c>
      <c r="E434" s="3" t="s">
        <v>130</v>
      </c>
      <c r="F434" s="3" t="s">
        <v>24</v>
      </c>
      <c r="G434" s="3" t="s">
        <v>25</v>
      </c>
      <c r="H434" s="4">
        <v>1142</v>
      </c>
      <c r="I434" s="4">
        <v>400</v>
      </c>
      <c r="J434" s="3" t="s">
        <v>26</v>
      </c>
      <c r="K434" s="4" t="b">
        <v>1</v>
      </c>
      <c r="L434" s="6">
        <v>1</v>
      </c>
      <c r="M434" s="6">
        <v>1</v>
      </c>
      <c r="N434" s="3" t="s">
        <v>131</v>
      </c>
      <c r="O434" s="3"/>
      <c r="P434" s="3" t="s">
        <v>743</v>
      </c>
      <c r="Q434" s="3" t="s">
        <v>2437</v>
      </c>
      <c r="R434" s="3" t="s">
        <v>1029</v>
      </c>
      <c r="S434" s="3" t="s">
        <v>1006</v>
      </c>
      <c r="T434" s="3" t="s">
        <v>1435</v>
      </c>
      <c r="U434" s="11" t="s">
        <v>2438</v>
      </c>
      <c r="V434" s="11" t="s">
        <v>1031</v>
      </c>
      <c r="W434" s="11" t="s">
        <v>1032</v>
      </c>
      <c r="X434" s="13">
        <v>0.7</v>
      </c>
      <c r="Y434" s="12"/>
      <c r="Z434" s="11"/>
      <c r="AA434" s="11"/>
      <c r="AB434" s="11"/>
      <c r="AC434" s="11">
        <v>0</v>
      </c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 t="s">
        <v>1019</v>
      </c>
      <c r="AO434" s="11" t="s">
        <v>1821</v>
      </c>
      <c r="AP434" s="11" t="s">
        <v>1114</v>
      </c>
      <c r="AQ434" s="11"/>
      <c r="AR434" s="11" t="s">
        <v>1034</v>
      </c>
      <c r="AS434" s="11"/>
      <c r="AT434" s="11" t="s">
        <v>1034</v>
      </c>
      <c r="AU434" s="11"/>
      <c r="AV434" s="11"/>
      <c r="AW434" s="12">
        <v>1</v>
      </c>
      <c r="AX434" s="12">
        <v>1</v>
      </c>
      <c r="AY434" s="12">
        <v>1</v>
      </c>
      <c r="AZ434" s="12"/>
      <c r="BA434" s="12"/>
      <c r="BB434" s="12"/>
      <c r="BC434" s="12"/>
      <c r="BD434" s="11" t="s">
        <v>1115</v>
      </c>
      <c r="BE434" s="11" t="s">
        <v>1116</v>
      </c>
    </row>
    <row r="435" spans="1:57" s="8" customFormat="1" ht="58" x14ac:dyDescent="0.35">
      <c r="A435" s="7" t="s">
        <v>694</v>
      </c>
      <c r="B435" s="7" t="s">
        <v>695</v>
      </c>
      <c r="C435" s="3" t="s">
        <v>744</v>
      </c>
      <c r="D435" s="3" t="s">
        <v>30</v>
      </c>
      <c r="E435" s="3" t="s">
        <v>30</v>
      </c>
      <c r="F435" s="3" t="s">
        <v>31</v>
      </c>
      <c r="G435" s="3" t="s">
        <v>25</v>
      </c>
      <c r="H435" s="4">
        <v>375</v>
      </c>
      <c r="I435" s="4">
        <v>250</v>
      </c>
      <c r="J435" s="3" t="s">
        <v>26</v>
      </c>
      <c r="K435" s="4" t="b">
        <v>1</v>
      </c>
      <c r="L435" s="6">
        <v>1</v>
      </c>
      <c r="M435" s="6">
        <v>1</v>
      </c>
      <c r="N435" s="3" t="s">
        <v>32</v>
      </c>
      <c r="O435" s="3"/>
      <c r="P435" s="3" t="s">
        <v>188</v>
      </c>
      <c r="Q435" s="3" t="s">
        <v>1387</v>
      </c>
      <c r="R435" s="3" t="s">
        <v>1074</v>
      </c>
      <c r="S435" s="3" t="s">
        <v>1006</v>
      </c>
      <c r="T435" s="3" t="s">
        <v>1007</v>
      </c>
      <c r="U435" s="11" t="s">
        <v>2439</v>
      </c>
      <c r="V435" s="11" t="s">
        <v>1031</v>
      </c>
      <c r="W435" s="11" t="s">
        <v>1032</v>
      </c>
      <c r="X435" s="13">
        <v>1</v>
      </c>
      <c r="Y435" s="12"/>
      <c r="Z435" s="11"/>
      <c r="AA435" s="11"/>
      <c r="AB435" s="11"/>
      <c r="AC435" s="11">
        <v>0</v>
      </c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 t="s">
        <v>1019</v>
      </c>
      <c r="AO435" s="11" t="s">
        <v>1389</v>
      </c>
      <c r="AP435" s="11" t="s">
        <v>1021</v>
      </c>
      <c r="AQ435" s="11" t="s">
        <v>1390</v>
      </c>
      <c r="AR435" s="11" t="s">
        <v>1048</v>
      </c>
      <c r="AS435" s="11" t="s">
        <v>1391</v>
      </c>
      <c r="AT435" s="11" t="s">
        <v>1050</v>
      </c>
      <c r="AU435" s="11" t="s">
        <v>1390</v>
      </c>
      <c r="AV435" s="11" t="s">
        <v>1391</v>
      </c>
      <c r="AW435" s="12">
        <v>1</v>
      </c>
      <c r="AX435" s="12">
        <v>1</v>
      </c>
      <c r="AY435" s="12">
        <v>1</v>
      </c>
      <c r="AZ435" s="12">
        <v>1</v>
      </c>
      <c r="BA435" s="12">
        <v>2</v>
      </c>
      <c r="BB435" s="12">
        <v>1</v>
      </c>
      <c r="BC435" s="12">
        <v>1</v>
      </c>
      <c r="BD435" s="11" t="s">
        <v>1026</v>
      </c>
      <c r="BE435" s="11" t="s">
        <v>1051</v>
      </c>
    </row>
    <row r="436" spans="1:57" s="8" customFormat="1" ht="58" x14ac:dyDescent="0.35">
      <c r="A436" s="7" t="s">
        <v>694</v>
      </c>
      <c r="B436" s="7" t="s">
        <v>695</v>
      </c>
      <c r="C436" s="3" t="s">
        <v>745</v>
      </c>
      <c r="D436" s="3" t="s">
        <v>57</v>
      </c>
      <c r="E436" s="3"/>
      <c r="F436" s="3" t="s">
        <v>53</v>
      </c>
      <c r="G436" s="3" t="s">
        <v>50</v>
      </c>
      <c r="H436" s="4">
        <v>296</v>
      </c>
      <c r="I436" s="4">
        <v>300</v>
      </c>
      <c r="J436" s="3" t="s">
        <v>74</v>
      </c>
      <c r="K436" s="4" t="b">
        <v>0</v>
      </c>
      <c r="L436" s="6">
        <v>0.33333333333333298</v>
      </c>
      <c r="M436" s="6">
        <v>0.33333333333333298</v>
      </c>
      <c r="N436" s="3" t="s">
        <v>58</v>
      </c>
      <c r="O436" s="3" t="s">
        <v>59</v>
      </c>
      <c r="P436" s="3" t="s">
        <v>321</v>
      </c>
      <c r="Q436" s="3" t="s">
        <v>1742</v>
      </c>
      <c r="R436" s="3" t="s">
        <v>1074</v>
      </c>
      <c r="S436" s="3" t="s">
        <v>1006</v>
      </c>
      <c r="T436" s="3" t="s">
        <v>1007</v>
      </c>
      <c r="U436" s="11" t="s">
        <v>2440</v>
      </c>
      <c r="V436" s="11" t="s">
        <v>1031</v>
      </c>
      <c r="W436" s="11" t="s">
        <v>1032</v>
      </c>
      <c r="X436" s="13">
        <v>0.7</v>
      </c>
      <c r="Y436" s="12"/>
      <c r="Z436" s="11"/>
      <c r="AA436" s="11"/>
      <c r="AB436" s="11"/>
      <c r="AC436" s="11">
        <v>0</v>
      </c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 t="s">
        <v>1019</v>
      </c>
      <c r="AO436" s="11" t="s">
        <v>1744</v>
      </c>
      <c r="AP436" s="11" t="s">
        <v>1021</v>
      </c>
      <c r="AQ436" s="11" t="s">
        <v>1745</v>
      </c>
      <c r="AR436" s="11" t="s">
        <v>1048</v>
      </c>
      <c r="AS436" s="11" t="s">
        <v>1746</v>
      </c>
      <c r="AT436" s="11" t="s">
        <v>1050</v>
      </c>
      <c r="AU436" s="11" t="s">
        <v>1745</v>
      </c>
      <c r="AV436" s="11" t="s">
        <v>1746</v>
      </c>
      <c r="AW436" s="12">
        <v>1</v>
      </c>
      <c r="AX436" s="12">
        <v>1</v>
      </c>
      <c r="AY436" s="12">
        <v>1</v>
      </c>
      <c r="AZ436" s="12">
        <v>1</v>
      </c>
      <c r="BA436" s="12">
        <v>3</v>
      </c>
      <c r="BB436" s="12">
        <v>1</v>
      </c>
      <c r="BC436" s="12">
        <v>1</v>
      </c>
      <c r="BD436" s="11" t="s">
        <v>1026</v>
      </c>
      <c r="BE436" s="11" t="s">
        <v>1051</v>
      </c>
    </row>
    <row r="437" spans="1:57" s="8" customFormat="1" ht="72.5" x14ac:dyDescent="0.35">
      <c r="A437" s="7" t="s">
        <v>694</v>
      </c>
      <c r="B437" s="7" t="s">
        <v>695</v>
      </c>
      <c r="C437" s="3" t="s">
        <v>746</v>
      </c>
      <c r="D437" s="3" t="s">
        <v>57</v>
      </c>
      <c r="E437" s="3"/>
      <c r="F437" s="3" t="s">
        <v>53</v>
      </c>
      <c r="G437" s="3" t="s">
        <v>50</v>
      </c>
      <c r="H437" s="4">
        <v>336</v>
      </c>
      <c r="I437" s="4">
        <v>300</v>
      </c>
      <c r="J437" s="3" t="s">
        <v>26</v>
      </c>
      <c r="K437" s="4" t="b">
        <v>0</v>
      </c>
      <c r="L437" s="6">
        <v>0.33333333333333298</v>
      </c>
      <c r="M437" s="6">
        <v>0.33333333333333298</v>
      </c>
      <c r="N437" s="3" t="s">
        <v>58</v>
      </c>
      <c r="O437" s="3" t="s">
        <v>59</v>
      </c>
      <c r="P437" s="3" t="s">
        <v>126</v>
      </c>
      <c r="Q437" s="3" t="s">
        <v>1246</v>
      </c>
      <c r="R437" s="3" t="s">
        <v>1074</v>
      </c>
      <c r="S437" s="3" t="s">
        <v>1006</v>
      </c>
      <c r="T437" s="3" t="s">
        <v>1007</v>
      </c>
      <c r="U437" s="11" t="s">
        <v>2441</v>
      </c>
      <c r="V437" s="11" t="s">
        <v>1064</v>
      </c>
      <c r="W437" s="11" t="s">
        <v>1065</v>
      </c>
      <c r="X437" s="13">
        <v>1</v>
      </c>
      <c r="Y437" s="12"/>
      <c r="Z437" s="11"/>
      <c r="AA437" s="11"/>
      <c r="AB437" s="11"/>
      <c r="AC437" s="11">
        <v>0</v>
      </c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 t="s">
        <v>1019</v>
      </c>
      <c r="AO437" s="11" t="s">
        <v>1248</v>
      </c>
      <c r="AP437" s="11" t="s">
        <v>1114</v>
      </c>
      <c r="AQ437" s="11"/>
      <c r="AR437" s="11" t="s">
        <v>1034</v>
      </c>
      <c r="AS437" s="11"/>
      <c r="AT437" s="11" t="s">
        <v>1034</v>
      </c>
      <c r="AU437" s="11"/>
      <c r="AV437" s="11"/>
      <c r="AW437" s="12">
        <v>1</v>
      </c>
      <c r="AX437" s="12">
        <v>1</v>
      </c>
      <c r="AY437" s="12">
        <v>1</v>
      </c>
      <c r="AZ437" s="12"/>
      <c r="BA437" s="12"/>
      <c r="BB437" s="12"/>
      <c r="BC437" s="12"/>
      <c r="BD437" s="11" t="s">
        <v>1115</v>
      </c>
      <c r="BE437" s="11" t="s">
        <v>1116</v>
      </c>
    </row>
    <row r="438" spans="1:57" s="8" customFormat="1" ht="72.5" x14ac:dyDescent="0.35">
      <c r="A438" s="7" t="s">
        <v>694</v>
      </c>
      <c r="B438" s="7" t="s">
        <v>695</v>
      </c>
      <c r="C438" s="3" t="s">
        <v>747</v>
      </c>
      <c r="D438" s="3" t="s">
        <v>57</v>
      </c>
      <c r="E438" s="3"/>
      <c r="F438" s="3" t="s">
        <v>53</v>
      </c>
      <c r="G438" s="3" t="s">
        <v>50</v>
      </c>
      <c r="H438" s="4">
        <v>328</v>
      </c>
      <c r="I438" s="4">
        <v>300</v>
      </c>
      <c r="J438" s="3" t="s">
        <v>26</v>
      </c>
      <c r="K438" s="4" t="b">
        <v>0</v>
      </c>
      <c r="L438" s="6">
        <v>0.33333333333333298</v>
      </c>
      <c r="M438" s="6">
        <v>0.33333333333333298</v>
      </c>
      <c r="N438" s="3" t="s">
        <v>58</v>
      </c>
      <c r="O438" s="3" t="s">
        <v>59</v>
      </c>
      <c r="P438" s="3" t="s">
        <v>748</v>
      </c>
      <c r="Q438" s="3" t="s">
        <v>1249</v>
      </c>
      <c r="R438" s="3" t="s">
        <v>1074</v>
      </c>
      <c r="S438" s="3" t="s">
        <v>1006</v>
      </c>
      <c r="T438" s="3" t="s">
        <v>1007</v>
      </c>
      <c r="U438" s="11" t="s">
        <v>2442</v>
      </c>
      <c r="V438" s="11" t="s">
        <v>1064</v>
      </c>
      <c r="W438" s="11" t="s">
        <v>1065</v>
      </c>
      <c r="X438" s="13">
        <v>1</v>
      </c>
      <c r="Y438" s="12"/>
      <c r="Z438" s="11"/>
      <c r="AA438" s="11"/>
      <c r="AB438" s="11"/>
      <c r="AC438" s="11">
        <v>0</v>
      </c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 t="s">
        <v>1019</v>
      </c>
      <c r="AO438" s="11" t="s">
        <v>1251</v>
      </c>
      <c r="AP438" s="11" t="s">
        <v>1114</v>
      </c>
      <c r="AQ438" s="11"/>
      <c r="AR438" s="11" t="s">
        <v>1034</v>
      </c>
      <c r="AS438" s="11"/>
      <c r="AT438" s="11" t="s">
        <v>1034</v>
      </c>
      <c r="AU438" s="11"/>
      <c r="AV438" s="11"/>
      <c r="AW438" s="12">
        <v>1</v>
      </c>
      <c r="AX438" s="12">
        <v>1</v>
      </c>
      <c r="AY438" s="12">
        <v>1</v>
      </c>
      <c r="AZ438" s="12"/>
      <c r="BA438" s="12"/>
      <c r="BB438" s="12"/>
      <c r="BC438" s="12"/>
      <c r="BD438" s="11" t="s">
        <v>1115</v>
      </c>
      <c r="BE438" s="11" t="s">
        <v>1116</v>
      </c>
    </row>
    <row r="439" spans="1:57" s="8" customFormat="1" ht="43.5" x14ac:dyDescent="0.35">
      <c r="A439" s="7" t="s">
        <v>694</v>
      </c>
      <c r="B439" s="7" t="s">
        <v>695</v>
      </c>
      <c r="C439" s="3" t="s">
        <v>749</v>
      </c>
      <c r="D439" s="3" t="s">
        <v>57</v>
      </c>
      <c r="E439" s="3"/>
      <c r="F439" s="3" t="s">
        <v>53</v>
      </c>
      <c r="G439" s="3" t="s">
        <v>50</v>
      </c>
      <c r="H439" s="4">
        <v>545</v>
      </c>
      <c r="I439" s="4">
        <v>300</v>
      </c>
      <c r="J439" s="3" t="s">
        <v>26</v>
      </c>
      <c r="K439" s="4" t="b">
        <v>0</v>
      </c>
      <c r="L439" s="6">
        <v>0.33333333333333298</v>
      </c>
      <c r="M439" s="6">
        <v>0.33333333333333298</v>
      </c>
      <c r="N439" s="3" t="s">
        <v>58</v>
      </c>
      <c r="O439" s="3" t="s">
        <v>59</v>
      </c>
      <c r="P439" s="3" t="s">
        <v>750</v>
      </c>
      <c r="Q439" s="3" t="s">
        <v>1392</v>
      </c>
      <c r="R439" s="3" t="s">
        <v>1074</v>
      </c>
      <c r="S439" s="3" t="s">
        <v>1006</v>
      </c>
      <c r="T439" s="3" t="s">
        <v>1393</v>
      </c>
      <c r="U439" s="11" t="s">
        <v>2443</v>
      </c>
      <c r="V439" s="11" t="s">
        <v>1031</v>
      </c>
      <c r="W439" s="11" t="s">
        <v>1032</v>
      </c>
      <c r="X439" s="13">
        <v>0.7</v>
      </c>
      <c r="Y439" s="12"/>
      <c r="Z439" s="11"/>
      <c r="AA439" s="11"/>
      <c r="AB439" s="11"/>
      <c r="AC439" s="11">
        <v>0</v>
      </c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 t="s">
        <v>1019</v>
      </c>
      <c r="AO439" s="11" t="s">
        <v>1399</v>
      </c>
      <c r="AP439" s="11" t="s">
        <v>1021</v>
      </c>
      <c r="AQ439" s="11" t="s">
        <v>1400</v>
      </c>
      <c r="AR439" s="11" t="s">
        <v>1050</v>
      </c>
      <c r="AS439" s="11" t="s">
        <v>1401</v>
      </c>
      <c r="AT439" s="11" t="s">
        <v>1050</v>
      </c>
      <c r="AU439" s="11" t="s">
        <v>1400</v>
      </c>
      <c r="AV439" s="11" t="s">
        <v>1401</v>
      </c>
      <c r="AW439" s="12">
        <v>1</v>
      </c>
      <c r="AX439" s="12">
        <v>1</v>
      </c>
      <c r="AY439" s="12">
        <v>1</v>
      </c>
      <c r="AZ439" s="12">
        <v>1</v>
      </c>
      <c r="BA439" s="12">
        <v>1</v>
      </c>
      <c r="BB439" s="12">
        <v>1</v>
      </c>
      <c r="BC439" s="12">
        <v>1</v>
      </c>
      <c r="BD439" s="11" t="s">
        <v>1026</v>
      </c>
      <c r="BE439" s="11" t="s">
        <v>1103</v>
      </c>
    </row>
    <row r="440" spans="1:57" s="8" customFormat="1" ht="72.5" x14ac:dyDescent="0.35">
      <c r="A440" s="7" t="s">
        <v>694</v>
      </c>
      <c r="B440" s="7" t="s">
        <v>695</v>
      </c>
      <c r="C440" s="3" t="s">
        <v>751</v>
      </c>
      <c r="D440" s="3" t="s">
        <v>57</v>
      </c>
      <c r="E440" s="3"/>
      <c r="F440" s="3" t="s">
        <v>53</v>
      </c>
      <c r="G440" s="3" t="s">
        <v>50</v>
      </c>
      <c r="H440" s="4">
        <v>571</v>
      </c>
      <c r="I440" s="4">
        <v>300</v>
      </c>
      <c r="J440" s="3" t="s">
        <v>26</v>
      </c>
      <c r="K440" s="4" t="b">
        <v>0</v>
      </c>
      <c r="L440" s="6">
        <v>0.33333333333333298</v>
      </c>
      <c r="M440" s="6">
        <v>0.33333333333333298</v>
      </c>
      <c r="N440" s="3" t="s">
        <v>58</v>
      </c>
      <c r="O440" s="3" t="s">
        <v>59</v>
      </c>
      <c r="P440" s="3" t="s">
        <v>752</v>
      </c>
      <c r="Q440" s="3" t="s">
        <v>1366</v>
      </c>
      <c r="R440" s="3" t="s">
        <v>1074</v>
      </c>
      <c r="S440" s="3" t="s">
        <v>1006</v>
      </c>
      <c r="T440" s="3" t="s">
        <v>1007</v>
      </c>
      <c r="U440" s="11" t="s">
        <v>2444</v>
      </c>
      <c r="V440" s="11" t="s">
        <v>1031</v>
      </c>
      <c r="W440" s="11" t="s">
        <v>1032</v>
      </c>
      <c r="X440" s="13">
        <v>0.7</v>
      </c>
      <c r="Y440" s="12"/>
      <c r="Z440" s="11"/>
      <c r="AA440" s="11"/>
      <c r="AB440" s="11"/>
      <c r="AC440" s="11">
        <v>0</v>
      </c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 t="s">
        <v>1019</v>
      </c>
      <c r="AO440" s="11" t="s">
        <v>1369</v>
      </c>
      <c r="AP440" s="11" t="s">
        <v>1114</v>
      </c>
      <c r="AQ440" s="11"/>
      <c r="AR440" s="11" t="s">
        <v>1034</v>
      </c>
      <c r="AS440" s="11"/>
      <c r="AT440" s="11" t="s">
        <v>1034</v>
      </c>
      <c r="AU440" s="11"/>
      <c r="AV440" s="11"/>
      <c r="AW440" s="12">
        <v>1</v>
      </c>
      <c r="AX440" s="12">
        <v>1</v>
      </c>
      <c r="AY440" s="12">
        <v>1</v>
      </c>
      <c r="AZ440" s="12"/>
      <c r="BA440" s="12"/>
      <c r="BB440" s="12"/>
      <c r="BC440" s="12"/>
      <c r="BD440" s="11" t="s">
        <v>1115</v>
      </c>
      <c r="BE440" s="11" t="s">
        <v>1116</v>
      </c>
    </row>
    <row r="441" spans="1:57" s="8" customFormat="1" ht="72.5" x14ac:dyDescent="0.35">
      <c r="A441" s="7" t="s">
        <v>694</v>
      </c>
      <c r="B441" s="7" t="s">
        <v>695</v>
      </c>
      <c r="C441" s="3" t="s">
        <v>753</v>
      </c>
      <c r="D441" s="3" t="s">
        <v>30</v>
      </c>
      <c r="E441" s="3" t="s">
        <v>30</v>
      </c>
      <c r="F441" s="3" t="s">
        <v>31</v>
      </c>
      <c r="G441" s="3" t="s">
        <v>25</v>
      </c>
      <c r="H441" s="4">
        <v>372</v>
      </c>
      <c r="I441" s="4">
        <v>250</v>
      </c>
      <c r="J441" s="3" t="s">
        <v>26</v>
      </c>
      <c r="K441" s="4" t="b">
        <v>1</v>
      </c>
      <c r="L441" s="6">
        <v>1</v>
      </c>
      <c r="M441" s="6">
        <v>1</v>
      </c>
      <c r="N441" s="3" t="s">
        <v>32</v>
      </c>
      <c r="O441" s="3"/>
      <c r="P441" s="3" t="s">
        <v>315</v>
      </c>
      <c r="Q441" s="3" t="s">
        <v>1729</v>
      </c>
      <c r="R441" s="3" t="s">
        <v>1074</v>
      </c>
      <c r="S441" s="3" t="s">
        <v>1006</v>
      </c>
      <c r="T441" s="3" t="s">
        <v>1007</v>
      </c>
      <c r="U441" s="11" t="s">
        <v>2445</v>
      </c>
      <c r="V441" s="11" t="s">
        <v>1031</v>
      </c>
      <c r="W441" s="11" t="s">
        <v>1032</v>
      </c>
      <c r="X441" s="13">
        <v>0.85</v>
      </c>
      <c r="Y441" s="12"/>
      <c r="Z441" s="11"/>
      <c r="AA441" s="11"/>
      <c r="AB441" s="11"/>
      <c r="AC441" s="11">
        <v>0</v>
      </c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 t="s">
        <v>1019</v>
      </c>
      <c r="AO441" s="11" t="s">
        <v>1731</v>
      </c>
      <c r="AP441" s="11" t="s">
        <v>1114</v>
      </c>
      <c r="AQ441" s="11"/>
      <c r="AR441" s="11" t="s">
        <v>1034</v>
      </c>
      <c r="AS441" s="11"/>
      <c r="AT441" s="11" t="s">
        <v>1034</v>
      </c>
      <c r="AU441" s="11"/>
      <c r="AV441" s="11"/>
      <c r="AW441" s="12">
        <v>1</v>
      </c>
      <c r="AX441" s="12">
        <v>1</v>
      </c>
      <c r="AY441" s="12">
        <v>1</v>
      </c>
      <c r="AZ441" s="12"/>
      <c r="BA441" s="12"/>
      <c r="BB441" s="12"/>
      <c r="BC441" s="12"/>
      <c r="BD441" s="11" t="s">
        <v>1115</v>
      </c>
      <c r="BE441" s="11" t="s">
        <v>1116</v>
      </c>
    </row>
    <row r="442" spans="1:57" s="8" customFormat="1" ht="58" x14ac:dyDescent="0.35">
      <c r="A442" s="7" t="s">
        <v>694</v>
      </c>
      <c r="B442" s="7" t="s">
        <v>695</v>
      </c>
      <c r="C442" s="3" t="s">
        <v>754</v>
      </c>
      <c r="D442" s="3" t="s">
        <v>30</v>
      </c>
      <c r="E442" s="3" t="s">
        <v>30</v>
      </c>
      <c r="F442" s="3" t="s">
        <v>31</v>
      </c>
      <c r="G442" s="3" t="s">
        <v>25</v>
      </c>
      <c r="H442" s="4">
        <v>380</v>
      </c>
      <c r="I442" s="4">
        <v>250</v>
      </c>
      <c r="J442" s="3" t="s">
        <v>26</v>
      </c>
      <c r="K442" s="4" t="b">
        <v>1</v>
      </c>
      <c r="L442" s="6">
        <v>1</v>
      </c>
      <c r="M442" s="6">
        <v>1</v>
      </c>
      <c r="N442" s="3" t="s">
        <v>32</v>
      </c>
      <c r="O442" s="3"/>
      <c r="P442" s="3" t="s">
        <v>313</v>
      </c>
      <c r="Q442" s="3" t="s">
        <v>1724</v>
      </c>
      <c r="R442" s="3" t="s">
        <v>1074</v>
      </c>
      <c r="S442" s="3" t="s">
        <v>1006</v>
      </c>
      <c r="T442" s="3" t="s">
        <v>1007</v>
      </c>
      <c r="U442" s="11" t="s">
        <v>2446</v>
      </c>
      <c r="V442" s="11" t="s">
        <v>1031</v>
      </c>
      <c r="W442" s="11" t="s">
        <v>1032</v>
      </c>
      <c r="X442" s="13">
        <v>1</v>
      </c>
      <c r="Y442" s="12"/>
      <c r="Z442" s="11"/>
      <c r="AA442" s="11"/>
      <c r="AB442" s="11"/>
      <c r="AC442" s="11">
        <v>0</v>
      </c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 t="s">
        <v>1019</v>
      </c>
      <c r="AO442" s="11" t="s">
        <v>1726</v>
      </c>
      <c r="AP442" s="11" t="s">
        <v>1021</v>
      </c>
      <c r="AQ442" s="11" t="s">
        <v>1727</v>
      </c>
      <c r="AR442" s="11" t="s">
        <v>1048</v>
      </c>
      <c r="AS442" s="11" t="s">
        <v>1728</v>
      </c>
      <c r="AT442" s="11" t="s">
        <v>1050</v>
      </c>
      <c r="AU442" s="11" t="s">
        <v>1727</v>
      </c>
      <c r="AV442" s="11" t="s">
        <v>1728</v>
      </c>
      <c r="AW442" s="12">
        <v>1</v>
      </c>
      <c r="AX442" s="12">
        <v>1</v>
      </c>
      <c r="AY442" s="12">
        <v>1</v>
      </c>
      <c r="AZ442" s="12">
        <v>1</v>
      </c>
      <c r="BA442" s="12">
        <v>2</v>
      </c>
      <c r="BB442" s="12">
        <v>1</v>
      </c>
      <c r="BC442" s="12">
        <v>1</v>
      </c>
      <c r="BD442" s="11" t="s">
        <v>1026</v>
      </c>
      <c r="BE442" s="11" t="s">
        <v>1051</v>
      </c>
    </row>
    <row r="443" spans="1:57" s="8" customFormat="1" ht="58" x14ac:dyDescent="0.35">
      <c r="A443" s="7" t="s">
        <v>694</v>
      </c>
      <c r="B443" s="7" t="s">
        <v>695</v>
      </c>
      <c r="C443" s="3" t="s">
        <v>755</v>
      </c>
      <c r="D443" s="3" t="s">
        <v>52</v>
      </c>
      <c r="E443" s="3"/>
      <c r="F443" s="3" t="s">
        <v>53</v>
      </c>
      <c r="G443" s="3" t="s">
        <v>50</v>
      </c>
      <c r="H443" s="4">
        <v>715</v>
      </c>
      <c r="I443" s="4">
        <v>500</v>
      </c>
      <c r="J443" s="3" t="s">
        <v>26</v>
      </c>
      <c r="K443" s="4" t="b">
        <v>0</v>
      </c>
      <c r="L443" s="6">
        <v>0.33333333333333298</v>
      </c>
      <c r="M443" s="6">
        <v>0.33333333333333298</v>
      </c>
      <c r="N443" s="3" t="s">
        <v>54</v>
      </c>
      <c r="O443" s="3" t="s">
        <v>55</v>
      </c>
      <c r="P443" s="3" t="s">
        <v>338</v>
      </c>
      <c r="Q443" s="3" t="s">
        <v>1776</v>
      </c>
      <c r="R443" s="3" t="s">
        <v>1029</v>
      </c>
      <c r="S443" s="3" t="s">
        <v>1006</v>
      </c>
      <c r="T443" s="3" t="s">
        <v>1435</v>
      </c>
      <c r="U443" s="11" t="s">
        <v>2447</v>
      </c>
      <c r="V443" s="11" t="s">
        <v>1031</v>
      </c>
      <c r="W443" s="11" t="s">
        <v>1032</v>
      </c>
      <c r="X443" s="13">
        <v>0.7</v>
      </c>
      <c r="Y443" s="12"/>
      <c r="Z443" s="11"/>
      <c r="AA443" s="11"/>
      <c r="AB443" s="11"/>
      <c r="AC443" s="11">
        <v>4</v>
      </c>
      <c r="AD443" s="11" t="s">
        <v>1076</v>
      </c>
      <c r="AE443" s="11" t="s">
        <v>2448</v>
      </c>
      <c r="AF443" s="11" t="s">
        <v>1014</v>
      </c>
      <c r="AG443" s="11" t="s">
        <v>1015</v>
      </c>
      <c r="AH443" s="11" t="s">
        <v>1078</v>
      </c>
      <c r="AI443" s="11" t="s">
        <v>1016</v>
      </c>
      <c r="AJ443" s="11"/>
      <c r="AK443" s="11" t="s">
        <v>1079</v>
      </c>
      <c r="AL443" s="11" t="s">
        <v>1017</v>
      </c>
      <c r="AM443" s="11" t="s">
        <v>1080</v>
      </c>
      <c r="AN443" s="11" t="s">
        <v>1019</v>
      </c>
      <c r="AO443" s="11" t="s">
        <v>1356</v>
      </c>
      <c r="AP443" s="11" t="s">
        <v>1021</v>
      </c>
      <c r="AQ443" s="11" t="s">
        <v>1779</v>
      </c>
      <c r="AR443" s="11" t="s">
        <v>1025</v>
      </c>
      <c r="AS443" s="11" t="s">
        <v>1358</v>
      </c>
      <c r="AT443" s="11" t="s">
        <v>1025</v>
      </c>
      <c r="AU443" s="11" t="s">
        <v>1359</v>
      </c>
      <c r="AV443" s="11" t="s">
        <v>1358</v>
      </c>
      <c r="AW443" s="12">
        <v>4</v>
      </c>
      <c r="AX443" s="12">
        <v>4</v>
      </c>
      <c r="AY443" s="12">
        <v>4</v>
      </c>
      <c r="AZ443" s="12">
        <v>2</v>
      </c>
      <c r="BA443" s="12">
        <v>1</v>
      </c>
      <c r="BB443" s="12">
        <v>4</v>
      </c>
      <c r="BC443" s="12">
        <v>1</v>
      </c>
      <c r="BD443" s="11" t="s">
        <v>1026</v>
      </c>
      <c r="BE443" s="11" t="s">
        <v>1027</v>
      </c>
    </row>
    <row r="444" spans="1:57" s="8" customFormat="1" ht="58" x14ac:dyDescent="0.35">
      <c r="A444" s="7" t="s">
        <v>694</v>
      </c>
      <c r="B444" s="7" t="s">
        <v>695</v>
      </c>
      <c r="C444" s="3" t="s">
        <v>755</v>
      </c>
      <c r="D444" s="3" t="s">
        <v>57</v>
      </c>
      <c r="E444" s="3"/>
      <c r="F444" s="3" t="s">
        <v>53</v>
      </c>
      <c r="G444" s="3" t="s">
        <v>50</v>
      </c>
      <c r="H444" s="4">
        <v>715</v>
      </c>
      <c r="I444" s="4">
        <v>300</v>
      </c>
      <c r="J444" s="3" t="s">
        <v>26</v>
      </c>
      <c r="K444" s="4" t="b">
        <v>0</v>
      </c>
      <c r="L444" s="6">
        <v>0.33333333333333298</v>
      </c>
      <c r="M444" s="6">
        <v>0.33333333333333298</v>
      </c>
      <c r="N444" s="3" t="s">
        <v>58</v>
      </c>
      <c r="O444" s="3" t="s">
        <v>59</v>
      </c>
      <c r="P444" s="3" t="s">
        <v>338</v>
      </c>
      <c r="Q444" s="3" t="s">
        <v>1776</v>
      </c>
      <c r="R444" s="3" t="s">
        <v>1029</v>
      </c>
      <c r="S444" s="3" t="s">
        <v>1006</v>
      </c>
      <c r="T444" s="3" t="s">
        <v>1435</v>
      </c>
      <c r="U444" s="11" t="s">
        <v>2447</v>
      </c>
      <c r="V444" s="11" t="s">
        <v>1031</v>
      </c>
      <c r="W444" s="11" t="s">
        <v>1032</v>
      </c>
      <c r="X444" s="13">
        <v>0.7</v>
      </c>
      <c r="Y444" s="12"/>
      <c r="Z444" s="11"/>
      <c r="AA444" s="11"/>
      <c r="AB444" s="11"/>
      <c r="AC444" s="11">
        <v>1</v>
      </c>
      <c r="AD444" s="11" t="s">
        <v>1227</v>
      </c>
      <c r="AE444" s="11" t="s">
        <v>2449</v>
      </c>
      <c r="AF444" s="11" t="s">
        <v>1014</v>
      </c>
      <c r="AG444" s="11" t="s">
        <v>1015</v>
      </c>
      <c r="AH444" s="11"/>
      <c r="AI444" s="11" t="s">
        <v>1016</v>
      </c>
      <c r="AJ444" s="11"/>
      <c r="AK444" s="11" t="s">
        <v>1229</v>
      </c>
      <c r="AL444" s="11" t="s">
        <v>1017</v>
      </c>
      <c r="AM444" s="11" t="s">
        <v>1230</v>
      </c>
      <c r="AN444" s="11" t="s">
        <v>1019</v>
      </c>
      <c r="AO444" s="11" t="s">
        <v>1356</v>
      </c>
      <c r="AP444" s="11" t="s">
        <v>1021</v>
      </c>
      <c r="AQ444" s="11" t="s">
        <v>1779</v>
      </c>
      <c r="AR444" s="11" t="s">
        <v>1025</v>
      </c>
      <c r="AS444" s="11" t="s">
        <v>1358</v>
      </c>
      <c r="AT444" s="11" t="s">
        <v>1025</v>
      </c>
      <c r="AU444" s="11" t="s">
        <v>1359</v>
      </c>
      <c r="AV444" s="11" t="s">
        <v>1358</v>
      </c>
      <c r="AW444" s="12">
        <v>4</v>
      </c>
      <c r="AX444" s="12">
        <v>4</v>
      </c>
      <c r="AY444" s="12">
        <v>4</v>
      </c>
      <c r="AZ444" s="12">
        <v>2</v>
      </c>
      <c r="BA444" s="12">
        <v>1</v>
      </c>
      <c r="BB444" s="12">
        <v>4</v>
      </c>
      <c r="BC444" s="12">
        <v>1</v>
      </c>
      <c r="BD444" s="11" t="s">
        <v>1026</v>
      </c>
      <c r="BE444" s="11" t="s">
        <v>1027</v>
      </c>
    </row>
    <row r="445" spans="1:57" s="8" customFormat="1" ht="43.5" x14ac:dyDescent="0.35">
      <c r="A445" s="7" t="s">
        <v>694</v>
      </c>
      <c r="B445" s="7" t="s">
        <v>695</v>
      </c>
      <c r="C445" s="3" t="s">
        <v>756</v>
      </c>
      <c r="D445" s="3" t="s">
        <v>57</v>
      </c>
      <c r="E445" s="3"/>
      <c r="F445" s="3" t="s">
        <v>53</v>
      </c>
      <c r="G445" s="3" t="s">
        <v>50</v>
      </c>
      <c r="H445" s="4">
        <v>491</v>
      </c>
      <c r="I445" s="4">
        <v>300</v>
      </c>
      <c r="J445" s="3" t="s">
        <v>26</v>
      </c>
      <c r="K445" s="4" t="b">
        <v>0</v>
      </c>
      <c r="L445" s="6">
        <v>0.33333333333333298</v>
      </c>
      <c r="M445" s="6">
        <v>0.33333333333333298</v>
      </c>
      <c r="N445" s="3" t="s">
        <v>58</v>
      </c>
      <c r="O445" s="3" t="s">
        <v>59</v>
      </c>
      <c r="P445" s="3" t="s">
        <v>218</v>
      </c>
      <c r="Q445" s="3" t="s">
        <v>1482</v>
      </c>
      <c r="R445" s="3" t="s">
        <v>1029</v>
      </c>
      <c r="S445" s="3" t="s">
        <v>1006</v>
      </c>
      <c r="T445" s="3" t="s">
        <v>1007</v>
      </c>
      <c r="U445" s="11" t="s">
        <v>2450</v>
      </c>
      <c r="V445" s="11" t="s">
        <v>1031</v>
      </c>
      <c r="W445" s="11" t="s">
        <v>1032</v>
      </c>
      <c r="X445" s="13">
        <v>0.7</v>
      </c>
      <c r="Y445" s="12"/>
      <c r="Z445" s="11"/>
      <c r="AA445" s="11"/>
      <c r="AB445" s="11"/>
      <c r="AC445" s="11">
        <v>0</v>
      </c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 t="s">
        <v>1019</v>
      </c>
      <c r="AO445" s="11" t="s">
        <v>1484</v>
      </c>
      <c r="AP445" s="11" t="s">
        <v>1021</v>
      </c>
      <c r="AQ445" s="11" t="s">
        <v>1485</v>
      </c>
      <c r="AR445" s="11" t="s">
        <v>1050</v>
      </c>
      <c r="AS445" s="11" t="s">
        <v>1486</v>
      </c>
      <c r="AT445" s="11" t="s">
        <v>1050</v>
      </c>
      <c r="AU445" s="11" t="s">
        <v>1485</v>
      </c>
      <c r="AV445" s="11" t="s">
        <v>1486</v>
      </c>
      <c r="AW445" s="12">
        <v>1</v>
      </c>
      <c r="AX445" s="12">
        <v>1</v>
      </c>
      <c r="AY445" s="12">
        <v>1</v>
      </c>
      <c r="AZ445" s="12">
        <v>1</v>
      </c>
      <c r="BA445" s="12">
        <v>1</v>
      </c>
      <c r="BB445" s="12">
        <v>1</v>
      </c>
      <c r="BC445" s="12">
        <v>1</v>
      </c>
      <c r="BD445" s="11" t="s">
        <v>1026</v>
      </c>
      <c r="BE445" s="11" t="s">
        <v>1103</v>
      </c>
    </row>
    <row r="446" spans="1:57" s="8" customFormat="1" ht="43.5" x14ac:dyDescent="0.35">
      <c r="A446" s="7" t="s">
        <v>694</v>
      </c>
      <c r="B446" s="7" t="s">
        <v>695</v>
      </c>
      <c r="C446" s="3" t="s">
        <v>756</v>
      </c>
      <c r="D446" s="3" t="s">
        <v>98</v>
      </c>
      <c r="E446" s="3" t="s">
        <v>98</v>
      </c>
      <c r="F446" s="3" t="s">
        <v>53</v>
      </c>
      <c r="G446" s="3" t="s">
        <v>25</v>
      </c>
      <c r="H446" s="4">
        <v>491</v>
      </c>
      <c r="I446" s="4">
        <v>300</v>
      </c>
      <c r="J446" s="3" t="s">
        <v>26</v>
      </c>
      <c r="K446" s="4" t="b">
        <v>1</v>
      </c>
      <c r="L446" s="6">
        <v>1</v>
      </c>
      <c r="M446" s="6">
        <v>1</v>
      </c>
      <c r="N446" s="3" t="s">
        <v>219</v>
      </c>
      <c r="O446" s="3"/>
      <c r="P446" s="3" t="s">
        <v>218</v>
      </c>
      <c r="Q446" s="3" t="s">
        <v>1482</v>
      </c>
      <c r="R446" s="3" t="s">
        <v>1029</v>
      </c>
      <c r="S446" s="3" t="s">
        <v>1006</v>
      </c>
      <c r="T446" s="3" t="s">
        <v>1007</v>
      </c>
      <c r="U446" s="11" t="s">
        <v>2450</v>
      </c>
      <c r="V446" s="11" t="s">
        <v>1031</v>
      </c>
      <c r="W446" s="11" t="s">
        <v>1032</v>
      </c>
      <c r="X446" s="13">
        <v>0.7</v>
      </c>
      <c r="Y446" s="12"/>
      <c r="Z446" s="11"/>
      <c r="AA446" s="11"/>
      <c r="AB446" s="11"/>
      <c r="AC446" s="11">
        <v>0</v>
      </c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 t="s">
        <v>1019</v>
      </c>
      <c r="AO446" s="11" t="s">
        <v>1484</v>
      </c>
      <c r="AP446" s="11" t="s">
        <v>1021</v>
      </c>
      <c r="AQ446" s="11" t="s">
        <v>1485</v>
      </c>
      <c r="AR446" s="11" t="s">
        <v>1050</v>
      </c>
      <c r="AS446" s="11" t="s">
        <v>1486</v>
      </c>
      <c r="AT446" s="11" t="s">
        <v>1050</v>
      </c>
      <c r="AU446" s="11" t="s">
        <v>1485</v>
      </c>
      <c r="AV446" s="11" t="s">
        <v>1486</v>
      </c>
      <c r="AW446" s="12">
        <v>1</v>
      </c>
      <c r="AX446" s="12">
        <v>1</v>
      </c>
      <c r="AY446" s="12">
        <v>1</v>
      </c>
      <c r="AZ446" s="12">
        <v>1</v>
      </c>
      <c r="BA446" s="12">
        <v>1</v>
      </c>
      <c r="BB446" s="12">
        <v>1</v>
      </c>
      <c r="BC446" s="12">
        <v>1</v>
      </c>
      <c r="BD446" s="11" t="s">
        <v>1026</v>
      </c>
      <c r="BE446" s="11" t="s">
        <v>1103</v>
      </c>
    </row>
    <row r="447" spans="1:57" s="8" customFormat="1" ht="58" x14ac:dyDescent="0.35">
      <c r="A447" s="7" t="s">
        <v>694</v>
      </c>
      <c r="B447" s="7" t="s">
        <v>695</v>
      </c>
      <c r="C447" s="3" t="s">
        <v>757</v>
      </c>
      <c r="D447" s="3" t="s">
        <v>57</v>
      </c>
      <c r="E447" s="3"/>
      <c r="F447" s="3" t="s">
        <v>53</v>
      </c>
      <c r="G447" s="3" t="s">
        <v>50</v>
      </c>
      <c r="H447" s="4">
        <v>410</v>
      </c>
      <c r="I447" s="4">
        <v>300</v>
      </c>
      <c r="J447" s="3" t="s">
        <v>26</v>
      </c>
      <c r="K447" s="4" t="b">
        <v>0</v>
      </c>
      <c r="L447" s="6">
        <v>0.33333333333333298</v>
      </c>
      <c r="M447" s="6">
        <v>0.33333333333333298</v>
      </c>
      <c r="N447" s="3" t="s">
        <v>58</v>
      </c>
      <c r="O447" s="3" t="s">
        <v>59</v>
      </c>
      <c r="P447" s="3" t="s">
        <v>334</v>
      </c>
      <c r="Q447" s="3" t="s">
        <v>1769</v>
      </c>
      <c r="R447" s="3" t="s">
        <v>1074</v>
      </c>
      <c r="S447" s="3" t="s">
        <v>1006</v>
      </c>
      <c r="T447" s="3" t="s">
        <v>1007</v>
      </c>
      <c r="U447" s="11" t="s">
        <v>2451</v>
      </c>
      <c r="V447" s="11" t="s">
        <v>1064</v>
      </c>
      <c r="W447" s="11" t="s">
        <v>1065</v>
      </c>
      <c r="X447" s="13">
        <v>1</v>
      </c>
      <c r="Y447" s="12"/>
      <c r="Z447" s="11"/>
      <c r="AA447" s="11"/>
      <c r="AB447" s="11"/>
      <c r="AC447" s="11">
        <v>0</v>
      </c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 t="s">
        <v>1019</v>
      </c>
      <c r="AO447" s="11" t="s">
        <v>1771</v>
      </c>
      <c r="AP447" s="11" t="s">
        <v>1021</v>
      </c>
      <c r="AQ447" s="11" t="s">
        <v>1772</v>
      </c>
      <c r="AR447" s="11" t="s">
        <v>1048</v>
      </c>
      <c r="AS447" s="11" t="s">
        <v>1773</v>
      </c>
      <c r="AT447" s="11" t="s">
        <v>1050</v>
      </c>
      <c r="AU447" s="11" t="s">
        <v>1772</v>
      </c>
      <c r="AV447" s="11" t="s">
        <v>1773</v>
      </c>
      <c r="AW447" s="12">
        <v>1</v>
      </c>
      <c r="AX447" s="12">
        <v>1</v>
      </c>
      <c r="AY447" s="12">
        <v>1</v>
      </c>
      <c r="AZ447" s="12">
        <v>1</v>
      </c>
      <c r="BA447" s="12">
        <v>2</v>
      </c>
      <c r="BB447" s="12">
        <v>1</v>
      </c>
      <c r="BC447" s="12">
        <v>1</v>
      </c>
      <c r="BD447" s="11" t="s">
        <v>1026</v>
      </c>
      <c r="BE447" s="11" t="s">
        <v>1051</v>
      </c>
    </row>
    <row r="448" spans="1:57" s="8" customFormat="1" ht="43.5" x14ac:dyDescent="0.35">
      <c r="A448" s="7" t="s">
        <v>694</v>
      </c>
      <c r="B448" s="7" t="s">
        <v>695</v>
      </c>
      <c r="C448" s="3" t="s">
        <v>758</v>
      </c>
      <c r="D448" s="3" t="s">
        <v>759</v>
      </c>
      <c r="E448" s="3"/>
      <c r="F448" s="3" t="s">
        <v>31</v>
      </c>
      <c r="G448" s="3" t="s">
        <v>50</v>
      </c>
      <c r="H448" s="4">
        <v>128</v>
      </c>
      <c r="I448" s="4">
        <v>80</v>
      </c>
      <c r="J448" s="3" t="s">
        <v>26</v>
      </c>
      <c r="K448" s="4" t="b">
        <v>1</v>
      </c>
      <c r="L448" s="6">
        <v>1</v>
      </c>
      <c r="M448" s="6">
        <v>1</v>
      </c>
      <c r="N448" s="3" t="s">
        <v>760</v>
      </c>
      <c r="O448" s="3"/>
      <c r="P448" s="3" t="s">
        <v>761</v>
      </c>
      <c r="Q448" s="3" t="s">
        <v>2452</v>
      </c>
      <c r="R448" s="3" t="s">
        <v>1029</v>
      </c>
      <c r="S448" s="3" t="s">
        <v>1006</v>
      </c>
      <c r="T448" s="3" t="s">
        <v>1007</v>
      </c>
      <c r="U448" s="11" t="s">
        <v>2453</v>
      </c>
      <c r="V448" s="11" t="s">
        <v>1031</v>
      </c>
      <c r="W448" s="11" t="s">
        <v>1032</v>
      </c>
      <c r="X448" s="13">
        <v>0.7</v>
      </c>
      <c r="Y448" s="12"/>
      <c r="Z448" s="11"/>
      <c r="AA448" s="11"/>
      <c r="AB448" s="11"/>
      <c r="AC448" s="11">
        <v>0</v>
      </c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 t="s">
        <v>1019</v>
      </c>
      <c r="AO448" s="11"/>
      <c r="AP448" s="11" t="s">
        <v>1123</v>
      </c>
      <c r="AQ448" s="11"/>
      <c r="AR448" s="11" t="s">
        <v>1034</v>
      </c>
      <c r="AS448" s="11"/>
      <c r="AT448" s="11" t="s">
        <v>1034</v>
      </c>
      <c r="AU448" s="11"/>
      <c r="AV448" s="11"/>
      <c r="AW448" s="12"/>
      <c r="AX448" s="12"/>
      <c r="AY448" s="12"/>
      <c r="AZ448" s="12"/>
      <c r="BA448" s="12"/>
      <c r="BB448" s="12"/>
      <c r="BC448" s="12"/>
      <c r="BD448" s="11" t="s">
        <v>1115</v>
      </c>
      <c r="BE448" s="11" t="s">
        <v>1124</v>
      </c>
    </row>
    <row r="449" spans="1:57" s="8" customFormat="1" ht="58" x14ac:dyDescent="0.35">
      <c r="A449" s="7" t="s">
        <v>694</v>
      </c>
      <c r="B449" s="7" t="s">
        <v>695</v>
      </c>
      <c r="C449" s="3" t="s">
        <v>762</v>
      </c>
      <c r="D449" s="3" t="s">
        <v>57</v>
      </c>
      <c r="E449" s="3"/>
      <c r="F449" s="3" t="s">
        <v>53</v>
      </c>
      <c r="G449" s="3" t="s">
        <v>50</v>
      </c>
      <c r="H449" s="4">
        <v>348</v>
      </c>
      <c r="I449" s="4">
        <v>300</v>
      </c>
      <c r="J449" s="3" t="s">
        <v>26</v>
      </c>
      <c r="K449" s="4" t="b">
        <v>0</v>
      </c>
      <c r="L449" s="6">
        <v>0.33333333333333298</v>
      </c>
      <c r="M449" s="6">
        <v>0.33333333333333298</v>
      </c>
      <c r="N449" s="3" t="s">
        <v>58</v>
      </c>
      <c r="O449" s="3" t="s">
        <v>59</v>
      </c>
      <c r="P449" s="3" t="s">
        <v>763</v>
      </c>
      <c r="Q449" s="3" t="s">
        <v>1767</v>
      </c>
      <c r="R449" s="3" t="s">
        <v>1029</v>
      </c>
      <c r="S449" s="3" t="s">
        <v>1006</v>
      </c>
      <c r="T449" s="3" t="s">
        <v>1007</v>
      </c>
      <c r="U449" s="11" t="s">
        <v>2454</v>
      </c>
      <c r="V449" s="11" t="s">
        <v>1031</v>
      </c>
      <c r="W449" s="11" t="s">
        <v>1032</v>
      </c>
      <c r="X449" s="13">
        <v>0.7</v>
      </c>
      <c r="Y449" s="12"/>
      <c r="Z449" s="11"/>
      <c r="AA449" s="11"/>
      <c r="AB449" s="11"/>
      <c r="AC449" s="11">
        <v>1</v>
      </c>
      <c r="AD449" s="11" t="s">
        <v>1227</v>
      </c>
      <c r="AE449" s="11" t="s">
        <v>2455</v>
      </c>
      <c r="AF449" s="11" t="s">
        <v>1014</v>
      </c>
      <c r="AG449" s="11" t="s">
        <v>1015</v>
      </c>
      <c r="AH449" s="11"/>
      <c r="AI449" s="11" t="s">
        <v>1016</v>
      </c>
      <c r="AJ449" s="11"/>
      <c r="AK449" s="11" t="s">
        <v>1229</v>
      </c>
      <c r="AL449" s="11" t="s">
        <v>1017</v>
      </c>
      <c r="AM449" s="11" t="s">
        <v>1230</v>
      </c>
      <c r="AN449" s="11" t="s">
        <v>1019</v>
      </c>
      <c r="AO449" s="11" t="s">
        <v>1186</v>
      </c>
      <c r="AP449" s="11" t="s">
        <v>1021</v>
      </c>
      <c r="AQ449" s="11" t="s">
        <v>1187</v>
      </c>
      <c r="AR449" s="11" t="s">
        <v>1023</v>
      </c>
      <c r="AS449" s="11" t="s">
        <v>1188</v>
      </c>
      <c r="AT449" s="11" t="s">
        <v>1025</v>
      </c>
      <c r="AU449" s="11" t="s">
        <v>1187</v>
      </c>
      <c r="AV449" s="11" t="s">
        <v>1188</v>
      </c>
      <c r="AW449" s="12">
        <v>4</v>
      </c>
      <c r="AX449" s="12">
        <v>4</v>
      </c>
      <c r="AY449" s="12">
        <v>5</v>
      </c>
      <c r="AZ449" s="12">
        <v>5</v>
      </c>
      <c r="BA449" s="12">
        <v>3</v>
      </c>
      <c r="BB449" s="12">
        <v>5</v>
      </c>
      <c r="BC449" s="12">
        <v>1</v>
      </c>
      <c r="BD449" s="11" t="s">
        <v>1026</v>
      </c>
      <c r="BE449" s="11" t="s">
        <v>1027</v>
      </c>
    </row>
    <row r="450" spans="1:57" s="8" customFormat="1" ht="58" x14ac:dyDescent="0.35">
      <c r="A450" s="7" t="s">
        <v>694</v>
      </c>
      <c r="B450" s="7" t="s">
        <v>695</v>
      </c>
      <c r="C450" s="3" t="s">
        <v>764</v>
      </c>
      <c r="D450" s="3" t="s">
        <v>172</v>
      </c>
      <c r="E450" s="3" t="s">
        <v>172</v>
      </c>
      <c r="F450" s="3" t="s">
        <v>31</v>
      </c>
      <c r="G450" s="3" t="s">
        <v>25</v>
      </c>
      <c r="H450" s="4">
        <v>140</v>
      </c>
      <c r="I450" s="4">
        <v>90</v>
      </c>
      <c r="J450" s="3" t="s">
        <v>26</v>
      </c>
      <c r="K450" s="4" t="b">
        <v>1</v>
      </c>
      <c r="L450" s="6">
        <v>1</v>
      </c>
      <c r="M450" s="6">
        <v>1</v>
      </c>
      <c r="N450" s="3" t="s">
        <v>173</v>
      </c>
      <c r="O450" s="3"/>
      <c r="P450" s="3" t="s">
        <v>765</v>
      </c>
      <c r="Q450" s="3" t="s">
        <v>2283</v>
      </c>
      <c r="R450" s="3" t="s">
        <v>1029</v>
      </c>
      <c r="S450" s="3" t="s">
        <v>1006</v>
      </c>
      <c r="T450" s="3" t="s">
        <v>1007</v>
      </c>
      <c r="U450" s="11" t="s">
        <v>2456</v>
      </c>
      <c r="V450" s="11" t="s">
        <v>1031</v>
      </c>
      <c r="W450" s="11" t="s">
        <v>1032</v>
      </c>
      <c r="X450" s="13">
        <v>0.7</v>
      </c>
      <c r="Y450" s="12"/>
      <c r="Z450" s="11"/>
      <c r="AA450" s="11"/>
      <c r="AB450" s="11"/>
      <c r="AC450" s="11">
        <v>0</v>
      </c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 t="s">
        <v>1019</v>
      </c>
      <c r="AO450" s="11" t="s">
        <v>1351</v>
      </c>
      <c r="AP450" s="11" t="s">
        <v>1021</v>
      </c>
      <c r="AQ450" s="11" t="s">
        <v>1352</v>
      </c>
      <c r="AR450" s="11" t="s">
        <v>1023</v>
      </c>
      <c r="AS450" s="11" t="s">
        <v>1353</v>
      </c>
      <c r="AT450" s="11" t="s">
        <v>1025</v>
      </c>
      <c r="AU450" s="11" t="s">
        <v>1352</v>
      </c>
      <c r="AV450" s="11" t="s">
        <v>1353</v>
      </c>
      <c r="AW450" s="12">
        <v>1</v>
      </c>
      <c r="AX450" s="12">
        <v>3</v>
      </c>
      <c r="AY450" s="12">
        <v>3</v>
      </c>
      <c r="AZ450" s="12">
        <v>3</v>
      </c>
      <c r="BA450" s="12">
        <v>4</v>
      </c>
      <c r="BB450" s="12">
        <v>3</v>
      </c>
      <c r="BC450" s="12">
        <v>1</v>
      </c>
      <c r="BD450" s="11" t="s">
        <v>1026</v>
      </c>
      <c r="BE450" s="11" t="s">
        <v>1027</v>
      </c>
    </row>
    <row r="451" spans="1:57" s="8" customFormat="1" ht="58" x14ac:dyDescent="0.35">
      <c r="A451" s="7" t="s">
        <v>694</v>
      </c>
      <c r="B451" s="7" t="s">
        <v>695</v>
      </c>
      <c r="C451" s="3" t="s">
        <v>766</v>
      </c>
      <c r="D451" s="3" t="s">
        <v>57</v>
      </c>
      <c r="E451" s="3"/>
      <c r="F451" s="3" t="s">
        <v>53</v>
      </c>
      <c r="G451" s="3" t="s">
        <v>50</v>
      </c>
      <c r="H451" s="4">
        <v>384</v>
      </c>
      <c r="I451" s="4">
        <v>300</v>
      </c>
      <c r="J451" s="3" t="s">
        <v>26</v>
      </c>
      <c r="K451" s="4" t="b">
        <v>0</v>
      </c>
      <c r="L451" s="6">
        <v>0.33333333333333298</v>
      </c>
      <c r="M451" s="6">
        <v>0.33333333333333298</v>
      </c>
      <c r="N451" s="3" t="s">
        <v>58</v>
      </c>
      <c r="O451" s="3" t="s">
        <v>59</v>
      </c>
      <c r="P451" s="3" t="s">
        <v>767</v>
      </c>
      <c r="Q451" s="3" t="s">
        <v>2457</v>
      </c>
      <c r="R451" s="3" t="s">
        <v>1074</v>
      </c>
      <c r="S451" s="3" t="s">
        <v>1006</v>
      </c>
      <c r="T451" s="3" t="s">
        <v>1007</v>
      </c>
      <c r="U451" s="11" t="s">
        <v>2458</v>
      </c>
      <c r="V451" s="11" t="s">
        <v>1031</v>
      </c>
      <c r="W451" s="11" t="s">
        <v>1032</v>
      </c>
      <c r="X451" s="13">
        <v>0.7</v>
      </c>
      <c r="Y451" s="12"/>
      <c r="Z451" s="11"/>
      <c r="AA451" s="11"/>
      <c r="AB451" s="11"/>
      <c r="AC451" s="11">
        <v>0</v>
      </c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 t="s">
        <v>1019</v>
      </c>
      <c r="AO451" s="11" t="s">
        <v>1800</v>
      </c>
      <c r="AP451" s="11" t="s">
        <v>1021</v>
      </c>
      <c r="AQ451" s="11" t="s">
        <v>1801</v>
      </c>
      <c r="AR451" s="11" t="s">
        <v>1050</v>
      </c>
      <c r="AS451" s="11" t="s">
        <v>1802</v>
      </c>
      <c r="AT451" s="11" t="s">
        <v>1048</v>
      </c>
      <c r="AU451" s="11" t="s">
        <v>1801</v>
      </c>
      <c r="AV451" s="11" t="s">
        <v>1802</v>
      </c>
      <c r="AW451" s="12">
        <v>1</v>
      </c>
      <c r="AX451" s="12">
        <v>1</v>
      </c>
      <c r="AY451" s="12">
        <v>1</v>
      </c>
      <c r="AZ451" s="12">
        <v>1</v>
      </c>
      <c r="BA451" s="12">
        <v>1</v>
      </c>
      <c r="BB451" s="12">
        <v>1</v>
      </c>
      <c r="BC451" s="12">
        <v>2</v>
      </c>
      <c r="BD451" s="11" t="s">
        <v>1026</v>
      </c>
      <c r="BE451" s="11" t="s">
        <v>1051</v>
      </c>
    </row>
    <row r="452" spans="1:57" s="8" customFormat="1" ht="87" x14ac:dyDescent="0.35">
      <c r="A452" s="7" t="s">
        <v>694</v>
      </c>
      <c r="B452" s="7" t="s">
        <v>695</v>
      </c>
      <c r="C452" s="3" t="s">
        <v>768</v>
      </c>
      <c r="D452" s="3" t="s">
        <v>368</v>
      </c>
      <c r="E452" s="3" t="s">
        <v>368</v>
      </c>
      <c r="F452" s="3" t="s">
        <v>84</v>
      </c>
      <c r="G452" s="3" t="s">
        <v>25</v>
      </c>
      <c r="H452" s="4">
        <v>825</v>
      </c>
      <c r="I452" s="4">
        <v>400</v>
      </c>
      <c r="J452" s="3" t="s">
        <v>26</v>
      </c>
      <c r="K452" s="4" t="b">
        <v>1</v>
      </c>
      <c r="L452" s="6">
        <v>1</v>
      </c>
      <c r="M452" s="6">
        <v>1</v>
      </c>
      <c r="N452" s="3" t="s">
        <v>369</v>
      </c>
      <c r="O452" s="3"/>
      <c r="P452" s="3" t="s">
        <v>769</v>
      </c>
      <c r="Q452" s="3" t="s">
        <v>2459</v>
      </c>
      <c r="R452" s="3" t="s">
        <v>1139</v>
      </c>
      <c r="S452" s="3" t="s">
        <v>2460</v>
      </c>
      <c r="T452" s="3" t="s">
        <v>1007</v>
      </c>
      <c r="U452" s="11" t="s">
        <v>2461</v>
      </c>
      <c r="V452" s="11" t="s">
        <v>1009</v>
      </c>
      <c r="W452" s="11" t="s">
        <v>1010</v>
      </c>
      <c r="X452" s="13">
        <v>0.94</v>
      </c>
      <c r="Y452" s="12"/>
      <c r="Z452" s="11" t="s">
        <v>2462</v>
      </c>
      <c r="AA452" s="11"/>
      <c r="AB452" s="11"/>
      <c r="AC452" s="11">
        <v>5</v>
      </c>
      <c r="AD452" s="11" t="s">
        <v>1845</v>
      </c>
      <c r="AE452" s="11" t="s">
        <v>2463</v>
      </c>
      <c r="AF452" s="11" t="s">
        <v>1014</v>
      </c>
      <c r="AG452" s="11" t="s">
        <v>1847</v>
      </c>
      <c r="AH452" s="11" t="s">
        <v>1848</v>
      </c>
      <c r="AI452" s="11" t="s">
        <v>1016</v>
      </c>
      <c r="AJ452" s="11"/>
      <c r="AK452" s="11" t="s">
        <v>1849</v>
      </c>
      <c r="AL452" s="11" t="s">
        <v>1017</v>
      </c>
      <c r="AM452" s="11" t="s">
        <v>1850</v>
      </c>
      <c r="AN452" s="11" t="s">
        <v>1019</v>
      </c>
      <c r="AO452" s="11" t="s">
        <v>1851</v>
      </c>
      <c r="AP452" s="11" t="s">
        <v>1021</v>
      </c>
      <c r="AQ452" s="11" t="s">
        <v>1852</v>
      </c>
      <c r="AR452" s="11" t="s">
        <v>1048</v>
      </c>
      <c r="AS452" s="11" t="s">
        <v>1853</v>
      </c>
      <c r="AT452" s="11" t="s">
        <v>1050</v>
      </c>
      <c r="AU452" s="11" t="s">
        <v>1852</v>
      </c>
      <c r="AV452" s="11" t="s">
        <v>1853</v>
      </c>
      <c r="AW452" s="12">
        <v>1</v>
      </c>
      <c r="AX452" s="12">
        <v>1</v>
      </c>
      <c r="AY452" s="12">
        <v>1</v>
      </c>
      <c r="AZ452" s="12">
        <v>1</v>
      </c>
      <c r="BA452" s="12">
        <v>7</v>
      </c>
      <c r="BB452" s="12">
        <v>1</v>
      </c>
      <c r="BC452" s="12">
        <v>1</v>
      </c>
      <c r="BD452" s="11" t="s">
        <v>1026</v>
      </c>
      <c r="BE452" s="11" t="s">
        <v>1051</v>
      </c>
    </row>
    <row r="453" spans="1:57" s="8" customFormat="1" ht="43.5" x14ac:dyDescent="0.35">
      <c r="A453" s="7" t="s">
        <v>694</v>
      </c>
      <c r="B453" s="7" t="s">
        <v>695</v>
      </c>
      <c r="C453" s="3" t="s">
        <v>770</v>
      </c>
      <c r="D453" s="3" t="s">
        <v>30</v>
      </c>
      <c r="E453" s="3" t="s">
        <v>30</v>
      </c>
      <c r="F453" s="3" t="s">
        <v>31</v>
      </c>
      <c r="G453" s="3" t="s">
        <v>25</v>
      </c>
      <c r="H453" s="4">
        <v>408</v>
      </c>
      <c r="I453" s="4">
        <v>250</v>
      </c>
      <c r="J453" s="3" t="s">
        <v>26</v>
      </c>
      <c r="K453" s="4" t="b">
        <v>1</v>
      </c>
      <c r="L453" s="6">
        <v>1</v>
      </c>
      <c r="M453" s="6">
        <v>1</v>
      </c>
      <c r="N453" s="3" t="s">
        <v>32</v>
      </c>
      <c r="O453" s="3"/>
      <c r="P453" s="3" t="s">
        <v>771</v>
      </c>
      <c r="Q453" s="3" t="s">
        <v>1643</v>
      </c>
      <c r="R453" s="3" t="s">
        <v>1074</v>
      </c>
      <c r="S453" s="3" t="s">
        <v>1006</v>
      </c>
      <c r="T453" s="3" t="s">
        <v>1007</v>
      </c>
      <c r="U453" s="11" t="s">
        <v>2464</v>
      </c>
      <c r="V453" s="11" t="s">
        <v>1031</v>
      </c>
      <c r="W453" s="11" t="s">
        <v>1032</v>
      </c>
      <c r="X453" s="13">
        <v>0.7</v>
      </c>
      <c r="Y453" s="12"/>
      <c r="Z453" s="11"/>
      <c r="AA453" s="11"/>
      <c r="AB453" s="11"/>
      <c r="AC453" s="11">
        <v>0</v>
      </c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 t="s">
        <v>1019</v>
      </c>
      <c r="AO453" s="11" t="s">
        <v>1645</v>
      </c>
      <c r="AP453" s="11" t="s">
        <v>1021</v>
      </c>
      <c r="AQ453" s="11" t="s">
        <v>1646</v>
      </c>
      <c r="AR453" s="11" t="s">
        <v>1050</v>
      </c>
      <c r="AS453" s="11" t="s">
        <v>1647</v>
      </c>
      <c r="AT453" s="11" t="s">
        <v>1050</v>
      </c>
      <c r="AU453" s="11" t="s">
        <v>1646</v>
      </c>
      <c r="AV453" s="11" t="s">
        <v>1647</v>
      </c>
      <c r="AW453" s="12">
        <v>1</v>
      </c>
      <c r="AX453" s="12">
        <v>1</v>
      </c>
      <c r="AY453" s="12">
        <v>1</v>
      </c>
      <c r="AZ453" s="12">
        <v>1</v>
      </c>
      <c r="BA453" s="12">
        <v>1</v>
      </c>
      <c r="BB453" s="12">
        <v>1</v>
      </c>
      <c r="BC453" s="12">
        <v>1</v>
      </c>
      <c r="BD453" s="11" t="s">
        <v>1026</v>
      </c>
      <c r="BE453" s="11" t="s">
        <v>1103</v>
      </c>
    </row>
    <row r="454" spans="1:57" s="8" customFormat="1" ht="43.5" x14ac:dyDescent="0.35">
      <c r="A454" s="7" t="s">
        <v>694</v>
      </c>
      <c r="B454" s="7" t="s">
        <v>695</v>
      </c>
      <c r="C454" s="3" t="s">
        <v>772</v>
      </c>
      <c r="D454" s="3" t="s">
        <v>57</v>
      </c>
      <c r="E454" s="3"/>
      <c r="F454" s="3" t="s">
        <v>53</v>
      </c>
      <c r="G454" s="3" t="s">
        <v>50</v>
      </c>
      <c r="H454" s="4">
        <v>560</v>
      </c>
      <c r="I454" s="4">
        <v>300</v>
      </c>
      <c r="J454" s="3" t="s">
        <v>26</v>
      </c>
      <c r="K454" s="4" t="b">
        <v>0</v>
      </c>
      <c r="L454" s="6">
        <v>0.33333333333333298</v>
      </c>
      <c r="M454" s="6">
        <v>0.33333333333333298</v>
      </c>
      <c r="N454" s="3" t="s">
        <v>58</v>
      </c>
      <c r="O454" s="3" t="s">
        <v>59</v>
      </c>
      <c r="P454" s="3" t="s">
        <v>166</v>
      </c>
      <c r="Q454" s="3" t="s">
        <v>1333</v>
      </c>
      <c r="R454" s="3" t="s">
        <v>1005</v>
      </c>
      <c r="S454" s="3" t="s">
        <v>1006</v>
      </c>
      <c r="T454" s="3" t="s">
        <v>1052</v>
      </c>
      <c r="U454" s="11" t="s">
        <v>2465</v>
      </c>
      <c r="V454" s="11" t="s">
        <v>1064</v>
      </c>
      <c r="W454" s="11" t="s">
        <v>1065</v>
      </c>
      <c r="X454" s="13">
        <v>1</v>
      </c>
      <c r="Y454" s="12"/>
      <c r="Z454" s="11"/>
      <c r="AA454" s="11"/>
      <c r="AB454" s="11"/>
      <c r="AC454" s="11">
        <v>0</v>
      </c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 t="s">
        <v>1019</v>
      </c>
      <c r="AO454" s="11" t="s">
        <v>1335</v>
      </c>
      <c r="AP454" s="11" t="s">
        <v>1021</v>
      </c>
      <c r="AQ454" s="11" t="s">
        <v>1336</v>
      </c>
      <c r="AR454" s="11" t="s">
        <v>1050</v>
      </c>
      <c r="AS454" s="11" t="s">
        <v>1337</v>
      </c>
      <c r="AT454" s="11" t="s">
        <v>1050</v>
      </c>
      <c r="AU454" s="11" t="s">
        <v>1336</v>
      </c>
      <c r="AV454" s="11" t="s">
        <v>1337</v>
      </c>
      <c r="AW454" s="12">
        <v>1</v>
      </c>
      <c r="AX454" s="12">
        <v>1</v>
      </c>
      <c r="AY454" s="12">
        <v>1</v>
      </c>
      <c r="AZ454" s="12">
        <v>1</v>
      </c>
      <c r="BA454" s="12">
        <v>1</v>
      </c>
      <c r="BB454" s="12">
        <v>1</v>
      </c>
      <c r="BC454" s="12">
        <v>1</v>
      </c>
      <c r="BD454" s="11" t="s">
        <v>1026</v>
      </c>
      <c r="BE454" s="11" t="s">
        <v>1103</v>
      </c>
    </row>
    <row r="455" spans="1:57" s="8" customFormat="1" ht="43.5" x14ac:dyDescent="0.35">
      <c r="A455" s="7" t="s">
        <v>694</v>
      </c>
      <c r="B455" s="7" t="s">
        <v>695</v>
      </c>
      <c r="C455" s="3" t="s">
        <v>773</v>
      </c>
      <c r="D455" s="3" t="s">
        <v>57</v>
      </c>
      <c r="E455" s="3"/>
      <c r="F455" s="3" t="s">
        <v>53</v>
      </c>
      <c r="G455" s="3" t="s">
        <v>50</v>
      </c>
      <c r="H455" s="4">
        <v>507</v>
      </c>
      <c r="I455" s="4">
        <v>300</v>
      </c>
      <c r="J455" s="3" t="s">
        <v>26</v>
      </c>
      <c r="K455" s="4" t="b">
        <v>0</v>
      </c>
      <c r="L455" s="6">
        <v>0.33333333333333298</v>
      </c>
      <c r="M455" s="6">
        <v>0.33333333333333298</v>
      </c>
      <c r="N455" s="3" t="s">
        <v>58</v>
      </c>
      <c r="O455" s="3" t="s">
        <v>59</v>
      </c>
      <c r="P455" s="3" t="s">
        <v>774</v>
      </c>
      <c r="Q455" s="3" t="s">
        <v>2466</v>
      </c>
      <c r="R455" s="3" t="s">
        <v>1029</v>
      </c>
      <c r="S455" s="3" t="s">
        <v>1006</v>
      </c>
      <c r="T455" s="3" t="s">
        <v>1393</v>
      </c>
      <c r="U455" s="11" t="s">
        <v>2467</v>
      </c>
      <c r="V455" s="11" t="s">
        <v>1043</v>
      </c>
      <c r="W455" s="11" t="s">
        <v>1044</v>
      </c>
      <c r="X455" s="13">
        <v>0.98</v>
      </c>
      <c r="Y455" s="12" t="s">
        <v>1445</v>
      </c>
      <c r="Z455" s="11"/>
      <c r="AA455" s="11"/>
      <c r="AB455" s="11"/>
      <c r="AC455" s="11">
        <v>0</v>
      </c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 t="s">
        <v>1019</v>
      </c>
      <c r="AO455" s="11" t="s">
        <v>1937</v>
      </c>
      <c r="AP455" s="11" t="s">
        <v>1021</v>
      </c>
      <c r="AQ455" s="11" t="s">
        <v>1938</v>
      </c>
      <c r="AR455" s="11" t="s">
        <v>1050</v>
      </c>
      <c r="AS455" s="11" t="s">
        <v>1939</v>
      </c>
      <c r="AT455" s="11" t="s">
        <v>1050</v>
      </c>
      <c r="AU455" s="11" t="s">
        <v>1938</v>
      </c>
      <c r="AV455" s="11" t="s">
        <v>1939</v>
      </c>
      <c r="AW455" s="12">
        <v>0</v>
      </c>
      <c r="AX455" s="12">
        <v>1</v>
      </c>
      <c r="AY455" s="12">
        <v>1</v>
      </c>
      <c r="AZ455" s="12">
        <v>1</v>
      </c>
      <c r="BA455" s="12">
        <v>1</v>
      </c>
      <c r="BB455" s="12">
        <v>1</v>
      </c>
      <c r="BC455" s="12">
        <v>1</v>
      </c>
      <c r="BD455" s="11" t="s">
        <v>1026</v>
      </c>
      <c r="BE455" s="11" t="s">
        <v>1103</v>
      </c>
    </row>
    <row r="456" spans="1:57" s="8" customFormat="1" ht="58" x14ac:dyDescent="0.35">
      <c r="A456" s="7" t="s">
        <v>694</v>
      </c>
      <c r="B456" s="7" t="s">
        <v>695</v>
      </c>
      <c r="C456" s="3" t="s">
        <v>775</v>
      </c>
      <c r="D456" s="3" t="s">
        <v>57</v>
      </c>
      <c r="E456" s="3"/>
      <c r="F456" s="3" t="s">
        <v>53</v>
      </c>
      <c r="G456" s="3" t="s">
        <v>50</v>
      </c>
      <c r="H456" s="4">
        <v>420</v>
      </c>
      <c r="I456" s="4">
        <v>300</v>
      </c>
      <c r="J456" s="3" t="s">
        <v>26</v>
      </c>
      <c r="K456" s="4" t="b">
        <v>0</v>
      </c>
      <c r="L456" s="6">
        <v>0.33333333333333298</v>
      </c>
      <c r="M456" s="6">
        <v>0.33333333333333298</v>
      </c>
      <c r="N456" s="3" t="s">
        <v>58</v>
      </c>
      <c r="O456" s="3" t="s">
        <v>59</v>
      </c>
      <c r="P456" s="3" t="s">
        <v>146</v>
      </c>
      <c r="Q456" s="3" t="s">
        <v>1284</v>
      </c>
      <c r="R456" s="3" t="s">
        <v>1074</v>
      </c>
      <c r="S456" s="3" t="s">
        <v>1006</v>
      </c>
      <c r="T456" s="3" t="s">
        <v>1007</v>
      </c>
      <c r="U456" s="11" t="s">
        <v>2468</v>
      </c>
      <c r="V456" s="11" t="s">
        <v>1064</v>
      </c>
      <c r="W456" s="11" t="s">
        <v>1065</v>
      </c>
      <c r="X456" s="13">
        <v>1</v>
      </c>
      <c r="Y456" s="12"/>
      <c r="Z456" s="11"/>
      <c r="AA456" s="11"/>
      <c r="AB456" s="11"/>
      <c r="AC456" s="11">
        <v>1</v>
      </c>
      <c r="AD456" s="11" t="s">
        <v>1227</v>
      </c>
      <c r="AE456" s="11" t="s">
        <v>1286</v>
      </c>
      <c r="AF456" s="11" t="s">
        <v>1014</v>
      </c>
      <c r="AG456" s="11" t="s">
        <v>1015</v>
      </c>
      <c r="AH456" s="11" t="s">
        <v>54</v>
      </c>
      <c r="AI456" s="11" t="s">
        <v>1016</v>
      </c>
      <c r="AJ456" s="11"/>
      <c r="AK456" s="11" t="s">
        <v>1229</v>
      </c>
      <c r="AL456" s="11" t="s">
        <v>1017</v>
      </c>
      <c r="AM456" s="11" t="s">
        <v>1230</v>
      </c>
      <c r="AN456" s="11" t="s">
        <v>1019</v>
      </c>
      <c r="AO456" s="11" t="s">
        <v>1176</v>
      </c>
      <c r="AP456" s="11" t="s">
        <v>1021</v>
      </c>
      <c r="AQ456" s="11" t="s">
        <v>1177</v>
      </c>
      <c r="AR456" s="11" t="s">
        <v>1025</v>
      </c>
      <c r="AS456" s="11" t="s">
        <v>1178</v>
      </c>
      <c r="AT456" s="11" t="s">
        <v>1025</v>
      </c>
      <c r="AU456" s="11" t="s">
        <v>1177</v>
      </c>
      <c r="AV456" s="11" t="s">
        <v>1178</v>
      </c>
      <c r="AW456" s="12">
        <v>2</v>
      </c>
      <c r="AX456" s="12">
        <v>2</v>
      </c>
      <c r="AY456" s="12">
        <v>2</v>
      </c>
      <c r="AZ456" s="12">
        <v>2</v>
      </c>
      <c r="BA456" s="12">
        <v>1</v>
      </c>
      <c r="BB456" s="12">
        <v>2</v>
      </c>
      <c r="BC456" s="12">
        <v>1</v>
      </c>
      <c r="BD456" s="11" t="s">
        <v>1026</v>
      </c>
      <c r="BE456" s="11" t="s">
        <v>1027</v>
      </c>
    </row>
    <row r="457" spans="1:57" s="8" customFormat="1" ht="58" x14ac:dyDescent="0.35">
      <c r="A457" s="7" t="s">
        <v>694</v>
      </c>
      <c r="B457" s="7" t="s">
        <v>695</v>
      </c>
      <c r="C457" s="3" t="s">
        <v>776</v>
      </c>
      <c r="D457" s="3" t="s">
        <v>57</v>
      </c>
      <c r="E457" s="3"/>
      <c r="F457" s="3" t="s">
        <v>53</v>
      </c>
      <c r="G457" s="3" t="s">
        <v>50</v>
      </c>
      <c r="H457" s="4">
        <v>654</v>
      </c>
      <c r="I457" s="4">
        <v>300</v>
      </c>
      <c r="J457" s="3" t="s">
        <v>26</v>
      </c>
      <c r="K457" s="4" t="b">
        <v>0</v>
      </c>
      <c r="L457" s="6">
        <v>0.33333333333333298</v>
      </c>
      <c r="M457" s="6">
        <v>0.33333333333333298</v>
      </c>
      <c r="N457" s="3" t="s">
        <v>58</v>
      </c>
      <c r="O457" s="3" t="s">
        <v>59</v>
      </c>
      <c r="P457" s="3" t="s">
        <v>777</v>
      </c>
      <c r="Q457" s="3" t="s">
        <v>2469</v>
      </c>
      <c r="R457" s="3" t="s">
        <v>1029</v>
      </c>
      <c r="S457" s="3" t="s">
        <v>1006</v>
      </c>
      <c r="T457" s="3" t="s">
        <v>1007</v>
      </c>
      <c r="U457" s="11" t="s">
        <v>2470</v>
      </c>
      <c r="V457" s="11" t="s">
        <v>1031</v>
      </c>
      <c r="W457" s="11" t="s">
        <v>1032</v>
      </c>
      <c r="X457" s="13">
        <v>0.7</v>
      </c>
      <c r="Y457" s="12"/>
      <c r="Z457" s="11"/>
      <c r="AA457" s="11"/>
      <c r="AB457" s="11"/>
      <c r="AC457" s="11">
        <v>0</v>
      </c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 t="s">
        <v>1019</v>
      </c>
      <c r="AO457" s="11" t="s">
        <v>1346</v>
      </c>
      <c r="AP457" s="11" t="s">
        <v>1021</v>
      </c>
      <c r="AQ457" s="11" t="s">
        <v>1347</v>
      </c>
      <c r="AR457" s="11" t="s">
        <v>1048</v>
      </c>
      <c r="AS457" s="11" t="s">
        <v>1348</v>
      </c>
      <c r="AT457" s="11" t="s">
        <v>1050</v>
      </c>
      <c r="AU457" s="11" t="s">
        <v>1347</v>
      </c>
      <c r="AV457" s="11" t="s">
        <v>1348</v>
      </c>
      <c r="AW457" s="12">
        <v>1</v>
      </c>
      <c r="AX457" s="12">
        <v>1</v>
      </c>
      <c r="AY457" s="12">
        <v>1</v>
      </c>
      <c r="AZ457" s="12">
        <v>1</v>
      </c>
      <c r="BA457" s="12">
        <v>2</v>
      </c>
      <c r="BB457" s="12">
        <v>1</v>
      </c>
      <c r="BC457" s="12">
        <v>1</v>
      </c>
      <c r="BD457" s="11" t="s">
        <v>1026</v>
      </c>
      <c r="BE457" s="11" t="s">
        <v>1051</v>
      </c>
    </row>
    <row r="458" spans="1:57" s="8" customFormat="1" ht="58" x14ac:dyDescent="0.35">
      <c r="A458" s="7" t="s">
        <v>694</v>
      </c>
      <c r="B458" s="7" t="s">
        <v>695</v>
      </c>
      <c r="C458" s="3" t="s">
        <v>778</v>
      </c>
      <c r="D458" s="3" t="s">
        <v>57</v>
      </c>
      <c r="E458" s="3"/>
      <c r="F458" s="3" t="s">
        <v>53</v>
      </c>
      <c r="G458" s="3" t="s">
        <v>50</v>
      </c>
      <c r="H458" s="4">
        <v>621</v>
      </c>
      <c r="I458" s="4">
        <v>300</v>
      </c>
      <c r="J458" s="3" t="s">
        <v>26</v>
      </c>
      <c r="K458" s="4" t="b">
        <v>0</v>
      </c>
      <c r="L458" s="6">
        <v>0.33333333333333298</v>
      </c>
      <c r="M458" s="6">
        <v>0.33333333333333298</v>
      </c>
      <c r="N458" s="3" t="s">
        <v>58</v>
      </c>
      <c r="O458" s="3" t="s">
        <v>59</v>
      </c>
      <c r="P458" s="3" t="s">
        <v>599</v>
      </c>
      <c r="Q458" s="3" t="s">
        <v>2221</v>
      </c>
      <c r="R458" s="3" t="s">
        <v>1029</v>
      </c>
      <c r="S458" s="3" t="s">
        <v>1006</v>
      </c>
      <c r="T458" s="3" t="s">
        <v>1007</v>
      </c>
      <c r="U458" s="11" t="s">
        <v>2471</v>
      </c>
      <c r="V458" s="11" t="s">
        <v>1031</v>
      </c>
      <c r="W458" s="11" t="s">
        <v>1032</v>
      </c>
      <c r="X458" s="13">
        <v>0.7</v>
      </c>
      <c r="Y458" s="12"/>
      <c r="Z458" s="11"/>
      <c r="AA458" s="11"/>
      <c r="AB458" s="11"/>
      <c r="AC458" s="11">
        <v>1</v>
      </c>
      <c r="AD458" s="11" t="s">
        <v>1227</v>
      </c>
      <c r="AE458" s="11" t="s">
        <v>2472</v>
      </c>
      <c r="AF458" s="11" t="s">
        <v>1014</v>
      </c>
      <c r="AG458" s="11" t="s">
        <v>1015</v>
      </c>
      <c r="AH458" s="11"/>
      <c r="AI458" s="11" t="s">
        <v>1016</v>
      </c>
      <c r="AJ458" s="11"/>
      <c r="AK458" s="11" t="s">
        <v>1229</v>
      </c>
      <c r="AL458" s="11" t="s">
        <v>1017</v>
      </c>
      <c r="AM458" s="11" t="s">
        <v>1230</v>
      </c>
      <c r="AN458" s="11" t="s">
        <v>1019</v>
      </c>
      <c r="AO458" s="11" t="s">
        <v>1341</v>
      </c>
      <c r="AP458" s="11" t="s">
        <v>1021</v>
      </c>
      <c r="AQ458" s="11" t="s">
        <v>1342</v>
      </c>
      <c r="AR458" s="11" t="s">
        <v>1048</v>
      </c>
      <c r="AS458" s="11" t="s">
        <v>1343</v>
      </c>
      <c r="AT458" s="11" t="s">
        <v>1050</v>
      </c>
      <c r="AU458" s="11" t="s">
        <v>1342</v>
      </c>
      <c r="AV458" s="11" t="s">
        <v>1343</v>
      </c>
      <c r="AW458" s="12">
        <v>1</v>
      </c>
      <c r="AX458" s="12">
        <v>1</v>
      </c>
      <c r="AY458" s="12">
        <v>1</v>
      </c>
      <c r="AZ458" s="12">
        <v>1</v>
      </c>
      <c r="BA458" s="12">
        <v>3</v>
      </c>
      <c r="BB458" s="12">
        <v>1</v>
      </c>
      <c r="BC458" s="12">
        <v>1</v>
      </c>
      <c r="BD458" s="11" t="s">
        <v>1026</v>
      </c>
      <c r="BE458" s="11" t="s">
        <v>1051</v>
      </c>
    </row>
    <row r="459" spans="1:57" s="8" customFormat="1" ht="58" x14ac:dyDescent="0.35">
      <c r="A459" s="7" t="s">
        <v>694</v>
      </c>
      <c r="B459" s="7" t="s">
        <v>695</v>
      </c>
      <c r="C459" s="3" t="s">
        <v>779</v>
      </c>
      <c r="D459" s="3" t="s">
        <v>52</v>
      </c>
      <c r="E459" s="3"/>
      <c r="F459" s="3" t="s">
        <v>53</v>
      </c>
      <c r="G459" s="3" t="s">
        <v>50</v>
      </c>
      <c r="H459" s="4">
        <v>418</v>
      </c>
      <c r="I459" s="4">
        <v>500</v>
      </c>
      <c r="J459" s="3" t="s">
        <v>74</v>
      </c>
      <c r="K459" s="4" t="b">
        <v>0</v>
      </c>
      <c r="L459" s="6">
        <v>0.33333333333333298</v>
      </c>
      <c r="M459" s="6">
        <v>0.33333333333333298</v>
      </c>
      <c r="N459" s="3" t="s">
        <v>54</v>
      </c>
      <c r="O459" s="3" t="s">
        <v>55</v>
      </c>
      <c r="P459" s="3" t="s">
        <v>152</v>
      </c>
      <c r="Q459" s="3" t="s">
        <v>1293</v>
      </c>
      <c r="R459" s="3" t="s">
        <v>1074</v>
      </c>
      <c r="S459" s="3" t="s">
        <v>1006</v>
      </c>
      <c r="T459" s="3" t="s">
        <v>1007</v>
      </c>
      <c r="U459" s="11" t="s">
        <v>2473</v>
      </c>
      <c r="V459" s="11" t="s">
        <v>1031</v>
      </c>
      <c r="W459" s="11" t="s">
        <v>1032</v>
      </c>
      <c r="X459" s="13">
        <v>0.7</v>
      </c>
      <c r="Y459" s="12"/>
      <c r="Z459" s="11"/>
      <c r="AA459" s="11"/>
      <c r="AB459" s="11"/>
      <c r="AC459" s="11">
        <v>4</v>
      </c>
      <c r="AD459" s="11" t="s">
        <v>1076</v>
      </c>
      <c r="AE459" s="11" t="s">
        <v>2474</v>
      </c>
      <c r="AF459" s="11" t="s">
        <v>1014</v>
      </c>
      <c r="AG459" s="11" t="s">
        <v>1015</v>
      </c>
      <c r="AH459" s="11" t="s">
        <v>1078</v>
      </c>
      <c r="AI459" s="11" t="s">
        <v>1016</v>
      </c>
      <c r="AJ459" s="11"/>
      <c r="AK459" s="11" t="s">
        <v>1079</v>
      </c>
      <c r="AL459" s="11" t="s">
        <v>1017</v>
      </c>
      <c r="AM459" s="11" t="s">
        <v>1080</v>
      </c>
      <c r="AN459" s="11" t="s">
        <v>1019</v>
      </c>
      <c r="AO459" s="11" t="s">
        <v>1296</v>
      </c>
      <c r="AP459" s="11" t="s">
        <v>1021</v>
      </c>
      <c r="AQ459" s="11" t="s">
        <v>1297</v>
      </c>
      <c r="AR459" s="11" t="s">
        <v>1048</v>
      </c>
      <c r="AS459" s="11" t="s">
        <v>1298</v>
      </c>
      <c r="AT459" s="11" t="s">
        <v>1050</v>
      </c>
      <c r="AU459" s="11" t="s">
        <v>1297</v>
      </c>
      <c r="AV459" s="11" t="s">
        <v>1298</v>
      </c>
      <c r="AW459" s="12">
        <v>1</v>
      </c>
      <c r="AX459" s="12">
        <v>1</v>
      </c>
      <c r="AY459" s="12">
        <v>1</v>
      </c>
      <c r="AZ459" s="12">
        <v>1</v>
      </c>
      <c r="BA459" s="12">
        <v>2</v>
      </c>
      <c r="BB459" s="12">
        <v>1</v>
      </c>
      <c r="BC459" s="12">
        <v>1</v>
      </c>
      <c r="BD459" s="11" t="s">
        <v>1026</v>
      </c>
      <c r="BE459" s="11" t="s">
        <v>1051</v>
      </c>
    </row>
    <row r="460" spans="1:57" s="8" customFormat="1" ht="58" x14ac:dyDescent="0.35">
      <c r="A460" s="7" t="s">
        <v>694</v>
      </c>
      <c r="B460" s="7" t="s">
        <v>695</v>
      </c>
      <c r="C460" s="3" t="s">
        <v>779</v>
      </c>
      <c r="D460" s="3" t="s">
        <v>57</v>
      </c>
      <c r="E460" s="3"/>
      <c r="F460" s="3" t="s">
        <v>53</v>
      </c>
      <c r="G460" s="3" t="s">
        <v>50</v>
      </c>
      <c r="H460" s="4">
        <v>418</v>
      </c>
      <c r="I460" s="4">
        <v>300</v>
      </c>
      <c r="J460" s="3" t="s">
        <v>26</v>
      </c>
      <c r="K460" s="4" t="b">
        <v>0</v>
      </c>
      <c r="L460" s="6">
        <v>0.33333333333333298</v>
      </c>
      <c r="M460" s="6">
        <v>0.33333333333333298</v>
      </c>
      <c r="N460" s="3" t="s">
        <v>58</v>
      </c>
      <c r="O460" s="3" t="s">
        <v>59</v>
      </c>
      <c r="P460" s="3" t="s">
        <v>152</v>
      </c>
      <c r="Q460" s="3" t="s">
        <v>1293</v>
      </c>
      <c r="R460" s="3" t="s">
        <v>1074</v>
      </c>
      <c r="S460" s="3" t="s">
        <v>1006</v>
      </c>
      <c r="T460" s="3" t="s">
        <v>1007</v>
      </c>
      <c r="U460" s="11" t="s">
        <v>2473</v>
      </c>
      <c r="V460" s="11" t="s">
        <v>1031</v>
      </c>
      <c r="W460" s="11" t="s">
        <v>1032</v>
      </c>
      <c r="X460" s="13">
        <v>0.7</v>
      </c>
      <c r="Y460" s="12"/>
      <c r="Z460" s="11"/>
      <c r="AA460" s="11"/>
      <c r="AB460" s="11"/>
      <c r="AC460" s="11">
        <v>0</v>
      </c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 t="s">
        <v>1019</v>
      </c>
      <c r="AO460" s="11" t="s">
        <v>1296</v>
      </c>
      <c r="AP460" s="11" t="s">
        <v>1021</v>
      </c>
      <c r="AQ460" s="11" t="s">
        <v>1297</v>
      </c>
      <c r="AR460" s="11" t="s">
        <v>1048</v>
      </c>
      <c r="AS460" s="11" t="s">
        <v>1298</v>
      </c>
      <c r="AT460" s="11" t="s">
        <v>1050</v>
      </c>
      <c r="AU460" s="11" t="s">
        <v>1297</v>
      </c>
      <c r="AV460" s="11" t="s">
        <v>1298</v>
      </c>
      <c r="AW460" s="12">
        <v>1</v>
      </c>
      <c r="AX460" s="12">
        <v>1</v>
      </c>
      <c r="AY460" s="12">
        <v>1</v>
      </c>
      <c r="AZ460" s="12">
        <v>1</v>
      </c>
      <c r="BA460" s="12">
        <v>2</v>
      </c>
      <c r="BB460" s="12">
        <v>1</v>
      </c>
      <c r="BC460" s="12">
        <v>1</v>
      </c>
      <c r="BD460" s="11" t="s">
        <v>1026</v>
      </c>
      <c r="BE460" s="11" t="s">
        <v>1051</v>
      </c>
    </row>
    <row r="461" spans="1:57" s="8" customFormat="1" ht="58" x14ac:dyDescent="0.35">
      <c r="A461" s="7" t="s">
        <v>694</v>
      </c>
      <c r="B461" s="7" t="s">
        <v>695</v>
      </c>
      <c r="C461" s="3" t="s">
        <v>780</v>
      </c>
      <c r="D461" s="3" t="s">
        <v>57</v>
      </c>
      <c r="E461" s="3"/>
      <c r="F461" s="3" t="s">
        <v>53</v>
      </c>
      <c r="G461" s="3" t="s">
        <v>50</v>
      </c>
      <c r="H461" s="4">
        <v>426</v>
      </c>
      <c r="I461" s="4">
        <v>300</v>
      </c>
      <c r="J461" s="3" t="s">
        <v>26</v>
      </c>
      <c r="K461" s="4" t="b">
        <v>0</v>
      </c>
      <c r="L461" s="6">
        <v>0.33333333333333298</v>
      </c>
      <c r="M461" s="6">
        <v>0.33333333333333298</v>
      </c>
      <c r="N461" s="3" t="s">
        <v>58</v>
      </c>
      <c r="O461" s="3" t="s">
        <v>59</v>
      </c>
      <c r="P461" s="3" t="s">
        <v>781</v>
      </c>
      <c r="Q461" s="3" t="s">
        <v>2475</v>
      </c>
      <c r="R461" s="3" t="s">
        <v>1029</v>
      </c>
      <c r="S461" s="3" t="s">
        <v>1006</v>
      </c>
      <c r="T461" s="3" t="s">
        <v>1007</v>
      </c>
      <c r="U461" s="11" t="s">
        <v>2476</v>
      </c>
      <c r="V461" s="11" t="s">
        <v>1064</v>
      </c>
      <c r="W461" s="11" t="s">
        <v>1065</v>
      </c>
      <c r="X461" s="13">
        <v>1</v>
      </c>
      <c r="Y461" s="12"/>
      <c r="Z461" s="11"/>
      <c r="AA461" s="11"/>
      <c r="AB461" s="11"/>
      <c r="AC461" s="11">
        <v>0</v>
      </c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 t="s">
        <v>1019</v>
      </c>
      <c r="AO461" s="11" t="s">
        <v>1130</v>
      </c>
      <c r="AP461" s="11" t="s">
        <v>1021</v>
      </c>
      <c r="AQ461" s="11" t="s">
        <v>1131</v>
      </c>
      <c r="AR461" s="11" t="s">
        <v>1048</v>
      </c>
      <c r="AS461" s="11" t="s">
        <v>1132</v>
      </c>
      <c r="AT461" s="11" t="s">
        <v>1050</v>
      </c>
      <c r="AU461" s="11" t="s">
        <v>1131</v>
      </c>
      <c r="AV461" s="11" t="s">
        <v>1132</v>
      </c>
      <c r="AW461" s="12">
        <v>1</v>
      </c>
      <c r="AX461" s="12">
        <v>1</v>
      </c>
      <c r="AY461" s="12">
        <v>1</v>
      </c>
      <c r="AZ461" s="12">
        <v>1</v>
      </c>
      <c r="BA461" s="12">
        <v>3</v>
      </c>
      <c r="BB461" s="12">
        <v>1</v>
      </c>
      <c r="BC461" s="12">
        <v>1</v>
      </c>
      <c r="BD461" s="11" t="s">
        <v>1026</v>
      </c>
      <c r="BE461" s="11" t="s">
        <v>1051</v>
      </c>
    </row>
    <row r="462" spans="1:57" s="8" customFormat="1" ht="43.5" x14ac:dyDescent="0.35">
      <c r="A462" s="7" t="s">
        <v>694</v>
      </c>
      <c r="B462" s="7" t="s">
        <v>695</v>
      </c>
      <c r="C462" s="3" t="s">
        <v>782</v>
      </c>
      <c r="D462" s="3" t="s">
        <v>30</v>
      </c>
      <c r="E462" s="3" t="s">
        <v>30</v>
      </c>
      <c r="F462" s="3" t="s">
        <v>31</v>
      </c>
      <c r="G462" s="3" t="s">
        <v>25</v>
      </c>
      <c r="H462" s="4">
        <v>396</v>
      </c>
      <c r="I462" s="4">
        <v>250</v>
      </c>
      <c r="J462" s="3" t="s">
        <v>26</v>
      </c>
      <c r="K462" s="4" t="b">
        <v>1</v>
      </c>
      <c r="L462" s="6">
        <v>1</v>
      </c>
      <c r="M462" s="6">
        <v>1</v>
      </c>
      <c r="N462" s="3" t="s">
        <v>32</v>
      </c>
      <c r="O462" s="3"/>
      <c r="P462" s="3" t="s">
        <v>783</v>
      </c>
      <c r="Q462" s="3" t="s">
        <v>1907</v>
      </c>
      <c r="R462" s="3" t="s">
        <v>1074</v>
      </c>
      <c r="S462" s="3" t="s">
        <v>1006</v>
      </c>
      <c r="T462" s="3" t="s">
        <v>1007</v>
      </c>
      <c r="U462" s="11" t="s">
        <v>2477</v>
      </c>
      <c r="V462" s="11" t="s">
        <v>1031</v>
      </c>
      <c r="W462" s="11" t="s">
        <v>1032</v>
      </c>
      <c r="X462" s="13">
        <v>0.7</v>
      </c>
      <c r="Y462" s="12"/>
      <c r="Z462" s="11"/>
      <c r="AA462" s="11"/>
      <c r="AB462" s="11"/>
      <c r="AC462" s="11">
        <v>0</v>
      </c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 t="s">
        <v>1019</v>
      </c>
      <c r="AO462" s="11" t="s">
        <v>1909</v>
      </c>
      <c r="AP462" s="11" t="s">
        <v>1021</v>
      </c>
      <c r="AQ462" s="11" t="s">
        <v>1910</v>
      </c>
      <c r="AR462" s="11" t="s">
        <v>1050</v>
      </c>
      <c r="AS462" s="11" t="s">
        <v>1911</v>
      </c>
      <c r="AT462" s="11" t="s">
        <v>1050</v>
      </c>
      <c r="AU462" s="11" t="s">
        <v>1910</v>
      </c>
      <c r="AV462" s="11" t="s">
        <v>1911</v>
      </c>
      <c r="AW462" s="12">
        <v>1</v>
      </c>
      <c r="AX462" s="12">
        <v>1</v>
      </c>
      <c r="AY462" s="12">
        <v>1</v>
      </c>
      <c r="AZ462" s="12">
        <v>1</v>
      </c>
      <c r="BA462" s="12">
        <v>1</v>
      </c>
      <c r="BB462" s="12">
        <v>1</v>
      </c>
      <c r="BC462" s="12">
        <v>1</v>
      </c>
      <c r="BD462" s="11" t="s">
        <v>1026</v>
      </c>
      <c r="BE462" s="11" t="s">
        <v>1103</v>
      </c>
    </row>
    <row r="463" spans="1:57" s="8" customFormat="1" ht="87" x14ac:dyDescent="0.35">
      <c r="A463" s="7" t="s">
        <v>694</v>
      </c>
      <c r="B463" s="7" t="s">
        <v>695</v>
      </c>
      <c r="C463" s="3" t="s">
        <v>784</v>
      </c>
      <c r="D463" s="3" t="s">
        <v>52</v>
      </c>
      <c r="E463" s="3"/>
      <c r="F463" s="3" t="s">
        <v>53</v>
      </c>
      <c r="G463" s="3" t="s">
        <v>50</v>
      </c>
      <c r="H463" s="4">
        <v>541</v>
      </c>
      <c r="I463" s="4">
        <v>500</v>
      </c>
      <c r="J463" s="3" t="s">
        <v>26</v>
      </c>
      <c r="K463" s="4" t="b">
        <v>0</v>
      </c>
      <c r="L463" s="6">
        <v>0.33333333333333298</v>
      </c>
      <c r="M463" s="6">
        <v>0.33333333333333298</v>
      </c>
      <c r="N463" s="3" t="s">
        <v>54</v>
      </c>
      <c r="O463" s="3" t="s">
        <v>55</v>
      </c>
      <c r="P463" s="3" t="s">
        <v>257</v>
      </c>
      <c r="Q463" s="3" t="s">
        <v>1576</v>
      </c>
      <c r="R463" s="3" t="s">
        <v>1074</v>
      </c>
      <c r="S463" s="3" t="s">
        <v>1006</v>
      </c>
      <c r="T463" s="3" t="s">
        <v>1393</v>
      </c>
      <c r="U463" s="11" t="s">
        <v>2478</v>
      </c>
      <c r="V463" s="11" t="s">
        <v>1064</v>
      </c>
      <c r="W463" s="11" t="s">
        <v>1065</v>
      </c>
      <c r="X463" s="13">
        <v>1</v>
      </c>
      <c r="Y463" s="12"/>
      <c r="Z463" s="11"/>
      <c r="AA463" s="11"/>
      <c r="AB463" s="11"/>
      <c r="AC463" s="11">
        <v>6</v>
      </c>
      <c r="AD463" s="11" t="s">
        <v>1076</v>
      </c>
      <c r="AE463" s="11" t="s">
        <v>1578</v>
      </c>
      <c r="AF463" s="11" t="s">
        <v>1014</v>
      </c>
      <c r="AG463" s="11" t="s">
        <v>1015</v>
      </c>
      <c r="AH463" s="11" t="s">
        <v>1579</v>
      </c>
      <c r="AI463" s="11" t="s">
        <v>1016</v>
      </c>
      <c r="AJ463" s="11"/>
      <c r="AK463" s="11" t="s">
        <v>1079</v>
      </c>
      <c r="AL463" s="11" t="s">
        <v>1017</v>
      </c>
      <c r="AM463" s="11" t="s">
        <v>1080</v>
      </c>
      <c r="AN463" s="11" t="s">
        <v>1019</v>
      </c>
      <c r="AO463" s="11" t="s">
        <v>1580</v>
      </c>
      <c r="AP463" s="11" t="s">
        <v>1021</v>
      </c>
      <c r="AQ463" s="11" t="s">
        <v>1581</v>
      </c>
      <c r="AR463" s="11" t="s">
        <v>1048</v>
      </c>
      <c r="AS463" s="11" t="s">
        <v>1582</v>
      </c>
      <c r="AT463" s="11" t="s">
        <v>1025</v>
      </c>
      <c r="AU463" s="11" t="s">
        <v>1583</v>
      </c>
      <c r="AV463" s="11" t="s">
        <v>1582</v>
      </c>
      <c r="AW463" s="12">
        <v>2</v>
      </c>
      <c r="AX463" s="12">
        <v>2</v>
      </c>
      <c r="AY463" s="12">
        <v>2</v>
      </c>
      <c r="AZ463" s="12">
        <v>1</v>
      </c>
      <c r="BA463" s="12">
        <v>2</v>
      </c>
      <c r="BB463" s="12">
        <v>2</v>
      </c>
      <c r="BC463" s="12">
        <v>1</v>
      </c>
      <c r="BD463" s="11" t="s">
        <v>1026</v>
      </c>
      <c r="BE463" s="11" t="s">
        <v>1027</v>
      </c>
    </row>
    <row r="464" spans="1:57" s="8" customFormat="1" ht="58" x14ac:dyDescent="0.35">
      <c r="A464" s="7" t="s">
        <v>694</v>
      </c>
      <c r="B464" s="7" t="s">
        <v>695</v>
      </c>
      <c r="C464" s="3" t="s">
        <v>785</v>
      </c>
      <c r="D464" s="3" t="s">
        <v>57</v>
      </c>
      <c r="E464" s="3"/>
      <c r="F464" s="3" t="s">
        <v>53</v>
      </c>
      <c r="G464" s="3" t="s">
        <v>50</v>
      </c>
      <c r="H464" s="4">
        <v>387</v>
      </c>
      <c r="I464" s="4">
        <v>300</v>
      </c>
      <c r="J464" s="3" t="s">
        <v>26</v>
      </c>
      <c r="K464" s="4" t="b">
        <v>0</v>
      </c>
      <c r="L464" s="6">
        <v>0.33333333333333298</v>
      </c>
      <c r="M464" s="6">
        <v>0.33333333333333298</v>
      </c>
      <c r="N464" s="3" t="s">
        <v>58</v>
      </c>
      <c r="O464" s="3" t="s">
        <v>59</v>
      </c>
      <c r="P464" s="3" t="s">
        <v>786</v>
      </c>
      <c r="Q464" s="3" t="s">
        <v>2479</v>
      </c>
      <c r="R464" s="3" t="s">
        <v>1154</v>
      </c>
      <c r="S464" s="3" t="s">
        <v>1006</v>
      </c>
      <c r="T464" s="3" t="s">
        <v>1007</v>
      </c>
      <c r="U464" s="11" t="s">
        <v>2480</v>
      </c>
      <c r="V464" s="11" t="s">
        <v>1064</v>
      </c>
      <c r="W464" s="11" t="s">
        <v>1065</v>
      </c>
      <c r="X464" s="13">
        <v>1</v>
      </c>
      <c r="Y464" s="12"/>
      <c r="Z464" s="11"/>
      <c r="AA464" s="11"/>
      <c r="AB464" s="11"/>
      <c r="AC464" s="11">
        <v>0</v>
      </c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 t="s">
        <v>1019</v>
      </c>
      <c r="AO464" s="11" t="s">
        <v>2481</v>
      </c>
      <c r="AP464" s="11" t="s">
        <v>1021</v>
      </c>
      <c r="AQ464" s="11" t="s">
        <v>2482</v>
      </c>
      <c r="AR464" s="11" t="s">
        <v>1050</v>
      </c>
      <c r="AS464" s="11"/>
      <c r="AT464" s="11" t="s">
        <v>1034</v>
      </c>
      <c r="AU464" s="11" t="s">
        <v>2482</v>
      </c>
      <c r="AV464" s="11"/>
      <c r="AW464" s="12">
        <v>1</v>
      </c>
      <c r="AX464" s="12">
        <v>1</v>
      </c>
      <c r="AY464" s="12">
        <v>1</v>
      </c>
      <c r="AZ464" s="12">
        <v>1</v>
      </c>
      <c r="BA464" s="12">
        <v>1</v>
      </c>
      <c r="BB464" s="12"/>
      <c r="BC464" s="12"/>
      <c r="BD464" s="11" t="s">
        <v>1093</v>
      </c>
      <c r="BE464" s="11" t="s">
        <v>1037</v>
      </c>
    </row>
    <row r="465" spans="1:57" s="8" customFormat="1" ht="58" x14ac:dyDescent="0.35">
      <c r="A465" s="7" t="s">
        <v>694</v>
      </c>
      <c r="B465" s="7" t="s">
        <v>695</v>
      </c>
      <c r="C465" s="3" t="s">
        <v>787</v>
      </c>
      <c r="D465" s="3" t="s">
        <v>172</v>
      </c>
      <c r="E465" s="3" t="s">
        <v>172</v>
      </c>
      <c r="F465" s="3" t="s">
        <v>31</v>
      </c>
      <c r="G465" s="3" t="s">
        <v>25</v>
      </c>
      <c r="H465" s="4">
        <v>135</v>
      </c>
      <c r="I465" s="4">
        <v>90</v>
      </c>
      <c r="J465" s="3" t="s">
        <v>26</v>
      </c>
      <c r="K465" s="4" t="b">
        <v>1</v>
      </c>
      <c r="L465" s="6">
        <v>1</v>
      </c>
      <c r="M465" s="6">
        <v>1</v>
      </c>
      <c r="N465" s="3" t="s">
        <v>173</v>
      </c>
      <c r="O465" s="3"/>
      <c r="P465" s="3" t="s">
        <v>788</v>
      </c>
      <c r="Q465" s="3" t="s">
        <v>2052</v>
      </c>
      <c r="R465" s="3" t="s">
        <v>1029</v>
      </c>
      <c r="S465" s="3" t="s">
        <v>1006</v>
      </c>
      <c r="T465" s="3" t="s">
        <v>1007</v>
      </c>
      <c r="U465" s="11" t="s">
        <v>2483</v>
      </c>
      <c r="V465" s="11" t="s">
        <v>1031</v>
      </c>
      <c r="W465" s="11" t="s">
        <v>1032</v>
      </c>
      <c r="X465" s="13">
        <v>0.7</v>
      </c>
      <c r="Y465" s="12"/>
      <c r="Z465" s="11"/>
      <c r="AA465" s="11"/>
      <c r="AB465" s="11"/>
      <c r="AC465" s="11">
        <v>0</v>
      </c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 t="s">
        <v>1019</v>
      </c>
      <c r="AO465" s="11" t="s">
        <v>1351</v>
      </c>
      <c r="AP465" s="11" t="s">
        <v>1021</v>
      </c>
      <c r="AQ465" s="11" t="s">
        <v>1352</v>
      </c>
      <c r="AR465" s="11" t="s">
        <v>1023</v>
      </c>
      <c r="AS465" s="11" t="s">
        <v>1353</v>
      </c>
      <c r="AT465" s="11" t="s">
        <v>1025</v>
      </c>
      <c r="AU465" s="11" t="s">
        <v>1352</v>
      </c>
      <c r="AV465" s="11" t="s">
        <v>1353</v>
      </c>
      <c r="AW465" s="12">
        <v>1</v>
      </c>
      <c r="AX465" s="12">
        <v>3</v>
      </c>
      <c r="AY465" s="12">
        <v>3</v>
      </c>
      <c r="AZ465" s="12">
        <v>3</v>
      </c>
      <c r="BA465" s="12">
        <v>4</v>
      </c>
      <c r="BB465" s="12">
        <v>3</v>
      </c>
      <c r="BC465" s="12">
        <v>1</v>
      </c>
      <c r="BD465" s="11" t="s">
        <v>1026</v>
      </c>
      <c r="BE465" s="11" t="s">
        <v>1027</v>
      </c>
    </row>
    <row r="466" spans="1:57" s="8" customFormat="1" ht="58" x14ac:dyDescent="0.35">
      <c r="A466" s="7" t="s">
        <v>694</v>
      </c>
      <c r="B466" s="7" t="s">
        <v>695</v>
      </c>
      <c r="C466" s="3" t="s">
        <v>789</v>
      </c>
      <c r="D466" s="3" t="s">
        <v>57</v>
      </c>
      <c r="E466" s="3"/>
      <c r="F466" s="3" t="s">
        <v>53</v>
      </c>
      <c r="G466" s="3" t="s">
        <v>50</v>
      </c>
      <c r="H466" s="4">
        <v>656</v>
      </c>
      <c r="I466" s="4">
        <v>300</v>
      </c>
      <c r="J466" s="3" t="s">
        <v>26</v>
      </c>
      <c r="K466" s="4" t="b">
        <v>0</v>
      </c>
      <c r="L466" s="6">
        <v>0.33333333333333298</v>
      </c>
      <c r="M466" s="6">
        <v>0.33333333333333298</v>
      </c>
      <c r="N466" s="3" t="s">
        <v>58</v>
      </c>
      <c r="O466" s="3" t="s">
        <v>59</v>
      </c>
      <c r="P466" s="3" t="s">
        <v>387</v>
      </c>
      <c r="Q466" s="3" t="s">
        <v>1896</v>
      </c>
      <c r="R466" s="3" t="s">
        <v>1029</v>
      </c>
      <c r="S466" s="3" t="s">
        <v>1006</v>
      </c>
      <c r="T466" s="3" t="s">
        <v>1007</v>
      </c>
      <c r="U466" s="11" t="s">
        <v>2484</v>
      </c>
      <c r="V466" s="11" t="s">
        <v>1031</v>
      </c>
      <c r="W466" s="11" t="s">
        <v>1032</v>
      </c>
      <c r="X466" s="13">
        <v>0.7</v>
      </c>
      <c r="Y466" s="12"/>
      <c r="Z466" s="11"/>
      <c r="AA466" s="11"/>
      <c r="AB466" s="11"/>
      <c r="AC466" s="11">
        <v>1</v>
      </c>
      <c r="AD466" s="11" t="s">
        <v>1227</v>
      </c>
      <c r="AE466" s="11" t="s">
        <v>2485</v>
      </c>
      <c r="AF466" s="11" t="s">
        <v>1014</v>
      </c>
      <c r="AG466" s="11" t="s">
        <v>1015</v>
      </c>
      <c r="AH466" s="11"/>
      <c r="AI466" s="11" t="s">
        <v>1016</v>
      </c>
      <c r="AJ466" s="11"/>
      <c r="AK466" s="11" t="s">
        <v>1229</v>
      </c>
      <c r="AL466" s="11" t="s">
        <v>1017</v>
      </c>
      <c r="AM466" s="11" t="s">
        <v>1230</v>
      </c>
      <c r="AN466" s="11" t="s">
        <v>1019</v>
      </c>
      <c r="AO466" s="11" t="s">
        <v>1898</v>
      </c>
      <c r="AP466" s="11" t="s">
        <v>1021</v>
      </c>
      <c r="AQ466" s="11" t="s">
        <v>1899</v>
      </c>
      <c r="AR466" s="11" t="s">
        <v>1048</v>
      </c>
      <c r="AS466" s="11" t="s">
        <v>1900</v>
      </c>
      <c r="AT466" s="11" t="s">
        <v>1050</v>
      </c>
      <c r="AU466" s="11" t="s">
        <v>1899</v>
      </c>
      <c r="AV466" s="11" t="s">
        <v>1900</v>
      </c>
      <c r="AW466" s="12">
        <v>1</v>
      </c>
      <c r="AX466" s="12">
        <v>1</v>
      </c>
      <c r="AY466" s="12">
        <v>1</v>
      </c>
      <c r="AZ466" s="12">
        <v>1</v>
      </c>
      <c r="BA466" s="12">
        <v>4</v>
      </c>
      <c r="BB466" s="12">
        <v>1</v>
      </c>
      <c r="BC466" s="12">
        <v>1</v>
      </c>
      <c r="BD466" s="11" t="s">
        <v>1026</v>
      </c>
      <c r="BE466" s="11" t="s">
        <v>1051</v>
      </c>
    </row>
    <row r="467" spans="1:57" s="8" customFormat="1" ht="58" x14ac:dyDescent="0.35">
      <c r="A467" s="7" t="s">
        <v>694</v>
      </c>
      <c r="B467" s="7" t="s">
        <v>695</v>
      </c>
      <c r="C467" s="3" t="s">
        <v>790</v>
      </c>
      <c r="D467" s="3" t="s">
        <v>57</v>
      </c>
      <c r="E467" s="3"/>
      <c r="F467" s="3" t="s">
        <v>53</v>
      </c>
      <c r="G467" s="3" t="s">
        <v>50</v>
      </c>
      <c r="H467" s="4">
        <v>699</v>
      </c>
      <c r="I467" s="4">
        <v>300</v>
      </c>
      <c r="J467" s="3" t="s">
        <v>26</v>
      </c>
      <c r="K467" s="4" t="b">
        <v>0</v>
      </c>
      <c r="L467" s="6">
        <v>0.33333333333333298</v>
      </c>
      <c r="M467" s="6">
        <v>0.33333333333333298</v>
      </c>
      <c r="N467" s="3" t="s">
        <v>58</v>
      </c>
      <c r="O467" s="3" t="s">
        <v>59</v>
      </c>
      <c r="P467" s="3" t="s">
        <v>212</v>
      </c>
      <c r="Q467" s="3" t="s">
        <v>1466</v>
      </c>
      <c r="R467" s="3" t="s">
        <v>1005</v>
      </c>
      <c r="S467" s="3" t="s">
        <v>1006</v>
      </c>
      <c r="T467" s="3" t="s">
        <v>1196</v>
      </c>
      <c r="U467" s="11" t="s">
        <v>2486</v>
      </c>
      <c r="V467" s="11" t="s">
        <v>1064</v>
      </c>
      <c r="W467" s="11" t="s">
        <v>1065</v>
      </c>
      <c r="X467" s="13">
        <v>1</v>
      </c>
      <c r="Y467" s="12"/>
      <c r="Z467" s="11"/>
      <c r="AA467" s="11"/>
      <c r="AB467" s="11"/>
      <c r="AC467" s="11">
        <v>0</v>
      </c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 t="s">
        <v>1019</v>
      </c>
      <c r="AO467" s="11" t="s">
        <v>1469</v>
      </c>
      <c r="AP467" s="11" t="s">
        <v>1021</v>
      </c>
      <c r="AQ467" s="11" t="s">
        <v>1470</v>
      </c>
      <c r="AR467" s="11" t="s">
        <v>1048</v>
      </c>
      <c r="AS467" s="11" t="s">
        <v>1471</v>
      </c>
      <c r="AT467" s="11" t="s">
        <v>1050</v>
      </c>
      <c r="AU467" s="11" t="s">
        <v>1470</v>
      </c>
      <c r="AV467" s="11" t="s">
        <v>1471</v>
      </c>
      <c r="AW467" s="12">
        <v>1</v>
      </c>
      <c r="AX467" s="12">
        <v>1</v>
      </c>
      <c r="AY467" s="12">
        <v>1</v>
      </c>
      <c r="AZ467" s="12">
        <v>1</v>
      </c>
      <c r="BA467" s="12">
        <v>3</v>
      </c>
      <c r="BB467" s="12">
        <v>1</v>
      </c>
      <c r="BC467" s="12">
        <v>1</v>
      </c>
      <c r="BD467" s="11" t="s">
        <v>1026</v>
      </c>
      <c r="BE467" s="11" t="s">
        <v>1051</v>
      </c>
    </row>
    <row r="468" spans="1:57" s="8" customFormat="1" ht="72.5" x14ac:dyDescent="0.35">
      <c r="A468" s="7" t="s">
        <v>694</v>
      </c>
      <c r="B468" s="7" t="s">
        <v>695</v>
      </c>
      <c r="C468" s="3" t="s">
        <v>791</v>
      </c>
      <c r="D468" s="3" t="s">
        <v>41</v>
      </c>
      <c r="E468" s="3" t="s">
        <v>41</v>
      </c>
      <c r="F468" s="3" t="s">
        <v>36</v>
      </c>
      <c r="G468" s="3" t="s">
        <v>25</v>
      </c>
      <c r="H468" s="4">
        <v>1662</v>
      </c>
      <c r="I468" s="4">
        <v>150</v>
      </c>
      <c r="J468" s="3" t="s">
        <v>26</v>
      </c>
      <c r="K468" s="4" t="b">
        <v>1</v>
      </c>
      <c r="L468" s="6">
        <v>1</v>
      </c>
      <c r="M468" s="6">
        <v>1</v>
      </c>
      <c r="N468" s="3" t="s">
        <v>42</v>
      </c>
      <c r="O468" s="3"/>
      <c r="P468" s="3" t="s">
        <v>792</v>
      </c>
      <c r="Q468" s="3" t="s">
        <v>2487</v>
      </c>
      <c r="R468" s="3" t="s">
        <v>1039</v>
      </c>
      <c r="S468" s="3" t="s">
        <v>2488</v>
      </c>
      <c r="T468" s="3" t="s">
        <v>2489</v>
      </c>
      <c r="U468" s="11" t="s">
        <v>2490</v>
      </c>
      <c r="V468" s="11" t="s">
        <v>1043</v>
      </c>
      <c r="W468" s="11" t="s">
        <v>1044</v>
      </c>
      <c r="X468" s="13">
        <v>0.79</v>
      </c>
      <c r="Y468" s="12" t="s">
        <v>2491</v>
      </c>
      <c r="Z468" s="11"/>
      <c r="AA468" s="11"/>
      <c r="AB468" s="11"/>
      <c r="AC468" s="11">
        <v>0</v>
      </c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 t="s">
        <v>1019</v>
      </c>
      <c r="AO468" s="11" t="s">
        <v>1868</v>
      </c>
      <c r="AP468" s="11" t="s">
        <v>1114</v>
      </c>
      <c r="AQ468" s="11"/>
      <c r="AR468" s="11" t="s">
        <v>1034</v>
      </c>
      <c r="AS468" s="11"/>
      <c r="AT468" s="11" t="s">
        <v>1034</v>
      </c>
      <c r="AU468" s="11"/>
      <c r="AV468" s="11"/>
      <c r="AW468" s="12">
        <v>1</v>
      </c>
      <c r="AX468" s="12">
        <v>1</v>
      </c>
      <c r="AY468" s="12">
        <v>1</v>
      </c>
      <c r="AZ468" s="12"/>
      <c r="BA468" s="12"/>
      <c r="BB468" s="12"/>
      <c r="BC468" s="12"/>
      <c r="BD468" s="11" t="s">
        <v>1115</v>
      </c>
      <c r="BE468" s="11" t="s">
        <v>1116</v>
      </c>
    </row>
    <row r="469" spans="1:57" s="8" customFormat="1" ht="58" x14ac:dyDescent="0.35">
      <c r="A469" s="7" t="s">
        <v>694</v>
      </c>
      <c r="B469" s="7" t="s">
        <v>695</v>
      </c>
      <c r="C469" s="3" t="s">
        <v>793</v>
      </c>
      <c r="D469" s="3" t="s">
        <v>57</v>
      </c>
      <c r="E469" s="3"/>
      <c r="F469" s="3" t="s">
        <v>53</v>
      </c>
      <c r="G469" s="3" t="s">
        <v>50</v>
      </c>
      <c r="H469" s="4">
        <v>524</v>
      </c>
      <c r="I469" s="4">
        <v>300</v>
      </c>
      <c r="J469" s="3" t="s">
        <v>26</v>
      </c>
      <c r="K469" s="4" t="b">
        <v>0</v>
      </c>
      <c r="L469" s="6">
        <v>0.33333333333333298</v>
      </c>
      <c r="M469" s="6">
        <v>0.33333333333333298</v>
      </c>
      <c r="N469" s="3" t="s">
        <v>58</v>
      </c>
      <c r="O469" s="3" t="s">
        <v>59</v>
      </c>
      <c r="P469" s="3" t="s">
        <v>95</v>
      </c>
      <c r="Q469" s="3" t="s">
        <v>1164</v>
      </c>
      <c r="R469" s="3" t="s">
        <v>1074</v>
      </c>
      <c r="S469" s="3" t="s">
        <v>1006</v>
      </c>
      <c r="T469" s="3" t="s">
        <v>1007</v>
      </c>
      <c r="U469" s="11" t="s">
        <v>2492</v>
      </c>
      <c r="V469" s="11" t="s">
        <v>1064</v>
      </c>
      <c r="W469" s="11" t="s">
        <v>1065</v>
      </c>
      <c r="X469" s="13">
        <v>1</v>
      </c>
      <c r="Y469" s="12"/>
      <c r="Z469" s="11"/>
      <c r="AA469" s="11"/>
      <c r="AB469" s="11"/>
      <c r="AC469" s="11">
        <v>0</v>
      </c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 t="s">
        <v>1019</v>
      </c>
      <c r="AO469" s="11" t="s">
        <v>1166</v>
      </c>
      <c r="AP469" s="11" t="s">
        <v>1021</v>
      </c>
      <c r="AQ469" s="11" t="s">
        <v>1167</v>
      </c>
      <c r="AR469" s="11" t="s">
        <v>1023</v>
      </c>
      <c r="AS469" s="11" t="s">
        <v>1168</v>
      </c>
      <c r="AT469" s="11" t="s">
        <v>1025</v>
      </c>
      <c r="AU469" s="11" t="s">
        <v>1167</v>
      </c>
      <c r="AV469" s="11" t="s">
        <v>1168</v>
      </c>
      <c r="AW469" s="12">
        <v>2</v>
      </c>
      <c r="AX469" s="12">
        <v>2</v>
      </c>
      <c r="AY469" s="12">
        <v>2</v>
      </c>
      <c r="AZ469" s="12">
        <v>2</v>
      </c>
      <c r="BA469" s="12">
        <v>2</v>
      </c>
      <c r="BB469" s="12">
        <v>2</v>
      </c>
      <c r="BC469" s="12">
        <v>1</v>
      </c>
      <c r="BD469" s="11" t="s">
        <v>1026</v>
      </c>
      <c r="BE469" s="11" t="s">
        <v>1027</v>
      </c>
    </row>
    <row r="470" spans="1:57" s="8" customFormat="1" ht="58" x14ac:dyDescent="0.35">
      <c r="A470" s="7" t="s">
        <v>694</v>
      </c>
      <c r="B470" s="7" t="s">
        <v>695</v>
      </c>
      <c r="C470" s="3" t="s">
        <v>794</v>
      </c>
      <c r="D470" s="3" t="s">
        <v>57</v>
      </c>
      <c r="E470" s="3"/>
      <c r="F470" s="3" t="s">
        <v>53</v>
      </c>
      <c r="G470" s="3" t="s">
        <v>50</v>
      </c>
      <c r="H470" s="4">
        <v>904</v>
      </c>
      <c r="I470" s="4">
        <v>300</v>
      </c>
      <c r="J470" s="3" t="s">
        <v>26</v>
      </c>
      <c r="K470" s="4" t="b">
        <v>1</v>
      </c>
      <c r="L470" s="6">
        <v>1</v>
      </c>
      <c r="M470" s="6">
        <v>1</v>
      </c>
      <c r="N470" s="3" t="s">
        <v>62</v>
      </c>
      <c r="O470" s="3"/>
      <c r="P470" s="3" t="s">
        <v>795</v>
      </c>
      <c r="Q470" s="3" t="s">
        <v>2493</v>
      </c>
      <c r="R470" s="3" t="s">
        <v>1029</v>
      </c>
      <c r="S470" s="3" t="s">
        <v>1006</v>
      </c>
      <c r="T470" s="3" t="s">
        <v>1007</v>
      </c>
      <c r="U470" s="11" t="s">
        <v>2494</v>
      </c>
      <c r="V470" s="11" t="s">
        <v>1064</v>
      </c>
      <c r="W470" s="11" t="s">
        <v>1065</v>
      </c>
      <c r="X470" s="13">
        <v>1</v>
      </c>
      <c r="Y470" s="12"/>
      <c r="Z470" s="11"/>
      <c r="AA470" s="11"/>
      <c r="AB470" s="11"/>
      <c r="AC470" s="11">
        <v>0</v>
      </c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 t="s">
        <v>1019</v>
      </c>
      <c r="AO470" s="11" t="s">
        <v>1091</v>
      </c>
      <c r="AP470" s="11" t="s">
        <v>1021</v>
      </c>
      <c r="AQ470" s="11" t="s">
        <v>1092</v>
      </c>
      <c r="AR470" s="11" t="s">
        <v>1048</v>
      </c>
      <c r="AS470" s="11"/>
      <c r="AT470" s="11" t="s">
        <v>1034</v>
      </c>
      <c r="AU470" s="11" t="s">
        <v>1092</v>
      </c>
      <c r="AV470" s="11"/>
      <c r="AW470" s="12">
        <v>1</v>
      </c>
      <c r="AX470" s="12">
        <v>1</v>
      </c>
      <c r="AY470" s="12">
        <v>1</v>
      </c>
      <c r="AZ470" s="12">
        <v>1</v>
      </c>
      <c r="BA470" s="12">
        <v>5</v>
      </c>
      <c r="BB470" s="12"/>
      <c r="BC470" s="12"/>
      <c r="BD470" s="11" t="s">
        <v>1093</v>
      </c>
      <c r="BE470" s="11" t="s">
        <v>1037</v>
      </c>
    </row>
    <row r="471" spans="1:57" s="8" customFormat="1" ht="58" x14ac:dyDescent="0.35">
      <c r="A471" s="7" t="s">
        <v>694</v>
      </c>
      <c r="B471" s="7" t="s">
        <v>695</v>
      </c>
      <c r="C471" s="3" t="s">
        <v>796</v>
      </c>
      <c r="D471" s="3" t="s">
        <v>57</v>
      </c>
      <c r="E471" s="3"/>
      <c r="F471" s="3" t="s">
        <v>53</v>
      </c>
      <c r="G471" s="3" t="s">
        <v>50</v>
      </c>
      <c r="H471" s="4">
        <v>719</v>
      </c>
      <c r="I471" s="4">
        <v>300</v>
      </c>
      <c r="J471" s="3" t="s">
        <v>26</v>
      </c>
      <c r="K471" s="4" t="b">
        <v>1</v>
      </c>
      <c r="L471" s="6">
        <v>1</v>
      </c>
      <c r="M471" s="6">
        <v>1</v>
      </c>
      <c r="N471" s="3" t="s">
        <v>62</v>
      </c>
      <c r="O471" s="3"/>
      <c r="P471" s="3" t="s">
        <v>797</v>
      </c>
      <c r="Q471" s="3" t="s">
        <v>2495</v>
      </c>
      <c r="R471" s="3" t="s">
        <v>1029</v>
      </c>
      <c r="S471" s="3" t="s">
        <v>1006</v>
      </c>
      <c r="T471" s="3" t="s">
        <v>1007</v>
      </c>
      <c r="U471" s="11" t="s">
        <v>2496</v>
      </c>
      <c r="V471" s="11" t="s">
        <v>1031</v>
      </c>
      <c r="W471" s="11" t="s">
        <v>1032</v>
      </c>
      <c r="X471" s="13">
        <v>0.7</v>
      </c>
      <c r="Y471" s="12"/>
      <c r="Z471" s="11"/>
      <c r="AA471" s="11"/>
      <c r="AB471" s="11"/>
      <c r="AC471" s="11">
        <v>0</v>
      </c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 t="s">
        <v>1019</v>
      </c>
      <c r="AO471" s="11" t="s">
        <v>1828</v>
      </c>
      <c r="AP471" s="11" t="s">
        <v>1021</v>
      </c>
      <c r="AQ471" s="11" t="s">
        <v>1829</v>
      </c>
      <c r="AR471" s="11" t="s">
        <v>1048</v>
      </c>
      <c r="AS471" s="11" t="s">
        <v>1830</v>
      </c>
      <c r="AT471" s="11" t="s">
        <v>1050</v>
      </c>
      <c r="AU471" s="11" t="s">
        <v>1829</v>
      </c>
      <c r="AV471" s="11" t="s">
        <v>1830</v>
      </c>
      <c r="AW471" s="12">
        <v>1</v>
      </c>
      <c r="AX471" s="12">
        <v>1</v>
      </c>
      <c r="AY471" s="12">
        <v>1</v>
      </c>
      <c r="AZ471" s="12">
        <v>1</v>
      </c>
      <c r="BA471" s="12">
        <v>2</v>
      </c>
      <c r="BB471" s="12">
        <v>1</v>
      </c>
      <c r="BC471" s="12">
        <v>1</v>
      </c>
      <c r="BD471" s="11" t="s">
        <v>1026</v>
      </c>
      <c r="BE471" s="11" t="s">
        <v>1051</v>
      </c>
    </row>
    <row r="472" spans="1:57" s="8" customFormat="1" ht="58" x14ac:dyDescent="0.35">
      <c r="A472" s="7" t="s">
        <v>694</v>
      </c>
      <c r="B472" s="7" t="s">
        <v>695</v>
      </c>
      <c r="C472" s="3" t="s">
        <v>798</v>
      </c>
      <c r="D472" s="3" t="s">
        <v>30</v>
      </c>
      <c r="E472" s="3"/>
      <c r="F472" s="3" t="s">
        <v>31</v>
      </c>
      <c r="G472" s="3" t="s">
        <v>50</v>
      </c>
      <c r="H472" s="4">
        <v>917</v>
      </c>
      <c r="I472" s="4">
        <v>250</v>
      </c>
      <c r="J472" s="3" t="s">
        <v>26</v>
      </c>
      <c r="K472" s="4" t="b">
        <v>1</v>
      </c>
      <c r="L472" s="6">
        <v>1</v>
      </c>
      <c r="M472" s="6">
        <v>1</v>
      </c>
      <c r="N472" s="3" t="s">
        <v>32</v>
      </c>
      <c r="O472" s="3"/>
      <c r="P472" s="3" t="s">
        <v>799</v>
      </c>
      <c r="Q472" s="3" t="s">
        <v>2497</v>
      </c>
      <c r="R472" s="3" t="s">
        <v>1074</v>
      </c>
      <c r="S472" s="3" t="s">
        <v>1006</v>
      </c>
      <c r="T472" s="3" t="s">
        <v>1007</v>
      </c>
      <c r="U472" s="11" t="s">
        <v>2498</v>
      </c>
      <c r="V472" s="11" t="s">
        <v>1031</v>
      </c>
      <c r="W472" s="11" t="s">
        <v>1032</v>
      </c>
      <c r="X472" s="13">
        <v>0.7</v>
      </c>
      <c r="Y472" s="12"/>
      <c r="Z472" s="11"/>
      <c r="AA472" s="11"/>
      <c r="AB472" s="11"/>
      <c r="AC472" s="11">
        <v>0</v>
      </c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 t="s">
        <v>1019</v>
      </c>
      <c r="AO472" s="11" t="s">
        <v>2316</v>
      </c>
      <c r="AP472" s="11" t="s">
        <v>1021</v>
      </c>
      <c r="AQ472" s="11" t="s">
        <v>2317</v>
      </c>
      <c r="AR472" s="11" t="s">
        <v>1050</v>
      </c>
      <c r="AS472" s="11"/>
      <c r="AT472" s="11" t="s">
        <v>1034</v>
      </c>
      <c r="AU472" s="11" t="s">
        <v>2317</v>
      </c>
      <c r="AV472" s="11"/>
      <c r="AW472" s="12">
        <v>1</v>
      </c>
      <c r="AX472" s="12">
        <v>2</v>
      </c>
      <c r="AY472" s="12">
        <v>1</v>
      </c>
      <c r="AZ472" s="12">
        <v>1</v>
      </c>
      <c r="BA472" s="12">
        <v>1</v>
      </c>
      <c r="BB472" s="12"/>
      <c r="BC472" s="12"/>
      <c r="BD472" s="11" t="s">
        <v>1093</v>
      </c>
      <c r="BE472" s="11" t="s">
        <v>1037</v>
      </c>
    </row>
    <row r="473" spans="1:57" s="8" customFormat="1" ht="58" x14ac:dyDescent="0.35">
      <c r="A473" s="7" t="s">
        <v>694</v>
      </c>
      <c r="B473" s="7" t="s">
        <v>695</v>
      </c>
      <c r="C473" s="3" t="s">
        <v>800</v>
      </c>
      <c r="D473" s="3" t="s">
        <v>83</v>
      </c>
      <c r="E473" s="3" t="s">
        <v>83</v>
      </c>
      <c r="F473" s="3" t="s">
        <v>84</v>
      </c>
      <c r="G473" s="3" t="s">
        <v>25</v>
      </c>
      <c r="H473" s="4">
        <v>1372</v>
      </c>
      <c r="I473" s="4">
        <v>500</v>
      </c>
      <c r="J473" s="3" t="s">
        <v>26</v>
      </c>
      <c r="K473" s="4" t="b">
        <v>1</v>
      </c>
      <c r="L473" s="6">
        <v>1</v>
      </c>
      <c r="M473" s="6">
        <v>1</v>
      </c>
      <c r="N473" s="3" t="s">
        <v>372</v>
      </c>
      <c r="O473" s="3"/>
      <c r="P473" s="3" t="s">
        <v>801</v>
      </c>
      <c r="Q473" s="3" t="s">
        <v>2499</v>
      </c>
      <c r="R473" s="3" t="s">
        <v>1139</v>
      </c>
      <c r="S473" s="3" t="s">
        <v>2500</v>
      </c>
      <c r="T473" s="3" t="s">
        <v>2501</v>
      </c>
      <c r="U473" s="11" t="s">
        <v>2502</v>
      </c>
      <c r="V473" s="11" t="s">
        <v>1009</v>
      </c>
      <c r="W473" s="11" t="s">
        <v>1010</v>
      </c>
      <c r="X473" s="13">
        <v>0.74</v>
      </c>
      <c r="Y473" s="12"/>
      <c r="Z473" s="11" t="s">
        <v>2503</v>
      </c>
      <c r="AA473" s="11"/>
      <c r="AB473" s="11"/>
      <c r="AC473" s="11">
        <v>0</v>
      </c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 t="s">
        <v>1019</v>
      </c>
      <c r="AO473" s="11" t="s">
        <v>1859</v>
      </c>
      <c r="AP473" s="11" t="s">
        <v>1021</v>
      </c>
      <c r="AQ473" s="11" t="s">
        <v>1860</v>
      </c>
      <c r="AR473" s="11" t="s">
        <v>1048</v>
      </c>
      <c r="AS473" s="11" t="s">
        <v>1861</v>
      </c>
      <c r="AT473" s="11" t="s">
        <v>1050</v>
      </c>
      <c r="AU473" s="11" t="s">
        <v>1860</v>
      </c>
      <c r="AV473" s="11" t="s">
        <v>1861</v>
      </c>
      <c r="AW473" s="12">
        <v>1</v>
      </c>
      <c r="AX473" s="12">
        <v>1</v>
      </c>
      <c r="AY473" s="12">
        <v>1</v>
      </c>
      <c r="AZ473" s="12">
        <v>1</v>
      </c>
      <c r="BA473" s="12">
        <v>4</v>
      </c>
      <c r="BB473" s="12">
        <v>1</v>
      </c>
      <c r="BC473" s="12">
        <v>1</v>
      </c>
      <c r="BD473" s="11" t="s">
        <v>1026</v>
      </c>
      <c r="BE473" s="11" t="s">
        <v>1051</v>
      </c>
    </row>
    <row r="474" spans="1:57" s="8" customFormat="1" ht="58" x14ac:dyDescent="0.35">
      <c r="A474" s="7" t="s">
        <v>694</v>
      </c>
      <c r="B474" s="7" t="s">
        <v>695</v>
      </c>
      <c r="C474" s="3" t="s">
        <v>802</v>
      </c>
      <c r="D474" s="3" t="s">
        <v>57</v>
      </c>
      <c r="E474" s="3"/>
      <c r="F474" s="3" t="s">
        <v>53</v>
      </c>
      <c r="G474" s="3" t="s">
        <v>50</v>
      </c>
      <c r="H474" s="4">
        <v>646</v>
      </c>
      <c r="I474" s="4">
        <v>300</v>
      </c>
      <c r="J474" s="3" t="s">
        <v>26</v>
      </c>
      <c r="K474" s="4" t="b">
        <v>0</v>
      </c>
      <c r="L474" s="6">
        <v>0.33333333333333298</v>
      </c>
      <c r="M474" s="6">
        <v>0.33333333333333298</v>
      </c>
      <c r="N474" s="3" t="s">
        <v>58</v>
      </c>
      <c r="O474" s="3" t="s">
        <v>59</v>
      </c>
      <c r="P474" s="3" t="s">
        <v>803</v>
      </c>
      <c r="Q474" s="3" t="s">
        <v>2504</v>
      </c>
      <c r="R474" s="3" t="s">
        <v>1029</v>
      </c>
      <c r="S474" s="3" t="s">
        <v>1006</v>
      </c>
      <c r="T474" s="3" t="s">
        <v>1007</v>
      </c>
      <c r="U474" s="11" t="s">
        <v>2505</v>
      </c>
      <c r="V474" s="11" t="s">
        <v>1064</v>
      </c>
      <c r="W474" s="11" t="s">
        <v>1065</v>
      </c>
      <c r="X474" s="13">
        <v>1</v>
      </c>
      <c r="Y474" s="12"/>
      <c r="Z474" s="11"/>
      <c r="AA474" s="11"/>
      <c r="AB474" s="11"/>
      <c r="AC474" s="11">
        <v>1</v>
      </c>
      <c r="AD474" s="11" t="s">
        <v>1227</v>
      </c>
      <c r="AE474" s="11" t="s">
        <v>1273</v>
      </c>
      <c r="AF474" s="11" t="s">
        <v>1014</v>
      </c>
      <c r="AG474" s="11" t="s">
        <v>1015</v>
      </c>
      <c r="AH474" s="11"/>
      <c r="AI474" s="11" t="s">
        <v>1016</v>
      </c>
      <c r="AJ474" s="11"/>
      <c r="AK474" s="11" t="s">
        <v>1229</v>
      </c>
      <c r="AL474" s="11" t="s">
        <v>1017</v>
      </c>
      <c r="AM474" s="11" t="s">
        <v>1230</v>
      </c>
      <c r="AN474" s="11" t="s">
        <v>1019</v>
      </c>
      <c r="AO474" s="11" t="s">
        <v>1274</v>
      </c>
      <c r="AP474" s="11" t="s">
        <v>1021</v>
      </c>
      <c r="AQ474" s="11" t="s">
        <v>1275</v>
      </c>
      <c r="AR474" s="11" t="s">
        <v>1023</v>
      </c>
      <c r="AS474" s="11" t="s">
        <v>1276</v>
      </c>
      <c r="AT474" s="11" t="s">
        <v>1025</v>
      </c>
      <c r="AU474" s="11" t="s">
        <v>1275</v>
      </c>
      <c r="AV474" s="11" t="s">
        <v>1276</v>
      </c>
      <c r="AW474" s="12">
        <v>2</v>
      </c>
      <c r="AX474" s="12">
        <v>1</v>
      </c>
      <c r="AY474" s="12">
        <v>2</v>
      </c>
      <c r="AZ474" s="12">
        <v>2</v>
      </c>
      <c r="BA474" s="12">
        <v>3</v>
      </c>
      <c r="BB474" s="12">
        <v>2</v>
      </c>
      <c r="BC474" s="12">
        <v>1</v>
      </c>
      <c r="BD474" s="11" t="s">
        <v>1026</v>
      </c>
      <c r="BE474" s="11" t="s">
        <v>1027</v>
      </c>
    </row>
    <row r="475" spans="1:57" s="8" customFormat="1" ht="58" x14ac:dyDescent="0.35">
      <c r="A475" s="7" t="s">
        <v>694</v>
      </c>
      <c r="B475" s="7" t="s">
        <v>695</v>
      </c>
      <c r="C475" s="3" t="s">
        <v>804</v>
      </c>
      <c r="D475" s="3" t="s">
        <v>57</v>
      </c>
      <c r="E475" s="3"/>
      <c r="F475" s="3" t="s">
        <v>53</v>
      </c>
      <c r="G475" s="3" t="s">
        <v>50</v>
      </c>
      <c r="H475" s="4">
        <v>1308</v>
      </c>
      <c r="I475" s="4">
        <v>300</v>
      </c>
      <c r="J475" s="3" t="s">
        <v>26</v>
      </c>
      <c r="K475" s="4" t="b">
        <v>1</v>
      </c>
      <c r="L475" s="6">
        <v>1</v>
      </c>
      <c r="M475" s="6">
        <v>1</v>
      </c>
      <c r="N475" s="3" t="s">
        <v>62</v>
      </c>
      <c r="O475" s="3"/>
      <c r="P475" s="3" t="s">
        <v>805</v>
      </c>
      <c r="Q475" s="3" t="s">
        <v>1566</v>
      </c>
      <c r="R475" s="3" t="s">
        <v>1029</v>
      </c>
      <c r="S475" s="3" t="s">
        <v>1006</v>
      </c>
      <c r="T475" s="3" t="s">
        <v>1007</v>
      </c>
      <c r="U475" s="11" t="s">
        <v>2506</v>
      </c>
      <c r="V475" s="11" t="s">
        <v>1031</v>
      </c>
      <c r="W475" s="11" t="s">
        <v>1032</v>
      </c>
      <c r="X475" s="13">
        <v>0.7</v>
      </c>
      <c r="Y475" s="12"/>
      <c r="Z475" s="11"/>
      <c r="AA475" s="11"/>
      <c r="AB475" s="11"/>
      <c r="AC475" s="11">
        <v>2</v>
      </c>
      <c r="AD475" s="11" t="s">
        <v>1568</v>
      </c>
      <c r="AE475" s="11" t="s">
        <v>2507</v>
      </c>
      <c r="AF475" s="11" t="s">
        <v>1014</v>
      </c>
      <c r="AG475" s="11" t="s">
        <v>1570</v>
      </c>
      <c r="AH475" s="11"/>
      <c r="AI475" s="11" t="s">
        <v>1016</v>
      </c>
      <c r="AJ475" s="11"/>
      <c r="AK475" s="11" t="s">
        <v>1571</v>
      </c>
      <c r="AL475" s="11" t="s">
        <v>1017</v>
      </c>
      <c r="AM475" s="11" t="s">
        <v>1572</v>
      </c>
      <c r="AN475" s="11" t="s">
        <v>1019</v>
      </c>
      <c r="AO475" s="11" t="s">
        <v>1573</v>
      </c>
      <c r="AP475" s="11" t="s">
        <v>1021</v>
      </c>
      <c r="AQ475" s="11" t="s">
        <v>1574</v>
      </c>
      <c r="AR475" s="11" t="s">
        <v>1023</v>
      </c>
      <c r="AS475" s="11" t="s">
        <v>1575</v>
      </c>
      <c r="AT475" s="11" t="s">
        <v>1025</v>
      </c>
      <c r="AU475" s="11" t="s">
        <v>1574</v>
      </c>
      <c r="AV475" s="11" t="s">
        <v>1575</v>
      </c>
      <c r="AW475" s="12">
        <v>2</v>
      </c>
      <c r="AX475" s="12">
        <v>2</v>
      </c>
      <c r="AY475" s="12">
        <v>2</v>
      </c>
      <c r="AZ475" s="12">
        <v>2</v>
      </c>
      <c r="BA475" s="12">
        <v>2</v>
      </c>
      <c r="BB475" s="12">
        <v>2</v>
      </c>
      <c r="BC475" s="12">
        <v>1</v>
      </c>
      <c r="BD475" s="11" t="s">
        <v>1026</v>
      </c>
      <c r="BE475" s="11" t="s">
        <v>1027</v>
      </c>
    </row>
    <row r="476" spans="1:57" s="8" customFormat="1" ht="159.5" x14ac:dyDescent="0.35">
      <c r="A476" s="7" t="s">
        <v>694</v>
      </c>
      <c r="B476" s="7" t="s">
        <v>695</v>
      </c>
      <c r="C476" s="3" t="s">
        <v>806</v>
      </c>
      <c r="D476" s="3" t="s">
        <v>231</v>
      </c>
      <c r="E476" s="3"/>
      <c r="F476" s="3" t="s">
        <v>31</v>
      </c>
      <c r="G476" s="3" t="s">
        <v>50</v>
      </c>
      <c r="H476" s="4">
        <v>2662</v>
      </c>
      <c r="I476" s="4">
        <v>400</v>
      </c>
      <c r="J476" s="3" t="s">
        <v>26</v>
      </c>
      <c r="K476" s="4" t="b">
        <v>1</v>
      </c>
      <c r="L476" s="6">
        <v>1</v>
      </c>
      <c r="M476" s="6">
        <v>1</v>
      </c>
      <c r="N476" s="3" t="s">
        <v>232</v>
      </c>
      <c r="O476" s="3"/>
      <c r="P476" s="3" t="s">
        <v>807</v>
      </c>
      <c r="Q476" s="3" t="s">
        <v>2508</v>
      </c>
      <c r="R476" s="3" t="s">
        <v>1029</v>
      </c>
      <c r="S476" s="3" t="s">
        <v>1006</v>
      </c>
      <c r="T476" s="3" t="s">
        <v>2227</v>
      </c>
      <c r="U476" s="11" t="s">
        <v>2509</v>
      </c>
      <c r="V476" s="11" t="s">
        <v>1031</v>
      </c>
      <c r="W476" s="11" t="s">
        <v>1032</v>
      </c>
      <c r="X476" s="13">
        <v>0.7</v>
      </c>
      <c r="Y476" s="12"/>
      <c r="Z476" s="11"/>
      <c r="AA476" s="11"/>
      <c r="AB476" s="11"/>
      <c r="AC476" s="11">
        <v>0</v>
      </c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 t="s">
        <v>1019</v>
      </c>
      <c r="AO476" s="11" t="s">
        <v>1721</v>
      </c>
      <c r="AP476" s="11" t="s">
        <v>1021</v>
      </c>
      <c r="AQ476" s="11" t="s">
        <v>1722</v>
      </c>
      <c r="AR476" s="11" t="s">
        <v>1025</v>
      </c>
      <c r="AS476" s="11" t="s">
        <v>1723</v>
      </c>
      <c r="AT476" s="11" t="s">
        <v>1025</v>
      </c>
      <c r="AU476" s="11" t="s">
        <v>1722</v>
      </c>
      <c r="AV476" s="11" t="s">
        <v>1723</v>
      </c>
      <c r="AW476" s="12">
        <v>136</v>
      </c>
      <c r="AX476" s="12">
        <v>6</v>
      </c>
      <c r="AY476" s="12">
        <v>6</v>
      </c>
      <c r="AZ476" s="12">
        <v>6</v>
      </c>
      <c r="BA476" s="12">
        <v>1</v>
      </c>
      <c r="BB476" s="12">
        <v>6</v>
      </c>
      <c r="BC476" s="12">
        <v>1</v>
      </c>
      <c r="BD476" s="11" t="s">
        <v>1026</v>
      </c>
      <c r="BE476" s="11" t="s">
        <v>1027</v>
      </c>
    </row>
    <row r="477" spans="1:57" s="8" customFormat="1" ht="58" x14ac:dyDescent="0.35">
      <c r="A477" s="7" t="s">
        <v>694</v>
      </c>
      <c r="B477" s="7" t="s">
        <v>695</v>
      </c>
      <c r="C477" s="3" t="s">
        <v>808</v>
      </c>
      <c r="D477" s="3" t="s">
        <v>261</v>
      </c>
      <c r="E477" s="3" t="s">
        <v>261</v>
      </c>
      <c r="F477" s="3" t="s">
        <v>31</v>
      </c>
      <c r="G477" s="3" t="s">
        <v>25</v>
      </c>
      <c r="H477" s="4">
        <v>927</v>
      </c>
      <c r="I477" s="4">
        <v>500</v>
      </c>
      <c r="J477" s="3" t="s">
        <v>26</v>
      </c>
      <c r="K477" s="4" t="b">
        <v>1</v>
      </c>
      <c r="L477" s="6">
        <v>1</v>
      </c>
      <c r="M477" s="6">
        <v>1</v>
      </c>
      <c r="N477" s="3" t="s">
        <v>262</v>
      </c>
      <c r="O477" s="3"/>
      <c r="P477" s="3" t="s">
        <v>809</v>
      </c>
      <c r="Q477" s="3" t="s">
        <v>2510</v>
      </c>
      <c r="R477" s="3" t="s">
        <v>1029</v>
      </c>
      <c r="S477" s="3" t="s">
        <v>1006</v>
      </c>
      <c r="T477" s="3" t="s">
        <v>1007</v>
      </c>
      <c r="U477" s="11" t="s">
        <v>2511</v>
      </c>
      <c r="V477" s="11" t="s">
        <v>1031</v>
      </c>
      <c r="W477" s="11" t="s">
        <v>1032</v>
      </c>
      <c r="X477" s="13">
        <v>0.7</v>
      </c>
      <c r="Y477" s="12"/>
      <c r="Z477" s="11"/>
      <c r="AA477" s="11"/>
      <c r="AB477" s="11"/>
      <c r="AC477" s="11">
        <v>1</v>
      </c>
      <c r="AD477" s="11" t="s">
        <v>1626</v>
      </c>
      <c r="AE477" s="11" t="s">
        <v>2512</v>
      </c>
      <c r="AF477" s="11" t="s">
        <v>1014</v>
      </c>
      <c r="AG477" s="11" t="s">
        <v>1015</v>
      </c>
      <c r="AH477" s="11" t="s">
        <v>262</v>
      </c>
      <c r="AI477" s="11" t="s">
        <v>1016</v>
      </c>
      <c r="AJ477" s="11"/>
      <c r="AK477" s="11" t="s">
        <v>1628</v>
      </c>
      <c r="AL477" s="11" t="s">
        <v>1017</v>
      </c>
      <c r="AM477" s="11" t="s">
        <v>1629</v>
      </c>
      <c r="AN477" s="11" t="s">
        <v>1019</v>
      </c>
      <c r="AO477" s="11" t="s">
        <v>1630</v>
      </c>
      <c r="AP477" s="11" t="s">
        <v>1021</v>
      </c>
      <c r="AQ477" s="11" t="s">
        <v>1631</v>
      </c>
      <c r="AR477" s="11" t="s">
        <v>1048</v>
      </c>
      <c r="AS477" s="11" t="s">
        <v>1632</v>
      </c>
      <c r="AT477" s="11" t="s">
        <v>1050</v>
      </c>
      <c r="AU477" s="11" t="s">
        <v>1631</v>
      </c>
      <c r="AV477" s="11" t="s">
        <v>1632</v>
      </c>
      <c r="AW477" s="12">
        <v>1</v>
      </c>
      <c r="AX477" s="12">
        <v>1</v>
      </c>
      <c r="AY477" s="12">
        <v>1</v>
      </c>
      <c r="AZ477" s="12">
        <v>1</v>
      </c>
      <c r="BA477" s="12">
        <v>3</v>
      </c>
      <c r="BB477" s="12">
        <v>1</v>
      </c>
      <c r="BC477" s="12">
        <v>1</v>
      </c>
      <c r="BD477" s="11" t="s">
        <v>1026</v>
      </c>
      <c r="BE477" s="11" t="s">
        <v>1051</v>
      </c>
    </row>
    <row r="478" spans="1:57" s="8" customFormat="1" ht="58" x14ac:dyDescent="0.35">
      <c r="A478" s="7" t="s">
        <v>694</v>
      </c>
      <c r="B478" s="7" t="s">
        <v>695</v>
      </c>
      <c r="C478" s="3" t="s">
        <v>810</v>
      </c>
      <c r="D478" s="3" t="s">
        <v>57</v>
      </c>
      <c r="E478" s="3"/>
      <c r="F478" s="3" t="s">
        <v>53</v>
      </c>
      <c r="G478" s="3" t="s">
        <v>50</v>
      </c>
      <c r="H478" s="4">
        <v>632</v>
      </c>
      <c r="I478" s="4">
        <v>300</v>
      </c>
      <c r="J478" s="3" t="s">
        <v>26</v>
      </c>
      <c r="K478" s="4" t="b">
        <v>0</v>
      </c>
      <c r="L478" s="6">
        <v>0.33333333333333298</v>
      </c>
      <c r="M478" s="6">
        <v>0.33333333333333298</v>
      </c>
      <c r="N478" s="3" t="s">
        <v>58</v>
      </c>
      <c r="O478" s="3" t="s">
        <v>59</v>
      </c>
      <c r="P478" s="3" t="s">
        <v>97</v>
      </c>
      <c r="Q478" s="3" t="s">
        <v>1169</v>
      </c>
      <c r="R478" s="3" t="s">
        <v>1029</v>
      </c>
      <c r="S478" s="3" t="s">
        <v>1006</v>
      </c>
      <c r="T478" s="3" t="s">
        <v>1007</v>
      </c>
      <c r="U478" s="11" t="s">
        <v>2513</v>
      </c>
      <c r="V478" s="11" t="s">
        <v>1031</v>
      </c>
      <c r="W478" s="11" t="s">
        <v>1032</v>
      </c>
      <c r="X478" s="13">
        <v>0.7</v>
      </c>
      <c r="Y478" s="12"/>
      <c r="Z478" s="11"/>
      <c r="AA478" s="11"/>
      <c r="AB478" s="11"/>
      <c r="AC478" s="11">
        <v>0</v>
      </c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 t="s">
        <v>1019</v>
      </c>
      <c r="AO478" s="11" t="s">
        <v>1171</v>
      </c>
      <c r="AP478" s="11" t="s">
        <v>1021</v>
      </c>
      <c r="AQ478" s="11" t="s">
        <v>1172</v>
      </c>
      <c r="AR478" s="11" t="s">
        <v>1048</v>
      </c>
      <c r="AS478" s="11" t="s">
        <v>1173</v>
      </c>
      <c r="AT478" s="11" t="s">
        <v>1050</v>
      </c>
      <c r="AU478" s="11" t="s">
        <v>1172</v>
      </c>
      <c r="AV478" s="11" t="s">
        <v>1173</v>
      </c>
      <c r="AW478" s="12">
        <v>1</v>
      </c>
      <c r="AX478" s="12">
        <v>1</v>
      </c>
      <c r="AY478" s="12">
        <v>1</v>
      </c>
      <c r="AZ478" s="12">
        <v>1</v>
      </c>
      <c r="BA478" s="12">
        <v>2</v>
      </c>
      <c r="BB478" s="12">
        <v>1</v>
      </c>
      <c r="BC478" s="12">
        <v>1</v>
      </c>
      <c r="BD478" s="11" t="s">
        <v>1026</v>
      </c>
      <c r="BE478" s="11" t="s">
        <v>1051</v>
      </c>
    </row>
    <row r="479" spans="1:57" s="8" customFormat="1" ht="58" x14ac:dyDescent="0.35">
      <c r="A479" s="7" t="s">
        <v>694</v>
      </c>
      <c r="B479" s="7" t="s">
        <v>695</v>
      </c>
      <c r="C479" s="3" t="s">
        <v>810</v>
      </c>
      <c r="D479" s="3" t="s">
        <v>98</v>
      </c>
      <c r="E479" s="3"/>
      <c r="F479" s="3" t="s">
        <v>53</v>
      </c>
      <c r="G479" s="3" t="s">
        <v>50</v>
      </c>
      <c r="H479" s="4">
        <v>632</v>
      </c>
      <c r="I479" s="4">
        <v>300</v>
      </c>
      <c r="J479" s="3" t="s">
        <v>26</v>
      </c>
      <c r="K479" s="4" t="b">
        <v>0</v>
      </c>
      <c r="L479" s="6">
        <v>0.5</v>
      </c>
      <c r="M479" s="6">
        <v>0.5</v>
      </c>
      <c r="N479" s="3" t="s">
        <v>58</v>
      </c>
      <c r="O479" s="3" t="s">
        <v>99</v>
      </c>
      <c r="P479" s="3" t="s">
        <v>97</v>
      </c>
      <c r="Q479" s="3" t="s">
        <v>1169</v>
      </c>
      <c r="R479" s="3" t="s">
        <v>1029</v>
      </c>
      <c r="S479" s="3" t="s">
        <v>1006</v>
      </c>
      <c r="T479" s="3" t="s">
        <v>1007</v>
      </c>
      <c r="U479" s="11" t="s">
        <v>2513</v>
      </c>
      <c r="V479" s="11" t="s">
        <v>1031</v>
      </c>
      <c r="W479" s="11" t="s">
        <v>1032</v>
      </c>
      <c r="X479" s="13">
        <v>0.7</v>
      </c>
      <c r="Y479" s="12"/>
      <c r="Z479" s="11"/>
      <c r="AA479" s="11"/>
      <c r="AB479" s="11"/>
      <c r="AC479" s="11">
        <v>0</v>
      </c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 t="s">
        <v>1019</v>
      </c>
      <c r="AO479" s="11" t="s">
        <v>1171</v>
      </c>
      <c r="AP479" s="11" t="s">
        <v>1021</v>
      </c>
      <c r="AQ479" s="11" t="s">
        <v>1172</v>
      </c>
      <c r="AR479" s="11" t="s">
        <v>1048</v>
      </c>
      <c r="AS479" s="11" t="s">
        <v>1173</v>
      </c>
      <c r="AT479" s="11" t="s">
        <v>1050</v>
      </c>
      <c r="AU479" s="11" t="s">
        <v>1172</v>
      </c>
      <c r="AV479" s="11" t="s">
        <v>1173</v>
      </c>
      <c r="AW479" s="12">
        <v>1</v>
      </c>
      <c r="AX479" s="12">
        <v>1</v>
      </c>
      <c r="AY479" s="12">
        <v>1</v>
      </c>
      <c r="AZ479" s="12">
        <v>1</v>
      </c>
      <c r="BA479" s="12">
        <v>2</v>
      </c>
      <c r="BB479" s="12">
        <v>1</v>
      </c>
      <c r="BC479" s="12">
        <v>1</v>
      </c>
      <c r="BD479" s="11" t="s">
        <v>1026</v>
      </c>
      <c r="BE479" s="11" t="s">
        <v>1051</v>
      </c>
    </row>
    <row r="480" spans="1:57" s="8" customFormat="1" ht="58" x14ac:dyDescent="0.35">
      <c r="A480" s="7" t="s">
        <v>694</v>
      </c>
      <c r="B480" s="7" t="s">
        <v>695</v>
      </c>
      <c r="C480" s="3" t="s">
        <v>811</v>
      </c>
      <c r="D480" s="3" t="s">
        <v>57</v>
      </c>
      <c r="E480" s="3"/>
      <c r="F480" s="3" t="s">
        <v>53</v>
      </c>
      <c r="G480" s="3" t="s">
        <v>50</v>
      </c>
      <c r="H480" s="4">
        <v>370</v>
      </c>
      <c r="I480" s="4">
        <v>300</v>
      </c>
      <c r="J480" s="3" t="s">
        <v>26</v>
      </c>
      <c r="K480" s="4" t="b">
        <v>0</v>
      </c>
      <c r="L480" s="6">
        <v>0.33333333333333298</v>
      </c>
      <c r="M480" s="6">
        <v>0.33333333333333298</v>
      </c>
      <c r="N480" s="3" t="s">
        <v>58</v>
      </c>
      <c r="O480" s="3" t="s">
        <v>59</v>
      </c>
      <c r="P480" s="3" t="s">
        <v>812</v>
      </c>
      <c r="Q480" s="3" t="s">
        <v>2303</v>
      </c>
      <c r="R480" s="3" t="s">
        <v>1074</v>
      </c>
      <c r="S480" s="3" t="s">
        <v>1006</v>
      </c>
      <c r="T480" s="3" t="s">
        <v>1007</v>
      </c>
      <c r="U480" s="11" t="s">
        <v>2514</v>
      </c>
      <c r="V480" s="11" t="s">
        <v>1031</v>
      </c>
      <c r="W480" s="11" t="s">
        <v>1032</v>
      </c>
      <c r="X480" s="13">
        <v>0.7</v>
      </c>
      <c r="Y480" s="12"/>
      <c r="Z480" s="11"/>
      <c r="AA480" s="11"/>
      <c r="AB480" s="11"/>
      <c r="AC480" s="11">
        <v>0</v>
      </c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 t="s">
        <v>1019</v>
      </c>
      <c r="AO480" s="11" t="s">
        <v>1552</v>
      </c>
      <c r="AP480" s="11" t="s">
        <v>1021</v>
      </c>
      <c r="AQ480" s="11" t="s">
        <v>1553</v>
      </c>
      <c r="AR480" s="11" t="s">
        <v>1048</v>
      </c>
      <c r="AS480" s="11" t="s">
        <v>1554</v>
      </c>
      <c r="AT480" s="11" t="s">
        <v>1048</v>
      </c>
      <c r="AU480" s="11" t="s">
        <v>1553</v>
      </c>
      <c r="AV480" s="11" t="s">
        <v>1554</v>
      </c>
      <c r="AW480" s="12">
        <v>1</v>
      </c>
      <c r="AX480" s="12">
        <v>1</v>
      </c>
      <c r="AY480" s="12">
        <v>1</v>
      </c>
      <c r="AZ480" s="12">
        <v>1</v>
      </c>
      <c r="BA480" s="12">
        <v>3</v>
      </c>
      <c r="BB480" s="12">
        <v>1</v>
      </c>
      <c r="BC480" s="12">
        <v>2</v>
      </c>
      <c r="BD480" s="11" t="s">
        <v>1026</v>
      </c>
      <c r="BE480" s="11" t="s">
        <v>1027</v>
      </c>
    </row>
    <row r="481" spans="1:57" s="8" customFormat="1" ht="58" x14ac:dyDescent="0.35">
      <c r="A481" s="7" t="s">
        <v>694</v>
      </c>
      <c r="B481" s="7" t="s">
        <v>695</v>
      </c>
      <c r="C481" s="3" t="s">
        <v>813</v>
      </c>
      <c r="D481" s="3" t="s">
        <v>52</v>
      </c>
      <c r="E481" s="3"/>
      <c r="F481" s="3" t="s">
        <v>53</v>
      </c>
      <c r="G481" s="3" t="s">
        <v>50</v>
      </c>
      <c r="H481" s="4">
        <v>653</v>
      </c>
      <c r="I481" s="4">
        <v>500</v>
      </c>
      <c r="J481" s="3" t="s">
        <v>26</v>
      </c>
      <c r="K481" s="4" t="b">
        <v>0</v>
      </c>
      <c r="L481" s="6">
        <v>0.33333333333333298</v>
      </c>
      <c r="M481" s="6">
        <v>0.33333333333333298</v>
      </c>
      <c r="N481" s="3" t="s">
        <v>54</v>
      </c>
      <c r="O481" s="3" t="s">
        <v>55</v>
      </c>
      <c r="P481" s="3" t="s">
        <v>116</v>
      </c>
      <c r="Q481" s="3" t="s">
        <v>1218</v>
      </c>
      <c r="R481" s="3" t="s">
        <v>1074</v>
      </c>
      <c r="S481" s="3" t="s">
        <v>1006</v>
      </c>
      <c r="T481" s="3" t="s">
        <v>1007</v>
      </c>
      <c r="U481" s="11" t="s">
        <v>2515</v>
      </c>
      <c r="V481" s="11" t="s">
        <v>1064</v>
      </c>
      <c r="W481" s="11" t="s">
        <v>1065</v>
      </c>
      <c r="X481" s="13">
        <v>1</v>
      </c>
      <c r="Y481" s="12"/>
      <c r="Z481" s="11"/>
      <c r="AA481" s="11"/>
      <c r="AB481" s="11"/>
      <c r="AC481" s="11">
        <v>4</v>
      </c>
      <c r="AD481" s="11" t="s">
        <v>1086</v>
      </c>
      <c r="AE481" s="11" t="s">
        <v>2516</v>
      </c>
      <c r="AF481" s="11" t="s">
        <v>1014</v>
      </c>
      <c r="AG481" s="11" t="s">
        <v>1015</v>
      </c>
      <c r="AH481" s="11" t="s">
        <v>1579</v>
      </c>
      <c r="AI481" s="11" t="s">
        <v>1016</v>
      </c>
      <c r="AJ481" s="11"/>
      <c r="AK481" s="11" t="s">
        <v>1089</v>
      </c>
      <c r="AL481" s="11" t="s">
        <v>1017</v>
      </c>
      <c r="AM481" s="11" t="s">
        <v>1090</v>
      </c>
      <c r="AN481" s="11" t="s">
        <v>1019</v>
      </c>
      <c r="AO481" s="11" t="s">
        <v>1220</v>
      </c>
      <c r="AP481" s="11" t="s">
        <v>1021</v>
      </c>
      <c r="AQ481" s="11" t="s">
        <v>1221</v>
      </c>
      <c r="AR481" s="11" t="s">
        <v>1025</v>
      </c>
      <c r="AS481" s="11" t="s">
        <v>1222</v>
      </c>
      <c r="AT481" s="11" t="s">
        <v>1025</v>
      </c>
      <c r="AU481" s="11" t="s">
        <v>1221</v>
      </c>
      <c r="AV481" s="11" t="s">
        <v>1222</v>
      </c>
      <c r="AW481" s="12">
        <v>3</v>
      </c>
      <c r="AX481" s="12">
        <v>3</v>
      </c>
      <c r="AY481" s="12">
        <v>3</v>
      </c>
      <c r="AZ481" s="12">
        <v>3</v>
      </c>
      <c r="BA481" s="12">
        <v>1</v>
      </c>
      <c r="BB481" s="12">
        <v>3</v>
      </c>
      <c r="BC481" s="12">
        <v>1</v>
      </c>
      <c r="BD481" s="11" t="s">
        <v>1026</v>
      </c>
      <c r="BE481" s="11" t="s">
        <v>1027</v>
      </c>
    </row>
    <row r="482" spans="1:57" s="8" customFormat="1" ht="58" x14ac:dyDescent="0.35">
      <c r="A482" s="7" t="s">
        <v>694</v>
      </c>
      <c r="B482" s="7" t="s">
        <v>695</v>
      </c>
      <c r="C482" s="3" t="s">
        <v>813</v>
      </c>
      <c r="D482" s="3" t="s">
        <v>57</v>
      </c>
      <c r="E482" s="3"/>
      <c r="F482" s="3" t="s">
        <v>53</v>
      </c>
      <c r="G482" s="3" t="s">
        <v>50</v>
      </c>
      <c r="H482" s="4">
        <v>653</v>
      </c>
      <c r="I482" s="4">
        <v>300</v>
      </c>
      <c r="J482" s="3" t="s">
        <v>26</v>
      </c>
      <c r="K482" s="4" t="b">
        <v>0</v>
      </c>
      <c r="L482" s="6">
        <v>0.33333333333333298</v>
      </c>
      <c r="M482" s="6">
        <v>0.33333333333333298</v>
      </c>
      <c r="N482" s="3" t="s">
        <v>58</v>
      </c>
      <c r="O482" s="3" t="s">
        <v>59</v>
      </c>
      <c r="P482" s="3" t="s">
        <v>116</v>
      </c>
      <c r="Q482" s="3" t="s">
        <v>1218</v>
      </c>
      <c r="R482" s="3" t="s">
        <v>1074</v>
      </c>
      <c r="S482" s="3" t="s">
        <v>1006</v>
      </c>
      <c r="T482" s="3" t="s">
        <v>1007</v>
      </c>
      <c r="U482" s="11" t="s">
        <v>2515</v>
      </c>
      <c r="V482" s="11" t="s">
        <v>1064</v>
      </c>
      <c r="W482" s="11" t="s">
        <v>1065</v>
      </c>
      <c r="X482" s="13">
        <v>1</v>
      </c>
      <c r="Y482" s="12"/>
      <c r="Z482" s="11"/>
      <c r="AA482" s="11"/>
      <c r="AB482" s="11"/>
      <c r="AC482" s="11">
        <v>0</v>
      </c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 t="s">
        <v>1019</v>
      </c>
      <c r="AO482" s="11" t="s">
        <v>1220</v>
      </c>
      <c r="AP482" s="11" t="s">
        <v>1021</v>
      </c>
      <c r="AQ482" s="11" t="s">
        <v>1221</v>
      </c>
      <c r="AR482" s="11" t="s">
        <v>1025</v>
      </c>
      <c r="AS482" s="11" t="s">
        <v>1222</v>
      </c>
      <c r="AT482" s="11" t="s">
        <v>1025</v>
      </c>
      <c r="AU482" s="11" t="s">
        <v>1221</v>
      </c>
      <c r="AV482" s="11" t="s">
        <v>1222</v>
      </c>
      <c r="AW482" s="12">
        <v>3</v>
      </c>
      <c r="AX482" s="12">
        <v>3</v>
      </c>
      <c r="AY482" s="12">
        <v>3</v>
      </c>
      <c r="AZ482" s="12">
        <v>3</v>
      </c>
      <c r="BA482" s="12">
        <v>1</v>
      </c>
      <c r="BB482" s="12">
        <v>3</v>
      </c>
      <c r="BC482" s="12">
        <v>1</v>
      </c>
      <c r="BD482" s="11" t="s">
        <v>1026</v>
      </c>
      <c r="BE482" s="11" t="s">
        <v>1027</v>
      </c>
    </row>
    <row r="483" spans="1:57" s="8" customFormat="1" ht="72.5" x14ac:dyDescent="0.35">
      <c r="A483" s="7" t="s">
        <v>694</v>
      </c>
      <c r="B483" s="7" t="s">
        <v>695</v>
      </c>
      <c r="C483" s="3" t="s">
        <v>814</v>
      </c>
      <c r="D483" s="3" t="s">
        <v>41</v>
      </c>
      <c r="E483" s="3" t="s">
        <v>41</v>
      </c>
      <c r="F483" s="3" t="s">
        <v>36</v>
      </c>
      <c r="G483" s="3" t="s">
        <v>25</v>
      </c>
      <c r="H483" s="4">
        <v>1298</v>
      </c>
      <c r="I483" s="4">
        <v>150</v>
      </c>
      <c r="J483" s="3" t="s">
        <v>26</v>
      </c>
      <c r="K483" s="4" t="b">
        <v>1</v>
      </c>
      <c r="L483" s="6">
        <v>1</v>
      </c>
      <c r="M483" s="6">
        <v>1</v>
      </c>
      <c r="N483" s="3" t="s">
        <v>42</v>
      </c>
      <c r="O483" s="3"/>
      <c r="P483" s="3" t="s">
        <v>815</v>
      </c>
      <c r="Q483" s="3" t="s">
        <v>2517</v>
      </c>
      <c r="R483" s="3" t="s">
        <v>1039</v>
      </c>
      <c r="S483" s="3" t="s">
        <v>1055</v>
      </c>
      <c r="T483" s="3" t="s">
        <v>2518</v>
      </c>
      <c r="U483" s="11" t="s">
        <v>2519</v>
      </c>
      <c r="V483" s="11" t="s">
        <v>1043</v>
      </c>
      <c r="W483" s="11" t="s">
        <v>1044</v>
      </c>
      <c r="X483" s="13">
        <v>1</v>
      </c>
      <c r="Y483" s="12"/>
      <c r="Z483" s="11"/>
      <c r="AA483" s="11"/>
      <c r="AB483" s="11"/>
      <c r="AC483" s="11">
        <v>2</v>
      </c>
      <c r="AD483" s="11" t="s">
        <v>1148</v>
      </c>
      <c r="AE483" s="11" t="s">
        <v>2520</v>
      </c>
      <c r="AF483" s="11" t="s">
        <v>1014</v>
      </c>
      <c r="AG483" s="11" t="s">
        <v>1150</v>
      </c>
      <c r="AH483" s="11"/>
      <c r="AI483" s="11" t="s">
        <v>1016</v>
      </c>
      <c r="AJ483" s="11"/>
      <c r="AK483" s="11" t="s">
        <v>1151</v>
      </c>
      <c r="AL483" s="11" t="s">
        <v>1017</v>
      </c>
      <c r="AM483" s="11" t="s">
        <v>1152</v>
      </c>
      <c r="AN483" s="11" t="s">
        <v>1019</v>
      </c>
      <c r="AO483" s="11" t="s">
        <v>1480</v>
      </c>
      <c r="AP483" s="11" t="s">
        <v>1021</v>
      </c>
      <c r="AQ483" s="11" t="s">
        <v>1481</v>
      </c>
      <c r="AR483" s="11" t="s">
        <v>1023</v>
      </c>
      <c r="AS483" s="11"/>
      <c r="AT483" s="11" t="s">
        <v>1034</v>
      </c>
      <c r="AU483" s="11" t="s">
        <v>1481</v>
      </c>
      <c r="AV483" s="11"/>
      <c r="AW483" s="12">
        <v>3</v>
      </c>
      <c r="AX483" s="12">
        <v>3</v>
      </c>
      <c r="AY483" s="12">
        <v>3</v>
      </c>
      <c r="AZ483" s="12">
        <v>3</v>
      </c>
      <c r="BA483" s="12">
        <v>5</v>
      </c>
      <c r="BB483" s="12"/>
      <c r="BC483" s="12"/>
      <c r="BD483" s="11" t="s">
        <v>1093</v>
      </c>
      <c r="BE483" s="11" t="s">
        <v>1037</v>
      </c>
    </row>
    <row r="484" spans="1:57" s="8" customFormat="1" ht="43.5" x14ac:dyDescent="0.35">
      <c r="A484" s="7" t="s">
        <v>694</v>
      </c>
      <c r="B484" s="7" t="s">
        <v>695</v>
      </c>
      <c r="C484" s="3" t="s">
        <v>816</v>
      </c>
      <c r="D484" s="3" t="s">
        <v>30</v>
      </c>
      <c r="E484" s="3" t="s">
        <v>30</v>
      </c>
      <c r="F484" s="3" t="s">
        <v>31</v>
      </c>
      <c r="G484" s="3" t="s">
        <v>25</v>
      </c>
      <c r="H484" s="4">
        <v>418</v>
      </c>
      <c r="I484" s="4">
        <v>250</v>
      </c>
      <c r="J484" s="3" t="s">
        <v>26</v>
      </c>
      <c r="K484" s="4" t="b">
        <v>1</v>
      </c>
      <c r="L484" s="6">
        <v>1</v>
      </c>
      <c r="M484" s="6">
        <v>1</v>
      </c>
      <c r="N484" s="3" t="s">
        <v>32</v>
      </c>
      <c r="O484" s="3"/>
      <c r="P484" s="3" t="s">
        <v>291</v>
      </c>
      <c r="Q484" s="3" t="s">
        <v>1669</v>
      </c>
      <c r="R484" s="3" t="s">
        <v>1074</v>
      </c>
      <c r="S484" s="3" t="s">
        <v>1006</v>
      </c>
      <c r="T484" s="3" t="s">
        <v>1007</v>
      </c>
      <c r="U484" s="11" t="s">
        <v>2521</v>
      </c>
      <c r="V484" s="11" t="s">
        <v>1127</v>
      </c>
      <c r="W484" s="11" t="s">
        <v>1128</v>
      </c>
      <c r="X484" s="13">
        <v>1</v>
      </c>
      <c r="Y484" s="12"/>
      <c r="Z484" s="11"/>
      <c r="AA484" s="11"/>
      <c r="AB484" s="11"/>
      <c r="AC484" s="11">
        <v>0</v>
      </c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 t="s">
        <v>1019</v>
      </c>
      <c r="AO484" s="11" t="s">
        <v>1671</v>
      </c>
      <c r="AP484" s="11" t="s">
        <v>1021</v>
      </c>
      <c r="AQ484" s="11" t="s">
        <v>1672</v>
      </c>
      <c r="AR484" s="11" t="s">
        <v>1050</v>
      </c>
      <c r="AS484" s="11" t="s">
        <v>1673</v>
      </c>
      <c r="AT484" s="11" t="s">
        <v>1050</v>
      </c>
      <c r="AU484" s="11" t="s">
        <v>1672</v>
      </c>
      <c r="AV484" s="11" t="s">
        <v>1673</v>
      </c>
      <c r="AW484" s="12">
        <v>1</v>
      </c>
      <c r="AX484" s="12">
        <v>1</v>
      </c>
      <c r="AY484" s="12">
        <v>1</v>
      </c>
      <c r="AZ484" s="12">
        <v>1</v>
      </c>
      <c r="BA484" s="12">
        <v>1</v>
      </c>
      <c r="BB484" s="12">
        <v>1</v>
      </c>
      <c r="BC484" s="12">
        <v>1</v>
      </c>
      <c r="BD484" s="11" t="s">
        <v>1026</v>
      </c>
      <c r="BE484" s="11" t="s">
        <v>1103</v>
      </c>
    </row>
    <row r="485" spans="1:57" s="8" customFormat="1" ht="72.5" x14ac:dyDescent="0.35">
      <c r="A485" s="7" t="s">
        <v>694</v>
      </c>
      <c r="B485" s="7" t="s">
        <v>695</v>
      </c>
      <c r="C485" s="3" t="s">
        <v>817</v>
      </c>
      <c r="D485" s="3" t="s">
        <v>52</v>
      </c>
      <c r="E485" s="3"/>
      <c r="F485" s="3" t="s">
        <v>53</v>
      </c>
      <c r="G485" s="3" t="s">
        <v>50</v>
      </c>
      <c r="H485" s="4">
        <v>652</v>
      </c>
      <c r="I485" s="4">
        <v>500</v>
      </c>
      <c r="J485" s="3" t="s">
        <v>26</v>
      </c>
      <c r="K485" s="4" t="b">
        <v>0</v>
      </c>
      <c r="L485" s="6">
        <v>0.33333333333333298</v>
      </c>
      <c r="M485" s="6">
        <v>0.33333333333333298</v>
      </c>
      <c r="N485" s="3" t="s">
        <v>54</v>
      </c>
      <c r="O485" s="3" t="s">
        <v>55</v>
      </c>
      <c r="P485" s="3" t="s">
        <v>818</v>
      </c>
      <c r="Q485" s="3" t="s">
        <v>2522</v>
      </c>
      <c r="R485" s="3" t="s">
        <v>1005</v>
      </c>
      <c r="S485" s="3" t="s">
        <v>1006</v>
      </c>
      <c r="T485" s="3" t="s">
        <v>1007</v>
      </c>
      <c r="U485" s="11" t="s">
        <v>2523</v>
      </c>
      <c r="V485" s="11" t="s">
        <v>1031</v>
      </c>
      <c r="W485" s="11" t="s">
        <v>1032</v>
      </c>
      <c r="X485" s="13">
        <v>0.7</v>
      </c>
      <c r="Y485" s="12"/>
      <c r="Z485" s="11"/>
      <c r="AA485" s="11"/>
      <c r="AB485" s="11"/>
      <c r="AC485" s="11">
        <v>3</v>
      </c>
      <c r="AD485" s="11" t="s">
        <v>1452</v>
      </c>
      <c r="AE485" s="11" t="s">
        <v>2524</v>
      </c>
      <c r="AF485" s="11" t="s">
        <v>1014</v>
      </c>
      <c r="AG485" s="11" t="s">
        <v>1015</v>
      </c>
      <c r="AH485" s="11" t="s">
        <v>1078</v>
      </c>
      <c r="AI485" s="11" t="s">
        <v>1016</v>
      </c>
      <c r="AJ485" s="11"/>
      <c r="AK485" s="11" t="s">
        <v>1454</v>
      </c>
      <c r="AL485" s="11" t="s">
        <v>1017</v>
      </c>
      <c r="AM485" s="11" t="s">
        <v>1455</v>
      </c>
      <c r="AN485" s="11" t="s">
        <v>1019</v>
      </c>
      <c r="AO485" s="11" t="s">
        <v>1784</v>
      </c>
      <c r="AP485" s="11" t="s">
        <v>1021</v>
      </c>
      <c r="AQ485" s="11" t="s">
        <v>1785</v>
      </c>
      <c r="AR485" s="11" t="s">
        <v>1023</v>
      </c>
      <c r="AS485" s="11" t="s">
        <v>1786</v>
      </c>
      <c r="AT485" s="11" t="s">
        <v>1025</v>
      </c>
      <c r="AU485" s="11" t="s">
        <v>1785</v>
      </c>
      <c r="AV485" s="11" t="s">
        <v>1786</v>
      </c>
      <c r="AW485" s="12">
        <v>2</v>
      </c>
      <c r="AX485" s="12">
        <v>2</v>
      </c>
      <c r="AY485" s="12">
        <v>2</v>
      </c>
      <c r="AZ485" s="12">
        <v>2</v>
      </c>
      <c r="BA485" s="12">
        <v>6</v>
      </c>
      <c r="BB485" s="12">
        <v>2</v>
      </c>
      <c r="BC485" s="12">
        <v>1</v>
      </c>
      <c r="BD485" s="11" t="s">
        <v>1026</v>
      </c>
      <c r="BE485" s="11" t="s">
        <v>1027</v>
      </c>
    </row>
    <row r="486" spans="1:57" s="8" customFormat="1" ht="72.5" x14ac:dyDescent="0.35">
      <c r="A486" s="7" t="s">
        <v>694</v>
      </c>
      <c r="B486" s="7" t="s">
        <v>695</v>
      </c>
      <c r="C486" s="3" t="s">
        <v>817</v>
      </c>
      <c r="D486" s="3" t="s">
        <v>57</v>
      </c>
      <c r="E486" s="3" t="s">
        <v>57</v>
      </c>
      <c r="F486" s="3" t="s">
        <v>53</v>
      </c>
      <c r="G486" s="3" t="s">
        <v>25</v>
      </c>
      <c r="H486" s="4">
        <v>652</v>
      </c>
      <c r="I486" s="4">
        <v>300</v>
      </c>
      <c r="J486" s="3" t="s">
        <v>26</v>
      </c>
      <c r="K486" s="4" t="b">
        <v>1</v>
      </c>
      <c r="L486" s="6">
        <v>1</v>
      </c>
      <c r="M486" s="6">
        <v>1</v>
      </c>
      <c r="N486" s="3" t="s">
        <v>62</v>
      </c>
      <c r="O486" s="3"/>
      <c r="P486" s="3" t="s">
        <v>818</v>
      </c>
      <c r="Q486" s="3" t="s">
        <v>2522</v>
      </c>
      <c r="R486" s="3" t="s">
        <v>1005</v>
      </c>
      <c r="S486" s="3" t="s">
        <v>1006</v>
      </c>
      <c r="T486" s="3" t="s">
        <v>1007</v>
      </c>
      <c r="U486" s="11" t="s">
        <v>2523</v>
      </c>
      <c r="V486" s="11" t="s">
        <v>1031</v>
      </c>
      <c r="W486" s="11" t="s">
        <v>1032</v>
      </c>
      <c r="X486" s="13">
        <v>0.7</v>
      </c>
      <c r="Y486" s="12"/>
      <c r="Z486" s="11"/>
      <c r="AA486" s="11"/>
      <c r="AB486" s="11"/>
      <c r="AC486" s="11">
        <v>0</v>
      </c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 t="s">
        <v>1019</v>
      </c>
      <c r="AO486" s="11" t="s">
        <v>1784</v>
      </c>
      <c r="AP486" s="11" t="s">
        <v>1021</v>
      </c>
      <c r="AQ486" s="11" t="s">
        <v>1785</v>
      </c>
      <c r="AR486" s="11" t="s">
        <v>1023</v>
      </c>
      <c r="AS486" s="11" t="s">
        <v>1786</v>
      </c>
      <c r="AT486" s="11" t="s">
        <v>1025</v>
      </c>
      <c r="AU486" s="11" t="s">
        <v>1785</v>
      </c>
      <c r="AV486" s="11" t="s">
        <v>1786</v>
      </c>
      <c r="AW486" s="12">
        <v>2</v>
      </c>
      <c r="AX486" s="12">
        <v>2</v>
      </c>
      <c r="AY486" s="12">
        <v>2</v>
      </c>
      <c r="AZ486" s="12">
        <v>2</v>
      </c>
      <c r="BA486" s="12">
        <v>6</v>
      </c>
      <c r="BB486" s="12">
        <v>2</v>
      </c>
      <c r="BC486" s="12">
        <v>1</v>
      </c>
      <c r="BD486" s="11" t="s">
        <v>1026</v>
      </c>
      <c r="BE486" s="11" t="s">
        <v>1027</v>
      </c>
    </row>
    <row r="487" spans="1:57" s="8" customFormat="1" ht="72.5" x14ac:dyDescent="0.35">
      <c r="A487" s="7" t="s">
        <v>694</v>
      </c>
      <c r="B487" s="7" t="s">
        <v>695</v>
      </c>
      <c r="C487" s="3" t="s">
        <v>817</v>
      </c>
      <c r="D487" s="3" t="s">
        <v>98</v>
      </c>
      <c r="E487" s="3"/>
      <c r="F487" s="3" t="s">
        <v>53</v>
      </c>
      <c r="G487" s="3" t="s">
        <v>50</v>
      </c>
      <c r="H487" s="4">
        <v>652</v>
      </c>
      <c r="I487" s="4">
        <v>300</v>
      </c>
      <c r="J487" s="3" t="s">
        <v>26</v>
      </c>
      <c r="K487" s="4" t="b">
        <v>0</v>
      </c>
      <c r="L487" s="6">
        <v>0.5</v>
      </c>
      <c r="M487" s="6">
        <v>0.5</v>
      </c>
      <c r="N487" s="3" t="s">
        <v>58</v>
      </c>
      <c r="O487" s="3" t="s">
        <v>99</v>
      </c>
      <c r="P487" s="3" t="s">
        <v>818</v>
      </c>
      <c r="Q487" s="3" t="s">
        <v>2522</v>
      </c>
      <c r="R487" s="3" t="s">
        <v>1005</v>
      </c>
      <c r="S487" s="3" t="s">
        <v>1006</v>
      </c>
      <c r="T487" s="3" t="s">
        <v>1007</v>
      </c>
      <c r="U487" s="11" t="s">
        <v>2523</v>
      </c>
      <c r="V487" s="11" t="s">
        <v>1031</v>
      </c>
      <c r="W487" s="11" t="s">
        <v>1032</v>
      </c>
      <c r="X487" s="13">
        <v>0.7</v>
      </c>
      <c r="Y487" s="12"/>
      <c r="Z487" s="11"/>
      <c r="AA487" s="11"/>
      <c r="AB487" s="11"/>
      <c r="AC487" s="11">
        <v>0</v>
      </c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 t="s">
        <v>1019</v>
      </c>
      <c r="AO487" s="11" t="s">
        <v>1784</v>
      </c>
      <c r="AP487" s="11" t="s">
        <v>1021</v>
      </c>
      <c r="AQ487" s="11" t="s">
        <v>1785</v>
      </c>
      <c r="AR487" s="11" t="s">
        <v>1023</v>
      </c>
      <c r="AS487" s="11" t="s">
        <v>1786</v>
      </c>
      <c r="AT487" s="11" t="s">
        <v>1025</v>
      </c>
      <c r="AU487" s="11" t="s">
        <v>1785</v>
      </c>
      <c r="AV487" s="11" t="s">
        <v>1786</v>
      </c>
      <c r="AW487" s="12">
        <v>2</v>
      </c>
      <c r="AX487" s="12">
        <v>2</v>
      </c>
      <c r="AY487" s="12">
        <v>2</v>
      </c>
      <c r="AZ487" s="12">
        <v>2</v>
      </c>
      <c r="BA487" s="12">
        <v>6</v>
      </c>
      <c r="BB487" s="12">
        <v>2</v>
      </c>
      <c r="BC487" s="12">
        <v>1</v>
      </c>
      <c r="BD487" s="11" t="s">
        <v>1026</v>
      </c>
      <c r="BE487" s="11" t="s">
        <v>1027</v>
      </c>
    </row>
    <row r="488" spans="1:57" s="8" customFormat="1" ht="116" x14ac:dyDescent="0.35">
      <c r="A488" s="7" t="s">
        <v>694</v>
      </c>
      <c r="B488" s="7" t="s">
        <v>695</v>
      </c>
      <c r="C488" s="3" t="s">
        <v>819</v>
      </c>
      <c r="D488" s="3" t="s">
        <v>52</v>
      </c>
      <c r="E488" s="3" t="s">
        <v>52</v>
      </c>
      <c r="F488" s="3" t="s">
        <v>53</v>
      </c>
      <c r="G488" s="3" t="s">
        <v>25</v>
      </c>
      <c r="H488" s="4">
        <v>1070</v>
      </c>
      <c r="I488" s="4">
        <v>500</v>
      </c>
      <c r="J488" s="3" t="s">
        <v>26</v>
      </c>
      <c r="K488" s="4" t="b">
        <v>1</v>
      </c>
      <c r="L488" s="6">
        <v>1</v>
      </c>
      <c r="M488" s="6">
        <v>1</v>
      </c>
      <c r="N488" s="3" t="s">
        <v>113</v>
      </c>
      <c r="O488" s="3"/>
      <c r="P488" s="3" t="s">
        <v>820</v>
      </c>
      <c r="Q488" s="3" t="s">
        <v>2525</v>
      </c>
      <c r="R488" s="3" t="s">
        <v>1029</v>
      </c>
      <c r="S488" s="3" t="s">
        <v>1006</v>
      </c>
      <c r="T488" s="3" t="s">
        <v>1007</v>
      </c>
      <c r="U488" s="11" t="s">
        <v>2526</v>
      </c>
      <c r="V488" s="11" t="s">
        <v>1064</v>
      </c>
      <c r="W488" s="11" t="s">
        <v>1065</v>
      </c>
      <c r="X488" s="13">
        <v>1</v>
      </c>
      <c r="Y488" s="12"/>
      <c r="Z488" s="11"/>
      <c r="AA488" s="11"/>
      <c r="AB488" s="11"/>
      <c r="AC488" s="11">
        <v>9</v>
      </c>
      <c r="AD488" s="11" t="s">
        <v>1086</v>
      </c>
      <c r="AE488" s="11" t="s">
        <v>2527</v>
      </c>
      <c r="AF488" s="11" t="s">
        <v>1014</v>
      </c>
      <c r="AG488" s="11" t="s">
        <v>1015</v>
      </c>
      <c r="AH488" s="11" t="s">
        <v>2528</v>
      </c>
      <c r="AI488" s="11" t="s">
        <v>1016</v>
      </c>
      <c r="AJ488" s="11"/>
      <c r="AK488" s="11" t="s">
        <v>1089</v>
      </c>
      <c r="AL488" s="11" t="s">
        <v>1017</v>
      </c>
      <c r="AM488" s="11" t="s">
        <v>1090</v>
      </c>
      <c r="AN488" s="11" t="s">
        <v>1019</v>
      </c>
      <c r="AO488" s="11" t="s">
        <v>1215</v>
      </c>
      <c r="AP488" s="11" t="s">
        <v>1021</v>
      </c>
      <c r="AQ488" s="11" t="s">
        <v>1216</v>
      </c>
      <c r="AR488" s="11" t="s">
        <v>1048</v>
      </c>
      <c r="AS488" s="11" t="s">
        <v>1217</v>
      </c>
      <c r="AT488" s="11" t="s">
        <v>1050</v>
      </c>
      <c r="AU488" s="11" t="s">
        <v>1216</v>
      </c>
      <c r="AV488" s="11" t="s">
        <v>1217</v>
      </c>
      <c r="AW488" s="12">
        <v>1</v>
      </c>
      <c r="AX488" s="12">
        <v>1</v>
      </c>
      <c r="AY488" s="12">
        <v>1</v>
      </c>
      <c r="AZ488" s="12">
        <v>1</v>
      </c>
      <c r="BA488" s="12">
        <v>3</v>
      </c>
      <c r="BB488" s="12">
        <v>1</v>
      </c>
      <c r="BC488" s="12">
        <v>1</v>
      </c>
      <c r="BD488" s="11" t="s">
        <v>1026</v>
      </c>
      <c r="BE488" s="11" t="s">
        <v>1051</v>
      </c>
    </row>
    <row r="489" spans="1:57" s="8" customFormat="1" ht="58" x14ac:dyDescent="0.35">
      <c r="A489" s="7" t="s">
        <v>694</v>
      </c>
      <c r="B489" s="7" t="s">
        <v>695</v>
      </c>
      <c r="C489" s="3" t="s">
        <v>819</v>
      </c>
      <c r="D489" s="3" t="s">
        <v>57</v>
      </c>
      <c r="E489" s="3"/>
      <c r="F489" s="3" t="s">
        <v>53</v>
      </c>
      <c r="G489" s="3" t="s">
        <v>50</v>
      </c>
      <c r="H489" s="4">
        <v>1070</v>
      </c>
      <c r="I489" s="4">
        <v>300</v>
      </c>
      <c r="J489" s="3" t="s">
        <v>26</v>
      </c>
      <c r="K489" s="4" t="b">
        <v>0</v>
      </c>
      <c r="L489" s="6">
        <v>0.33333333333333298</v>
      </c>
      <c r="M489" s="6">
        <v>0.33333333333333298</v>
      </c>
      <c r="N489" s="3" t="s">
        <v>58</v>
      </c>
      <c r="O489" s="3" t="s">
        <v>59</v>
      </c>
      <c r="P489" s="3" t="s">
        <v>820</v>
      </c>
      <c r="Q489" s="3" t="s">
        <v>2525</v>
      </c>
      <c r="R489" s="3" t="s">
        <v>1029</v>
      </c>
      <c r="S489" s="3" t="s">
        <v>1006</v>
      </c>
      <c r="T489" s="3" t="s">
        <v>1007</v>
      </c>
      <c r="U489" s="11" t="s">
        <v>2526</v>
      </c>
      <c r="V489" s="11" t="s">
        <v>1064</v>
      </c>
      <c r="W489" s="11" t="s">
        <v>1065</v>
      </c>
      <c r="X489" s="13">
        <v>1</v>
      </c>
      <c r="Y489" s="12"/>
      <c r="Z489" s="11"/>
      <c r="AA489" s="11"/>
      <c r="AB489" s="11"/>
      <c r="AC489" s="11">
        <v>1</v>
      </c>
      <c r="AD489" s="11" t="s">
        <v>1227</v>
      </c>
      <c r="AE489" s="11" t="s">
        <v>2529</v>
      </c>
      <c r="AF489" s="11" t="s">
        <v>1014</v>
      </c>
      <c r="AG489" s="11" t="s">
        <v>1015</v>
      </c>
      <c r="AH489" s="11"/>
      <c r="AI489" s="11" t="s">
        <v>1016</v>
      </c>
      <c r="AJ489" s="11"/>
      <c r="AK489" s="11" t="s">
        <v>1229</v>
      </c>
      <c r="AL489" s="11" t="s">
        <v>1017</v>
      </c>
      <c r="AM489" s="11" t="s">
        <v>1230</v>
      </c>
      <c r="AN489" s="11" t="s">
        <v>1019</v>
      </c>
      <c r="AO489" s="11" t="s">
        <v>1215</v>
      </c>
      <c r="AP489" s="11" t="s">
        <v>1021</v>
      </c>
      <c r="AQ489" s="11" t="s">
        <v>1216</v>
      </c>
      <c r="AR489" s="11" t="s">
        <v>1048</v>
      </c>
      <c r="AS489" s="11" t="s">
        <v>1217</v>
      </c>
      <c r="AT489" s="11" t="s">
        <v>1050</v>
      </c>
      <c r="AU489" s="11" t="s">
        <v>1216</v>
      </c>
      <c r="AV489" s="11" t="s">
        <v>1217</v>
      </c>
      <c r="AW489" s="12">
        <v>1</v>
      </c>
      <c r="AX489" s="12">
        <v>1</v>
      </c>
      <c r="AY489" s="12">
        <v>1</v>
      </c>
      <c r="AZ489" s="12">
        <v>1</v>
      </c>
      <c r="BA489" s="12">
        <v>3</v>
      </c>
      <c r="BB489" s="12">
        <v>1</v>
      </c>
      <c r="BC489" s="12">
        <v>1</v>
      </c>
      <c r="BD489" s="11" t="s">
        <v>1026</v>
      </c>
      <c r="BE489" s="11" t="s">
        <v>1051</v>
      </c>
    </row>
    <row r="490" spans="1:57" s="8" customFormat="1" ht="319" x14ac:dyDescent="0.35">
      <c r="A490" s="7" t="s">
        <v>694</v>
      </c>
      <c r="B490" s="7" t="s">
        <v>695</v>
      </c>
      <c r="C490" s="3" t="s">
        <v>821</v>
      </c>
      <c r="D490" s="3" t="s">
        <v>122</v>
      </c>
      <c r="E490" s="3"/>
      <c r="F490" s="3" t="s">
        <v>53</v>
      </c>
      <c r="G490" s="3" t="s">
        <v>50</v>
      </c>
      <c r="H490" s="4">
        <v>628</v>
      </c>
      <c r="I490" s="4">
        <v>150</v>
      </c>
      <c r="J490" s="3" t="s">
        <v>26</v>
      </c>
      <c r="K490" s="4" t="b">
        <v>1</v>
      </c>
      <c r="L490" s="6">
        <v>1</v>
      </c>
      <c r="M490" s="6">
        <v>1</v>
      </c>
      <c r="N490" s="3" t="s">
        <v>123</v>
      </c>
      <c r="O490" s="3"/>
      <c r="P490" s="3" t="s">
        <v>822</v>
      </c>
      <c r="Q490" s="3" t="s">
        <v>2530</v>
      </c>
      <c r="R490" s="3" t="s">
        <v>1235</v>
      </c>
      <c r="S490" s="3" t="s">
        <v>1006</v>
      </c>
      <c r="T490" s="3" t="s">
        <v>1007</v>
      </c>
      <c r="U490" s="11" t="s">
        <v>2531</v>
      </c>
      <c r="V490" s="11" t="s">
        <v>1031</v>
      </c>
      <c r="W490" s="11" t="s">
        <v>1032</v>
      </c>
      <c r="X490" s="13">
        <v>0.7</v>
      </c>
      <c r="Y490" s="12"/>
      <c r="Z490" s="11"/>
      <c r="AA490" s="11"/>
      <c r="AB490" s="11"/>
      <c r="AC490" s="11">
        <v>2</v>
      </c>
      <c r="AD490" s="11" t="s">
        <v>1238</v>
      </c>
      <c r="AE490" s="11" t="s">
        <v>2532</v>
      </c>
      <c r="AF490" s="11" t="s">
        <v>1014</v>
      </c>
      <c r="AG490" s="11" t="s">
        <v>1015</v>
      </c>
      <c r="AH490" s="11" t="s">
        <v>123</v>
      </c>
      <c r="AI490" s="11" t="s">
        <v>1016</v>
      </c>
      <c r="AJ490" s="11"/>
      <c r="AK490" s="11" t="s">
        <v>1240</v>
      </c>
      <c r="AL490" s="11" t="s">
        <v>1017</v>
      </c>
      <c r="AM490" s="11" t="s">
        <v>1241</v>
      </c>
      <c r="AN490" s="11" t="s">
        <v>1019</v>
      </c>
      <c r="AO490" s="11" t="s">
        <v>1242</v>
      </c>
      <c r="AP490" s="11" t="s">
        <v>1021</v>
      </c>
      <c r="AQ490" s="11" t="s">
        <v>1243</v>
      </c>
      <c r="AR490" s="11" t="s">
        <v>1048</v>
      </c>
      <c r="AS490" s="11" t="s">
        <v>1244</v>
      </c>
      <c r="AT490" s="11" t="s">
        <v>1023</v>
      </c>
      <c r="AU490" s="11" t="s">
        <v>1245</v>
      </c>
      <c r="AV490" s="11" t="s">
        <v>1244</v>
      </c>
      <c r="AW490" s="12">
        <v>3</v>
      </c>
      <c r="AX490" s="12">
        <v>2</v>
      </c>
      <c r="AY490" s="12">
        <v>2</v>
      </c>
      <c r="AZ490" s="12">
        <v>1</v>
      </c>
      <c r="BA490" s="12">
        <v>2</v>
      </c>
      <c r="BB490" s="12">
        <v>2</v>
      </c>
      <c r="BC490" s="12">
        <v>22</v>
      </c>
      <c r="BD490" s="11" t="s">
        <v>1026</v>
      </c>
      <c r="BE490" s="11" t="s">
        <v>1027</v>
      </c>
    </row>
    <row r="491" spans="1:57" s="8" customFormat="1" ht="72.5" x14ac:dyDescent="0.35">
      <c r="A491" s="7" t="s">
        <v>694</v>
      </c>
      <c r="B491" s="7" t="s">
        <v>695</v>
      </c>
      <c r="C491" s="3" t="s">
        <v>823</v>
      </c>
      <c r="D491" s="3" t="s">
        <v>57</v>
      </c>
      <c r="E491" s="3"/>
      <c r="F491" s="3" t="s">
        <v>53</v>
      </c>
      <c r="G491" s="3" t="s">
        <v>50</v>
      </c>
      <c r="H491" s="4">
        <v>583</v>
      </c>
      <c r="I491" s="4">
        <v>300</v>
      </c>
      <c r="J491" s="3" t="s">
        <v>26</v>
      </c>
      <c r="K491" s="4" t="b">
        <v>0</v>
      </c>
      <c r="L491" s="6">
        <v>0.33333333333333298</v>
      </c>
      <c r="M491" s="6">
        <v>0.33333333333333298</v>
      </c>
      <c r="N491" s="3" t="s">
        <v>58</v>
      </c>
      <c r="O491" s="3" t="s">
        <v>59</v>
      </c>
      <c r="P491" s="3" t="s">
        <v>824</v>
      </c>
      <c r="Q491" s="3" t="s">
        <v>2533</v>
      </c>
      <c r="R491" s="3" t="s">
        <v>1074</v>
      </c>
      <c r="S491" s="3" t="s">
        <v>1006</v>
      </c>
      <c r="T491" s="3" t="s">
        <v>1007</v>
      </c>
      <c r="U491" s="11" t="s">
        <v>2534</v>
      </c>
      <c r="V491" s="11" t="s">
        <v>1031</v>
      </c>
      <c r="W491" s="11" t="s">
        <v>1032</v>
      </c>
      <c r="X491" s="13">
        <v>0.7</v>
      </c>
      <c r="Y491" s="12"/>
      <c r="Z491" s="11"/>
      <c r="AA491" s="11"/>
      <c r="AB491" s="11"/>
      <c r="AC491" s="11">
        <v>0</v>
      </c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 t="s">
        <v>1019</v>
      </c>
      <c r="AO491" s="11" t="s">
        <v>1942</v>
      </c>
      <c r="AP491" s="11" t="s">
        <v>1114</v>
      </c>
      <c r="AQ491" s="11"/>
      <c r="AR491" s="11" t="s">
        <v>1034</v>
      </c>
      <c r="AS491" s="11"/>
      <c r="AT491" s="11" t="s">
        <v>1034</v>
      </c>
      <c r="AU491" s="11"/>
      <c r="AV491" s="11"/>
      <c r="AW491" s="12">
        <v>0</v>
      </c>
      <c r="AX491" s="12">
        <v>1</v>
      </c>
      <c r="AY491" s="12">
        <v>1</v>
      </c>
      <c r="AZ491" s="12"/>
      <c r="BA491" s="12"/>
      <c r="BB491" s="12"/>
      <c r="BC491" s="12"/>
      <c r="BD491" s="11" t="s">
        <v>1115</v>
      </c>
      <c r="BE491" s="11" t="s">
        <v>1116</v>
      </c>
    </row>
    <row r="492" spans="1:57" s="8" customFormat="1" ht="58" x14ac:dyDescent="0.35">
      <c r="A492" s="7" t="s">
        <v>694</v>
      </c>
      <c r="B492" s="7" t="s">
        <v>695</v>
      </c>
      <c r="C492" s="3" t="s">
        <v>825</v>
      </c>
      <c r="D492" s="3" t="s">
        <v>57</v>
      </c>
      <c r="E492" s="3"/>
      <c r="F492" s="3" t="s">
        <v>53</v>
      </c>
      <c r="G492" s="3" t="s">
        <v>50</v>
      </c>
      <c r="H492" s="4">
        <v>746</v>
      </c>
      <c r="I492" s="4">
        <v>300</v>
      </c>
      <c r="J492" s="3" t="s">
        <v>26</v>
      </c>
      <c r="K492" s="4" t="b">
        <v>0</v>
      </c>
      <c r="L492" s="6">
        <v>0.33333333333333298</v>
      </c>
      <c r="M492" s="6">
        <v>0.33333333333333298</v>
      </c>
      <c r="N492" s="3" t="s">
        <v>58</v>
      </c>
      <c r="O492" s="3" t="s">
        <v>59</v>
      </c>
      <c r="P492" s="3" t="s">
        <v>826</v>
      </c>
      <c r="Q492" s="3" t="s">
        <v>2535</v>
      </c>
      <c r="R492" s="3" t="s">
        <v>1074</v>
      </c>
      <c r="S492" s="3" t="s">
        <v>1006</v>
      </c>
      <c r="T492" s="3" t="s">
        <v>1007</v>
      </c>
      <c r="U492" s="11" t="s">
        <v>2536</v>
      </c>
      <c r="V492" s="11" t="s">
        <v>1009</v>
      </c>
      <c r="W492" s="11" t="s">
        <v>1010</v>
      </c>
      <c r="X492" s="13">
        <v>0.8</v>
      </c>
      <c r="Y492" s="12"/>
      <c r="Z492" s="11" t="s">
        <v>2537</v>
      </c>
      <c r="AA492" s="11"/>
      <c r="AB492" s="11"/>
      <c r="AC492" s="11">
        <v>0</v>
      </c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 t="s">
        <v>1019</v>
      </c>
      <c r="AO492" s="11" t="s">
        <v>1462</v>
      </c>
      <c r="AP492" s="11" t="s">
        <v>1021</v>
      </c>
      <c r="AQ492" s="11" t="s">
        <v>1463</v>
      </c>
      <c r="AR492" s="11" t="s">
        <v>1048</v>
      </c>
      <c r="AS492" s="11" t="s">
        <v>1464</v>
      </c>
      <c r="AT492" s="11" t="s">
        <v>1025</v>
      </c>
      <c r="AU492" s="11" t="s">
        <v>1465</v>
      </c>
      <c r="AV492" s="11" t="s">
        <v>1464</v>
      </c>
      <c r="AW492" s="12">
        <v>3</v>
      </c>
      <c r="AX492" s="12">
        <v>2</v>
      </c>
      <c r="AY492" s="12">
        <v>3</v>
      </c>
      <c r="AZ492" s="12">
        <v>1</v>
      </c>
      <c r="BA492" s="12">
        <v>2</v>
      </c>
      <c r="BB492" s="12">
        <v>3</v>
      </c>
      <c r="BC492" s="12">
        <v>1</v>
      </c>
      <c r="BD492" s="11" t="s">
        <v>1026</v>
      </c>
      <c r="BE492" s="11" t="s">
        <v>1027</v>
      </c>
    </row>
    <row r="493" spans="1:57" s="8" customFormat="1" ht="58" x14ac:dyDescent="0.35">
      <c r="A493" s="7" t="s">
        <v>694</v>
      </c>
      <c r="B493" s="7" t="s">
        <v>695</v>
      </c>
      <c r="C493" s="3" t="s">
        <v>827</v>
      </c>
      <c r="D493" s="3" t="s">
        <v>57</v>
      </c>
      <c r="E493" s="3"/>
      <c r="F493" s="3" t="s">
        <v>53</v>
      </c>
      <c r="G493" s="3" t="s">
        <v>50</v>
      </c>
      <c r="H493" s="4">
        <v>366</v>
      </c>
      <c r="I493" s="4">
        <v>300</v>
      </c>
      <c r="J493" s="3" t="s">
        <v>26</v>
      </c>
      <c r="K493" s="4" t="b">
        <v>0</v>
      </c>
      <c r="L493" s="6">
        <v>0.33333333333333298</v>
      </c>
      <c r="M493" s="6">
        <v>0.33333333333333298</v>
      </c>
      <c r="N493" s="3" t="s">
        <v>58</v>
      </c>
      <c r="O493" s="3" t="s">
        <v>59</v>
      </c>
      <c r="P493" s="3" t="s">
        <v>309</v>
      </c>
      <c r="Q493" s="3" t="s">
        <v>1714</v>
      </c>
      <c r="R493" s="3" t="s">
        <v>1074</v>
      </c>
      <c r="S493" s="3" t="s">
        <v>1006</v>
      </c>
      <c r="T493" s="3" t="s">
        <v>1007</v>
      </c>
      <c r="U493" s="11" t="s">
        <v>2538</v>
      </c>
      <c r="V493" s="11" t="s">
        <v>1031</v>
      </c>
      <c r="W493" s="11" t="s">
        <v>1032</v>
      </c>
      <c r="X493" s="13">
        <v>0.7</v>
      </c>
      <c r="Y493" s="12"/>
      <c r="Z493" s="11"/>
      <c r="AA493" s="11"/>
      <c r="AB493" s="11"/>
      <c r="AC493" s="11">
        <v>0</v>
      </c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 t="s">
        <v>1019</v>
      </c>
      <c r="AO493" s="11" t="s">
        <v>1716</v>
      </c>
      <c r="AP493" s="11" t="s">
        <v>1021</v>
      </c>
      <c r="AQ493" s="11" t="s">
        <v>1717</v>
      </c>
      <c r="AR493" s="11" t="s">
        <v>1050</v>
      </c>
      <c r="AS493" s="11" t="s">
        <v>1718</v>
      </c>
      <c r="AT493" s="11" t="s">
        <v>1048</v>
      </c>
      <c r="AU493" s="11" t="s">
        <v>1717</v>
      </c>
      <c r="AV493" s="11" t="s">
        <v>1718</v>
      </c>
      <c r="AW493" s="12">
        <v>1</v>
      </c>
      <c r="AX493" s="12">
        <v>1</v>
      </c>
      <c r="AY493" s="12">
        <v>1</v>
      </c>
      <c r="AZ493" s="12">
        <v>1</v>
      </c>
      <c r="BA493" s="12">
        <v>1</v>
      </c>
      <c r="BB493" s="12">
        <v>1</v>
      </c>
      <c r="BC493" s="12">
        <v>2</v>
      </c>
      <c r="BD493" s="11" t="s">
        <v>1026</v>
      </c>
      <c r="BE493" s="11" t="s">
        <v>1051</v>
      </c>
    </row>
    <row r="494" spans="1:57" s="8" customFormat="1" ht="58" x14ac:dyDescent="0.35">
      <c r="A494" s="7" t="s">
        <v>694</v>
      </c>
      <c r="B494" s="7" t="s">
        <v>695</v>
      </c>
      <c r="C494" s="3" t="s">
        <v>828</v>
      </c>
      <c r="D494" s="3" t="s">
        <v>45</v>
      </c>
      <c r="E494" s="3" t="s">
        <v>45</v>
      </c>
      <c r="F494" s="3" t="s">
        <v>46</v>
      </c>
      <c r="G494" s="3" t="s">
        <v>25</v>
      </c>
      <c r="H494" s="4">
        <v>285</v>
      </c>
      <c r="I494" s="4">
        <v>200</v>
      </c>
      <c r="J494" s="3" t="s">
        <v>26</v>
      </c>
      <c r="K494" s="4" t="b">
        <v>1</v>
      </c>
      <c r="L494" s="6">
        <v>1</v>
      </c>
      <c r="M494" s="6">
        <v>1</v>
      </c>
      <c r="N494" s="3" t="s">
        <v>47</v>
      </c>
      <c r="O494" s="3"/>
      <c r="P494" s="3" t="s">
        <v>148</v>
      </c>
      <c r="Q494" s="3" t="s">
        <v>1287</v>
      </c>
      <c r="R494" s="3" t="s">
        <v>1029</v>
      </c>
      <c r="S494" s="3" t="s">
        <v>1006</v>
      </c>
      <c r="T494" s="3" t="s">
        <v>1007</v>
      </c>
      <c r="U494" s="11" t="s">
        <v>2539</v>
      </c>
      <c r="V494" s="11" t="s">
        <v>1031</v>
      </c>
      <c r="W494" s="11" t="s">
        <v>1032</v>
      </c>
      <c r="X494" s="13">
        <v>0.7</v>
      </c>
      <c r="Y494" s="12"/>
      <c r="Z494" s="11"/>
      <c r="AA494" s="11"/>
      <c r="AB494" s="11"/>
      <c r="AC494" s="11">
        <v>0</v>
      </c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 t="s">
        <v>1019</v>
      </c>
      <c r="AO494" s="11" t="s">
        <v>1181</v>
      </c>
      <c r="AP494" s="11" t="s">
        <v>1021</v>
      </c>
      <c r="AQ494" s="11" t="s">
        <v>1182</v>
      </c>
      <c r="AR494" s="11" t="s">
        <v>1025</v>
      </c>
      <c r="AS494" s="11" t="s">
        <v>1183</v>
      </c>
      <c r="AT494" s="11" t="s">
        <v>1025</v>
      </c>
      <c r="AU494" s="11" t="s">
        <v>1182</v>
      </c>
      <c r="AV494" s="11" t="s">
        <v>1183</v>
      </c>
      <c r="AW494" s="12">
        <v>2</v>
      </c>
      <c r="AX494" s="12">
        <v>2</v>
      </c>
      <c r="AY494" s="12">
        <v>2</v>
      </c>
      <c r="AZ494" s="12">
        <v>2</v>
      </c>
      <c r="BA494" s="12">
        <v>1</v>
      </c>
      <c r="BB494" s="12">
        <v>2</v>
      </c>
      <c r="BC494" s="12">
        <v>1</v>
      </c>
      <c r="BD494" s="11" t="s">
        <v>1026</v>
      </c>
      <c r="BE494" s="11" t="s">
        <v>1027</v>
      </c>
    </row>
    <row r="495" spans="1:57" s="8" customFormat="1" ht="188.5" x14ac:dyDescent="0.35">
      <c r="A495" s="7" t="s">
        <v>694</v>
      </c>
      <c r="B495" s="7" t="s">
        <v>695</v>
      </c>
      <c r="C495" s="3" t="s">
        <v>829</v>
      </c>
      <c r="D495" s="3" t="s">
        <v>231</v>
      </c>
      <c r="E495" s="3"/>
      <c r="F495" s="3" t="s">
        <v>31</v>
      </c>
      <c r="G495" s="3" t="s">
        <v>50</v>
      </c>
      <c r="H495" s="4">
        <v>2340</v>
      </c>
      <c r="I495" s="4">
        <v>400</v>
      </c>
      <c r="J495" s="3" t="s">
        <v>26</v>
      </c>
      <c r="K495" s="4" t="b">
        <v>1</v>
      </c>
      <c r="L495" s="6">
        <v>1</v>
      </c>
      <c r="M495" s="6">
        <v>1</v>
      </c>
      <c r="N495" s="3" t="s">
        <v>232</v>
      </c>
      <c r="O495" s="3"/>
      <c r="P495" s="3" t="s">
        <v>830</v>
      </c>
      <c r="Q495" s="3" t="s">
        <v>2540</v>
      </c>
      <c r="R495" s="3" t="s">
        <v>1005</v>
      </c>
      <c r="S495" s="3" t="s">
        <v>1006</v>
      </c>
      <c r="T495" s="3" t="s">
        <v>1007</v>
      </c>
      <c r="U495" s="11" t="s">
        <v>2541</v>
      </c>
      <c r="V495" s="11" t="s">
        <v>1031</v>
      </c>
      <c r="W495" s="11" t="s">
        <v>1032</v>
      </c>
      <c r="X495" s="13">
        <v>0.7</v>
      </c>
      <c r="Y495" s="12"/>
      <c r="Z495" s="11"/>
      <c r="AA495" s="11"/>
      <c r="AB495" s="11"/>
      <c r="AC495" s="11">
        <v>0</v>
      </c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 t="s">
        <v>1019</v>
      </c>
      <c r="AO495" s="11" t="s">
        <v>1509</v>
      </c>
      <c r="AP495" s="11" t="s">
        <v>1114</v>
      </c>
      <c r="AQ495" s="11"/>
      <c r="AR495" s="11" t="s">
        <v>1034</v>
      </c>
      <c r="AS495" s="11"/>
      <c r="AT495" s="11" t="s">
        <v>1034</v>
      </c>
      <c r="AU495" s="11"/>
      <c r="AV495" s="11"/>
      <c r="AW495" s="12">
        <v>1</v>
      </c>
      <c r="AX495" s="12">
        <v>1</v>
      </c>
      <c r="AY495" s="12">
        <v>1</v>
      </c>
      <c r="AZ495" s="12"/>
      <c r="BA495" s="12"/>
      <c r="BB495" s="12"/>
      <c r="BC495" s="12"/>
      <c r="BD495" s="11" t="s">
        <v>1115</v>
      </c>
      <c r="BE495" s="11" t="s">
        <v>1116</v>
      </c>
    </row>
    <row r="496" spans="1:57" s="8" customFormat="1" ht="58" x14ac:dyDescent="0.35">
      <c r="A496" s="7" t="s">
        <v>694</v>
      </c>
      <c r="B496" s="7" t="s">
        <v>695</v>
      </c>
      <c r="C496" s="3" t="s">
        <v>831</v>
      </c>
      <c r="D496" s="3" t="s">
        <v>57</v>
      </c>
      <c r="E496" s="3"/>
      <c r="F496" s="3" t="s">
        <v>53</v>
      </c>
      <c r="G496" s="3" t="s">
        <v>50</v>
      </c>
      <c r="H496" s="4">
        <v>681</v>
      </c>
      <c r="I496" s="4">
        <v>300</v>
      </c>
      <c r="J496" s="3" t="s">
        <v>26</v>
      </c>
      <c r="K496" s="4" t="b">
        <v>0</v>
      </c>
      <c r="L496" s="6">
        <v>0.33333333333333298</v>
      </c>
      <c r="M496" s="6">
        <v>0.33333333333333298</v>
      </c>
      <c r="N496" s="3" t="s">
        <v>58</v>
      </c>
      <c r="O496" s="3" t="s">
        <v>59</v>
      </c>
      <c r="P496" s="3" t="s">
        <v>832</v>
      </c>
      <c r="Q496" s="3" t="s">
        <v>2542</v>
      </c>
      <c r="R496" s="3" t="s">
        <v>1029</v>
      </c>
      <c r="S496" s="3" t="s">
        <v>1006</v>
      </c>
      <c r="T496" s="3" t="s">
        <v>1007</v>
      </c>
      <c r="U496" s="11" t="s">
        <v>2543</v>
      </c>
      <c r="V496" s="11" t="s">
        <v>1064</v>
      </c>
      <c r="W496" s="11" t="s">
        <v>1065</v>
      </c>
      <c r="X496" s="13">
        <v>1</v>
      </c>
      <c r="Y496" s="12"/>
      <c r="Z496" s="11"/>
      <c r="AA496" s="11"/>
      <c r="AB496" s="11"/>
      <c r="AC496" s="11">
        <v>0</v>
      </c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 t="s">
        <v>1019</v>
      </c>
      <c r="AO496" s="11" t="s">
        <v>1667</v>
      </c>
      <c r="AP496" s="11" t="s">
        <v>1021</v>
      </c>
      <c r="AQ496" s="11" t="s">
        <v>1668</v>
      </c>
      <c r="AR496" s="11" t="s">
        <v>1050</v>
      </c>
      <c r="AS496" s="11"/>
      <c r="AT496" s="11" t="s">
        <v>1034</v>
      </c>
      <c r="AU496" s="11" t="s">
        <v>1668</v>
      </c>
      <c r="AV496" s="11"/>
      <c r="AW496" s="12">
        <v>1</v>
      </c>
      <c r="AX496" s="12">
        <v>1</v>
      </c>
      <c r="AY496" s="12">
        <v>1</v>
      </c>
      <c r="AZ496" s="12">
        <v>1</v>
      </c>
      <c r="BA496" s="12">
        <v>1</v>
      </c>
      <c r="BB496" s="12"/>
      <c r="BC496" s="12"/>
      <c r="BD496" s="11" t="s">
        <v>1093</v>
      </c>
      <c r="BE496" s="11" t="s">
        <v>1037</v>
      </c>
    </row>
    <row r="497" spans="1:57" s="8" customFormat="1" ht="72.5" x14ac:dyDescent="0.35">
      <c r="A497" s="7" t="s">
        <v>694</v>
      </c>
      <c r="B497" s="7" t="s">
        <v>695</v>
      </c>
      <c r="C497" s="3" t="s">
        <v>833</v>
      </c>
      <c r="D497" s="3" t="s">
        <v>45</v>
      </c>
      <c r="E497" s="3"/>
      <c r="F497" s="3" t="s">
        <v>46</v>
      </c>
      <c r="G497" s="3" t="s">
        <v>50</v>
      </c>
      <c r="H497" s="4">
        <v>481</v>
      </c>
      <c r="I497" s="4">
        <v>200</v>
      </c>
      <c r="J497" s="3" t="s">
        <v>26</v>
      </c>
      <c r="K497" s="4" t="b">
        <v>0</v>
      </c>
      <c r="L497" s="6">
        <v>1</v>
      </c>
      <c r="M497" s="6">
        <v>0.66666666666666596</v>
      </c>
      <c r="N497" s="3" t="s">
        <v>47</v>
      </c>
      <c r="O497" s="3" t="s">
        <v>90</v>
      </c>
      <c r="P497" s="3" t="s">
        <v>834</v>
      </c>
      <c r="Q497" s="3" t="s">
        <v>2544</v>
      </c>
      <c r="R497" s="3" t="s">
        <v>1029</v>
      </c>
      <c r="S497" s="3" t="s">
        <v>1006</v>
      </c>
      <c r="T497" s="3" t="s">
        <v>1007</v>
      </c>
      <c r="U497" s="11" t="s">
        <v>2545</v>
      </c>
      <c r="V497" s="11" t="s">
        <v>1031</v>
      </c>
      <c r="W497" s="11" t="s">
        <v>1032</v>
      </c>
      <c r="X497" s="13">
        <v>0.7</v>
      </c>
      <c r="Y497" s="12"/>
      <c r="Z497" s="11"/>
      <c r="AA497" s="11"/>
      <c r="AB497" s="11"/>
      <c r="AC497" s="11">
        <v>0</v>
      </c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 t="s">
        <v>1019</v>
      </c>
      <c r="AO497" s="11" t="s">
        <v>1233</v>
      </c>
      <c r="AP497" s="11" t="s">
        <v>1114</v>
      </c>
      <c r="AQ497" s="11"/>
      <c r="AR497" s="11" t="s">
        <v>1034</v>
      </c>
      <c r="AS497" s="11"/>
      <c r="AT497" s="11" t="s">
        <v>1034</v>
      </c>
      <c r="AU497" s="11"/>
      <c r="AV497" s="11"/>
      <c r="AW497" s="12">
        <v>1</v>
      </c>
      <c r="AX497" s="12">
        <v>1</v>
      </c>
      <c r="AY497" s="12">
        <v>1</v>
      </c>
      <c r="AZ497" s="12"/>
      <c r="BA497" s="12"/>
      <c r="BB497" s="12"/>
      <c r="BC497" s="12"/>
      <c r="BD497" s="11" t="s">
        <v>1115</v>
      </c>
      <c r="BE497" s="11" t="s">
        <v>1116</v>
      </c>
    </row>
    <row r="498" spans="1:57" s="8" customFormat="1" ht="58" x14ac:dyDescent="0.35">
      <c r="A498" s="7" t="s">
        <v>694</v>
      </c>
      <c r="B498" s="7" t="s">
        <v>695</v>
      </c>
      <c r="C498" s="3" t="s">
        <v>835</v>
      </c>
      <c r="D498" s="3" t="s">
        <v>35</v>
      </c>
      <c r="E498" s="3"/>
      <c r="F498" s="3" t="s">
        <v>36</v>
      </c>
      <c r="G498" s="3" t="s">
        <v>50</v>
      </c>
      <c r="H498" s="4">
        <v>841</v>
      </c>
      <c r="I498" s="4">
        <v>400</v>
      </c>
      <c r="J498" s="3" t="s">
        <v>26</v>
      </c>
      <c r="K498" s="4" t="b">
        <v>1</v>
      </c>
      <c r="L498" s="6">
        <v>1</v>
      </c>
      <c r="M498" s="6">
        <v>1</v>
      </c>
      <c r="N498" s="3" t="s">
        <v>37</v>
      </c>
      <c r="O498" s="3"/>
      <c r="P498" s="3" t="s">
        <v>836</v>
      </c>
      <c r="Q498" s="3" t="s">
        <v>1308</v>
      </c>
      <c r="R498" s="3" t="s">
        <v>1039</v>
      </c>
      <c r="S498" s="3" t="s">
        <v>1040</v>
      </c>
      <c r="T498" s="3" t="s">
        <v>2546</v>
      </c>
      <c r="U498" s="11" t="s">
        <v>2547</v>
      </c>
      <c r="V498" s="11" t="s">
        <v>1043</v>
      </c>
      <c r="W498" s="11" t="s">
        <v>1044</v>
      </c>
      <c r="X498" s="13">
        <v>0.86</v>
      </c>
      <c r="Y498" s="12" t="s">
        <v>1045</v>
      </c>
      <c r="Z498" s="11"/>
      <c r="AA498" s="11"/>
      <c r="AB498" s="11"/>
      <c r="AC498" s="11">
        <v>0</v>
      </c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 t="s">
        <v>1019</v>
      </c>
      <c r="AO498" s="11" t="s">
        <v>1313</v>
      </c>
      <c r="AP498" s="11" t="s">
        <v>1021</v>
      </c>
      <c r="AQ498" s="11" t="s">
        <v>1314</v>
      </c>
      <c r="AR498" s="11" t="s">
        <v>1023</v>
      </c>
      <c r="AS498" s="11" t="s">
        <v>1315</v>
      </c>
      <c r="AT498" s="11" t="s">
        <v>1025</v>
      </c>
      <c r="AU498" s="11" t="s">
        <v>1314</v>
      </c>
      <c r="AV498" s="11" t="s">
        <v>1315</v>
      </c>
      <c r="AW498" s="12">
        <v>2</v>
      </c>
      <c r="AX498" s="12">
        <v>2</v>
      </c>
      <c r="AY498" s="12">
        <v>2</v>
      </c>
      <c r="AZ498" s="12">
        <v>2</v>
      </c>
      <c r="BA498" s="12">
        <v>2</v>
      </c>
      <c r="BB498" s="12">
        <v>2</v>
      </c>
      <c r="BC498" s="12">
        <v>1</v>
      </c>
      <c r="BD498" s="11" t="s">
        <v>1026</v>
      </c>
      <c r="BE498" s="11" t="s">
        <v>1027</v>
      </c>
    </row>
    <row r="499" spans="1:57" s="8" customFormat="1" ht="203" x14ac:dyDescent="0.35">
      <c r="A499" s="7" t="s">
        <v>694</v>
      </c>
      <c r="B499" s="7" t="s">
        <v>695</v>
      </c>
      <c r="C499" s="3" t="s">
        <v>837</v>
      </c>
      <c r="D499" s="3" t="s">
        <v>35</v>
      </c>
      <c r="E499" s="3" t="s">
        <v>35</v>
      </c>
      <c r="F499" s="3" t="s">
        <v>36</v>
      </c>
      <c r="G499" s="3" t="s">
        <v>25</v>
      </c>
      <c r="H499" s="4">
        <v>1753</v>
      </c>
      <c r="I499" s="4">
        <v>400</v>
      </c>
      <c r="J499" s="3" t="s">
        <v>26</v>
      </c>
      <c r="K499" s="4" t="b">
        <v>1</v>
      </c>
      <c r="L499" s="6">
        <v>1</v>
      </c>
      <c r="M499" s="6">
        <v>1</v>
      </c>
      <c r="N499" s="3" t="s">
        <v>37</v>
      </c>
      <c r="O499" s="3"/>
      <c r="P499" s="3" t="s">
        <v>38</v>
      </c>
      <c r="Q499" s="3" t="s">
        <v>2548</v>
      </c>
      <c r="R499" s="3" t="s">
        <v>1039</v>
      </c>
      <c r="S499" s="3" t="s">
        <v>1040</v>
      </c>
      <c r="T499" s="3" t="s">
        <v>2549</v>
      </c>
      <c r="U499" s="11" t="s">
        <v>2550</v>
      </c>
      <c r="V499" s="11" t="s">
        <v>1043</v>
      </c>
      <c r="W499" s="11" t="s">
        <v>1044</v>
      </c>
      <c r="X499" s="13">
        <v>1</v>
      </c>
      <c r="Y499" s="12" t="s">
        <v>1045</v>
      </c>
      <c r="Z499" s="11"/>
      <c r="AA499" s="11"/>
      <c r="AB499" s="11"/>
      <c r="AC499" s="11">
        <v>0</v>
      </c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 t="s">
        <v>1019</v>
      </c>
      <c r="AO499" s="11" t="s">
        <v>1046</v>
      </c>
      <c r="AP499" s="11" t="s">
        <v>1021</v>
      </c>
      <c r="AQ499" s="11" t="s">
        <v>1047</v>
      </c>
      <c r="AR499" s="11" t="s">
        <v>1048</v>
      </c>
      <c r="AS499" s="11" t="s">
        <v>1049</v>
      </c>
      <c r="AT499" s="11" t="s">
        <v>1050</v>
      </c>
      <c r="AU499" s="11" t="s">
        <v>1047</v>
      </c>
      <c r="AV499" s="11" t="s">
        <v>1049</v>
      </c>
      <c r="AW499" s="12">
        <v>1</v>
      </c>
      <c r="AX499" s="12">
        <v>1</v>
      </c>
      <c r="AY499" s="12">
        <v>1</v>
      </c>
      <c r="AZ499" s="12">
        <v>1</v>
      </c>
      <c r="BA499" s="12">
        <v>2</v>
      </c>
      <c r="BB499" s="12">
        <v>1</v>
      </c>
      <c r="BC499" s="12">
        <v>1</v>
      </c>
      <c r="BD499" s="11" t="s">
        <v>1026</v>
      </c>
      <c r="BE499" s="11" t="s">
        <v>1051</v>
      </c>
    </row>
    <row r="500" spans="1:57" s="8" customFormat="1" ht="43.5" x14ac:dyDescent="0.35">
      <c r="A500" s="7" t="s">
        <v>694</v>
      </c>
      <c r="B500" s="7" t="s">
        <v>695</v>
      </c>
      <c r="C500" s="3" t="s">
        <v>838</v>
      </c>
      <c r="D500" s="3" t="s">
        <v>57</v>
      </c>
      <c r="E500" s="3"/>
      <c r="F500" s="3" t="s">
        <v>53</v>
      </c>
      <c r="G500" s="3" t="s">
        <v>50</v>
      </c>
      <c r="H500" s="4">
        <v>401</v>
      </c>
      <c r="I500" s="4">
        <v>300</v>
      </c>
      <c r="J500" s="3" t="s">
        <v>26</v>
      </c>
      <c r="K500" s="4" t="b">
        <v>0</v>
      </c>
      <c r="L500" s="6">
        <v>0.33333333333333298</v>
      </c>
      <c r="M500" s="6">
        <v>0.33333333333333298</v>
      </c>
      <c r="N500" s="3" t="s">
        <v>58</v>
      </c>
      <c r="O500" s="3" t="s">
        <v>59</v>
      </c>
      <c r="P500" s="3" t="s">
        <v>567</v>
      </c>
      <c r="Q500" s="3" t="s">
        <v>2172</v>
      </c>
      <c r="R500" s="3" t="s">
        <v>1074</v>
      </c>
      <c r="S500" s="3" t="s">
        <v>1006</v>
      </c>
      <c r="T500" s="3" t="s">
        <v>1007</v>
      </c>
      <c r="U500" s="11" t="s">
        <v>2551</v>
      </c>
      <c r="V500" s="11" t="s">
        <v>1064</v>
      </c>
      <c r="W500" s="11" t="s">
        <v>1065</v>
      </c>
      <c r="X500" s="13">
        <v>1</v>
      </c>
      <c r="Y500" s="12"/>
      <c r="Z500" s="11"/>
      <c r="AA500" s="11"/>
      <c r="AB500" s="11"/>
      <c r="AC500" s="11">
        <v>0</v>
      </c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 t="s">
        <v>1019</v>
      </c>
      <c r="AO500" s="11" t="s">
        <v>2174</v>
      </c>
      <c r="AP500" s="11" t="s">
        <v>1021</v>
      </c>
      <c r="AQ500" s="11" t="s">
        <v>2175</v>
      </c>
      <c r="AR500" s="11" t="s">
        <v>1050</v>
      </c>
      <c r="AS500" s="11" t="s">
        <v>2176</v>
      </c>
      <c r="AT500" s="11" t="s">
        <v>1050</v>
      </c>
      <c r="AU500" s="11" t="s">
        <v>2175</v>
      </c>
      <c r="AV500" s="11" t="s">
        <v>2176</v>
      </c>
      <c r="AW500" s="12">
        <v>0</v>
      </c>
      <c r="AX500" s="12">
        <v>1</v>
      </c>
      <c r="AY500" s="12">
        <v>1</v>
      </c>
      <c r="AZ500" s="12">
        <v>1</v>
      </c>
      <c r="BA500" s="12">
        <v>1</v>
      </c>
      <c r="BB500" s="12">
        <v>1</v>
      </c>
      <c r="BC500" s="12">
        <v>1</v>
      </c>
      <c r="BD500" s="11" t="s">
        <v>1026</v>
      </c>
      <c r="BE500" s="11" t="s">
        <v>1103</v>
      </c>
    </row>
    <row r="501" spans="1:57" s="8" customFormat="1" ht="58" x14ac:dyDescent="0.35">
      <c r="A501" s="7" t="s">
        <v>694</v>
      </c>
      <c r="B501" s="7" t="s">
        <v>695</v>
      </c>
      <c r="C501" s="3" t="s">
        <v>839</v>
      </c>
      <c r="D501" s="3" t="s">
        <v>122</v>
      </c>
      <c r="E501" s="3"/>
      <c r="F501" s="3" t="s">
        <v>53</v>
      </c>
      <c r="G501" s="3" t="s">
        <v>50</v>
      </c>
      <c r="H501" s="4">
        <v>806</v>
      </c>
      <c r="I501" s="4">
        <v>150</v>
      </c>
      <c r="J501" s="3" t="s">
        <v>26</v>
      </c>
      <c r="K501" s="4" t="b">
        <v>1</v>
      </c>
      <c r="L501" s="6">
        <v>1</v>
      </c>
      <c r="M501" s="6">
        <v>1</v>
      </c>
      <c r="N501" s="3" t="s">
        <v>123</v>
      </c>
      <c r="O501" s="3"/>
      <c r="P501" s="3" t="s">
        <v>840</v>
      </c>
      <c r="Q501" s="3" t="s">
        <v>2552</v>
      </c>
      <c r="R501" s="3" t="s">
        <v>1441</v>
      </c>
      <c r="S501" s="3" t="s">
        <v>2553</v>
      </c>
      <c r="T501" s="3" t="s">
        <v>2554</v>
      </c>
      <c r="U501" s="11" t="s">
        <v>2555</v>
      </c>
      <c r="V501" s="11" t="s">
        <v>1009</v>
      </c>
      <c r="W501" s="11" t="s">
        <v>1010</v>
      </c>
      <c r="X501" s="13">
        <v>0.83</v>
      </c>
      <c r="Y501" s="12"/>
      <c r="Z501" s="11" t="s">
        <v>2556</v>
      </c>
      <c r="AA501" s="11"/>
      <c r="AB501" s="11"/>
      <c r="AC501" s="11">
        <v>0</v>
      </c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 t="s">
        <v>1019</v>
      </c>
      <c r="AO501" s="11" t="s">
        <v>1447</v>
      </c>
      <c r="AP501" s="11" t="s">
        <v>1021</v>
      </c>
      <c r="AQ501" s="11" t="s">
        <v>1448</v>
      </c>
      <c r="AR501" s="11" t="s">
        <v>1048</v>
      </c>
      <c r="AS501" s="11" t="s">
        <v>1449</v>
      </c>
      <c r="AT501" s="11" t="s">
        <v>1050</v>
      </c>
      <c r="AU501" s="11" t="s">
        <v>1448</v>
      </c>
      <c r="AV501" s="11" t="s">
        <v>1449</v>
      </c>
      <c r="AW501" s="12">
        <v>1</v>
      </c>
      <c r="AX501" s="12">
        <v>1</v>
      </c>
      <c r="AY501" s="12">
        <v>1</v>
      </c>
      <c r="AZ501" s="12">
        <v>1</v>
      </c>
      <c r="BA501" s="12">
        <v>3</v>
      </c>
      <c r="BB501" s="12">
        <v>1</v>
      </c>
      <c r="BC501" s="12">
        <v>1</v>
      </c>
      <c r="BD501" s="11" t="s">
        <v>1026</v>
      </c>
      <c r="BE501" s="11" t="s">
        <v>1051</v>
      </c>
    </row>
    <row r="502" spans="1:57" s="8" customFormat="1" ht="58" x14ac:dyDescent="0.35">
      <c r="A502" s="7" t="s">
        <v>694</v>
      </c>
      <c r="B502" s="7" t="s">
        <v>695</v>
      </c>
      <c r="C502" s="3" t="s">
        <v>841</v>
      </c>
      <c r="D502" s="3" t="s">
        <v>35</v>
      </c>
      <c r="E502" s="3"/>
      <c r="F502" s="3" t="s">
        <v>36</v>
      </c>
      <c r="G502" s="3" t="s">
        <v>50</v>
      </c>
      <c r="H502" s="4">
        <v>834</v>
      </c>
      <c r="I502" s="4">
        <v>400</v>
      </c>
      <c r="J502" s="3" t="s">
        <v>26</v>
      </c>
      <c r="K502" s="4" t="b">
        <v>1</v>
      </c>
      <c r="L502" s="6">
        <v>1</v>
      </c>
      <c r="M502" s="6">
        <v>1</v>
      </c>
      <c r="N502" s="3" t="s">
        <v>37</v>
      </c>
      <c r="O502" s="3"/>
      <c r="P502" s="3" t="s">
        <v>842</v>
      </c>
      <c r="Q502" s="3" t="s">
        <v>1328</v>
      </c>
      <c r="R502" s="3" t="s">
        <v>1039</v>
      </c>
      <c r="S502" s="3" t="s">
        <v>1329</v>
      </c>
      <c r="T502" s="3" t="s">
        <v>2557</v>
      </c>
      <c r="U502" s="11" t="s">
        <v>2558</v>
      </c>
      <c r="V502" s="11" t="s">
        <v>1043</v>
      </c>
      <c r="W502" s="11" t="s">
        <v>1044</v>
      </c>
      <c r="X502" s="13">
        <v>0.98</v>
      </c>
      <c r="Y502" s="12" t="s">
        <v>1332</v>
      </c>
      <c r="Z502" s="11"/>
      <c r="AA502" s="11"/>
      <c r="AB502" s="11"/>
      <c r="AC502" s="11">
        <v>0</v>
      </c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 t="s">
        <v>1019</v>
      </c>
      <c r="AO502" s="11" t="s">
        <v>1313</v>
      </c>
      <c r="AP502" s="11" t="s">
        <v>1021</v>
      </c>
      <c r="AQ502" s="11" t="s">
        <v>1314</v>
      </c>
      <c r="AR502" s="11" t="s">
        <v>1023</v>
      </c>
      <c r="AS502" s="11" t="s">
        <v>1315</v>
      </c>
      <c r="AT502" s="11" t="s">
        <v>1025</v>
      </c>
      <c r="AU502" s="11" t="s">
        <v>1314</v>
      </c>
      <c r="AV502" s="11" t="s">
        <v>1315</v>
      </c>
      <c r="AW502" s="12">
        <v>2</v>
      </c>
      <c r="AX502" s="12">
        <v>2</v>
      </c>
      <c r="AY502" s="12">
        <v>2</v>
      </c>
      <c r="AZ502" s="12">
        <v>2</v>
      </c>
      <c r="BA502" s="12">
        <v>2</v>
      </c>
      <c r="BB502" s="12">
        <v>2</v>
      </c>
      <c r="BC502" s="12">
        <v>1</v>
      </c>
      <c r="BD502" s="11" t="s">
        <v>1026</v>
      </c>
      <c r="BE502" s="11" t="s">
        <v>1027</v>
      </c>
    </row>
    <row r="503" spans="1:57" s="8" customFormat="1" ht="72.5" x14ac:dyDescent="0.35">
      <c r="A503" s="7" t="s">
        <v>694</v>
      </c>
      <c r="B503" s="7" t="s">
        <v>695</v>
      </c>
      <c r="C503" s="3" t="s">
        <v>843</v>
      </c>
      <c r="D503" s="3" t="s">
        <v>57</v>
      </c>
      <c r="E503" s="3"/>
      <c r="F503" s="3" t="s">
        <v>53</v>
      </c>
      <c r="G503" s="3" t="s">
        <v>50</v>
      </c>
      <c r="H503" s="4">
        <v>481</v>
      </c>
      <c r="I503" s="4">
        <v>300</v>
      </c>
      <c r="J503" s="3" t="s">
        <v>26</v>
      </c>
      <c r="K503" s="4" t="b">
        <v>0</v>
      </c>
      <c r="L503" s="6">
        <v>0.33333333333333298</v>
      </c>
      <c r="M503" s="6">
        <v>0.33333333333333298</v>
      </c>
      <c r="N503" s="3" t="s">
        <v>58</v>
      </c>
      <c r="O503" s="3" t="s">
        <v>59</v>
      </c>
      <c r="P503" s="3" t="s">
        <v>844</v>
      </c>
      <c r="Q503" s="3" t="s">
        <v>2559</v>
      </c>
      <c r="R503" s="3" t="s">
        <v>1029</v>
      </c>
      <c r="S503" s="3" t="s">
        <v>1006</v>
      </c>
      <c r="T503" s="3" t="s">
        <v>1007</v>
      </c>
      <c r="U503" s="11" t="s">
        <v>2560</v>
      </c>
      <c r="V503" s="11" t="s">
        <v>1064</v>
      </c>
      <c r="W503" s="11" t="s">
        <v>1065</v>
      </c>
      <c r="X503" s="13">
        <v>1</v>
      </c>
      <c r="Y503" s="12"/>
      <c r="Z503" s="11"/>
      <c r="AA503" s="11"/>
      <c r="AB503" s="11"/>
      <c r="AC503" s="11">
        <v>0</v>
      </c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 t="s">
        <v>1019</v>
      </c>
      <c r="AO503" s="11" t="s">
        <v>2561</v>
      </c>
      <c r="AP503" s="11" t="s">
        <v>1114</v>
      </c>
      <c r="AQ503" s="11"/>
      <c r="AR503" s="11" t="s">
        <v>1034</v>
      </c>
      <c r="AS503" s="11"/>
      <c r="AT503" s="11" t="s">
        <v>1034</v>
      </c>
      <c r="AU503" s="11"/>
      <c r="AV503" s="11"/>
      <c r="AW503" s="12">
        <v>1</v>
      </c>
      <c r="AX503" s="12">
        <v>1</v>
      </c>
      <c r="AY503" s="12">
        <v>1</v>
      </c>
      <c r="AZ503" s="12"/>
      <c r="BA503" s="12"/>
      <c r="BB503" s="12"/>
      <c r="BC503" s="12"/>
      <c r="BD503" s="11" t="s">
        <v>1115</v>
      </c>
      <c r="BE503" s="11" t="s">
        <v>1116</v>
      </c>
    </row>
    <row r="504" spans="1:57" s="8" customFormat="1" ht="58" x14ac:dyDescent="0.35">
      <c r="A504" s="7" t="s">
        <v>694</v>
      </c>
      <c r="B504" s="7" t="s">
        <v>695</v>
      </c>
      <c r="C504" s="3" t="s">
        <v>845</v>
      </c>
      <c r="D504" s="3" t="s">
        <v>57</v>
      </c>
      <c r="E504" s="3"/>
      <c r="F504" s="3" t="s">
        <v>53</v>
      </c>
      <c r="G504" s="3" t="s">
        <v>50</v>
      </c>
      <c r="H504" s="4">
        <v>350</v>
      </c>
      <c r="I504" s="4">
        <v>300</v>
      </c>
      <c r="J504" s="3" t="s">
        <v>26</v>
      </c>
      <c r="K504" s="4" t="b">
        <v>0</v>
      </c>
      <c r="L504" s="6">
        <v>0.33333333333333298</v>
      </c>
      <c r="M504" s="6">
        <v>0.33333333333333298</v>
      </c>
      <c r="N504" s="3" t="s">
        <v>58</v>
      </c>
      <c r="O504" s="3" t="s">
        <v>59</v>
      </c>
      <c r="P504" s="3" t="s">
        <v>846</v>
      </c>
      <c r="Q504" s="3" t="s">
        <v>2562</v>
      </c>
      <c r="R504" s="3" t="s">
        <v>1029</v>
      </c>
      <c r="S504" s="3" t="s">
        <v>1006</v>
      </c>
      <c r="T504" s="3" t="s">
        <v>1007</v>
      </c>
      <c r="U504" s="11" t="s">
        <v>2563</v>
      </c>
      <c r="V504" s="11" t="s">
        <v>1031</v>
      </c>
      <c r="W504" s="11" t="s">
        <v>1032</v>
      </c>
      <c r="X504" s="13">
        <v>1</v>
      </c>
      <c r="Y504" s="12"/>
      <c r="Z504" s="11"/>
      <c r="AA504" s="11"/>
      <c r="AB504" s="11"/>
      <c r="AC504" s="11">
        <v>1</v>
      </c>
      <c r="AD504" s="11" t="s">
        <v>1201</v>
      </c>
      <c r="AE504" s="11" t="s">
        <v>2564</v>
      </c>
      <c r="AF504" s="11" t="s">
        <v>1014</v>
      </c>
      <c r="AG504" s="11" t="s">
        <v>1203</v>
      </c>
      <c r="AH504" s="11"/>
      <c r="AI504" s="11" t="s">
        <v>1016</v>
      </c>
      <c r="AJ504" s="11"/>
      <c r="AK504" s="11" t="s">
        <v>1204</v>
      </c>
      <c r="AL504" s="11" t="s">
        <v>1017</v>
      </c>
      <c r="AM504" s="11" t="s">
        <v>1205</v>
      </c>
      <c r="AN504" s="11" t="s">
        <v>1019</v>
      </c>
      <c r="AO504" s="11" t="s">
        <v>1186</v>
      </c>
      <c r="AP504" s="11" t="s">
        <v>1021</v>
      </c>
      <c r="AQ504" s="11" t="s">
        <v>1187</v>
      </c>
      <c r="AR504" s="11" t="s">
        <v>1023</v>
      </c>
      <c r="AS504" s="11" t="s">
        <v>1188</v>
      </c>
      <c r="AT504" s="11" t="s">
        <v>1025</v>
      </c>
      <c r="AU504" s="11" t="s">
        <v>1187</v>
      </c>
      <c r="AV504" s="11" t="s">
        <v>1188</v>
      </c>
      <c r="AW504" s="12">
        <v>4</v>
      </c>
      <c r="AX504" s="12">
        <v>4</v>
      </c>
      <c r="AY504" s="12">
        <v>5</v>
      </c>
      <c r="AZ504" s="12">
        <v>5</v>
      </c>
      <c r="BA504" s="12">
        <v>3</v>
      </c>
      <c r="BB504" s="12">
        <v>5</v>
      </c>
      <c r="BC504" s="12">
        <v>1</v>
      </c>
      <c r="BD504" s="11" t="s">
        <v>1026</v>
      </c>
      <c r="BE504" s="11" t="s">
        <v>1027</v>
      </c>
    </row>
    <row r="505" spans="1:57" s="8" customFormat="1" ht="43.5" x14ac:dyDescent="0.35">
      <c r="A505" s="7" t="s">
        <v>694</v>
      </c>
      <c r="B505" s="7" t="s">
        <v>695</v>
      </c>
      <c r="C505" s="3" t="s">
        <v>847</v>
      </c>
      <c r="D505" s="3" t="s">
        <v>122</v>
      </c>
      <c r="E505" s="3"/>
      <c r="F505" s="3" t="s">
        <v>53</v>
      </c>
      <c r="G505" s="3" t="s">
        <v>50</v>
      </c>
      <c r="H505" s="4">
        <v>348</v>
      </c>
      <c r="I505" s="4">
        <v>150</v>
      </c>
      <c r="J505" s="3" t="s">
        <v>26</v>
      </c>
      <c r="K505" s="4" t="b">
        <v>1</v>
      </c>
      <c r="L505" s="6">
        <v>1</v>
      </c>
      <c r="M505" s="6">
        <v>1</v>
      </c>
      <c r="N505" s="3" t="s">
        <v>123</v>
      </c>
      <c r="O505" s="3"/>
      <c r="P505" s="3" t="s">
        <v>848</v>
      </c>
      <c r="Q505" s="3" t="s">
        <v>2565</v>
      </c>
      <c r="R505" s="3" t="s">
        <v>1029</v>
      </c>
      <c r="S505" s="3" t="s">
        <v>1006</v>
      </c>
      <c r="T505" s="3" t="s">
        <v>1007</v>
      </c>
      <c r="U505" s="11" t="s">
        <v>2566</v>
      </c>
      <c r="V505" s="11" t="s">
        <v>1031</v>
      </c>
      <c r="W505" s="11" t="s">
        <v>1032</v>
      </c>
      <c r="X505" s="13">
        <v>0.7</v>
      </c>
      <c r="Y505" s="12"/>
      <c r="Z505" s="11"/>
      <c r="AA505" s="11"/>
      <c r="AB505" s="11"/>
      <c r="AC505" s="11">
        <v>0</v>
      </c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 t="s">
        <v>1019</v>
      </c>
      <c r="AO505" s="11" t="s">
        <v>1809</v>
      </c>
      <c r="AP505" s="11" t="s">
        <v>1021</v>
      </c>
      <c r="AQ505" s="11" t="s">
        <v>1810</v>
      </c>
      <c r="AR505" s="11" t="s">
        <v>1050</v>
      </c>
      <c r="AS505" s="11" t="s">
        <v>1811</v>
      </c>
      <c r="AT505" s="11" t="s">
        <v>1050</v>
      </c>
      <c r="AU505" s="11" t="s">
        <v>1810</v>
      </c>
      <c r="AV505" s="11" t="s">
        <v>1811</v>
      </c>
      <c r="AW505" s="12">
        <v>1</v>
      </c>
      <c r="AX505" s="12">
        <v>1</v>
      </c>
      <c r="AY505" s="12">
        <v>1</v>
      </c>
      <c r="AZ505" s="12">
        <v>1</v>
      </c>
      <c r="BA505" s="12">
        <v>1</v>
      </c>
      <c r="BB505" s="12">
        <v>1</v>
      </c>
      <c r="BC505" s="12">
        <v>1</v>
      </c>
      <c r="BD505" s="11" t="s">
        <v>1026</v>
      </c>
      <c r="BE505" s="11" t="s">
        <v>1103</v>
      </c>
    </row>
    <row r="506" spans="1:57" s="8" customFormat="1" ht="58" x14ac:dyDescent="0.35">
      <c r="A506" s="7" t="s">
        <v>694</v>
      </c>
      <c r="B506" s="7" t="s">
        <v>695</v>
      </c>
      <c r="C506" s="3" t="s">
        <v>849</v>
      </c>
      <c r="D506" s="3" t="s">
        <v>52</v>
      </c>
      <c r="E506" s="3"/>
      <c r="F506" s="3" t="s">
        <v>53</v>
      </c>
      <c r="G506" s="3" t="s">
        <v>50</v>
      </c>
      <c r="H506" s="4">
        <v>671</v>
      </c>
      <c r="I506" s="4">
        <v>500</v>
      </c>
      <c r="J506" s="3" t="s">
        <v>26</v>
      </c>
      <c r="K506" s="4" t="b">
        <v>0</v>
      </c>
      <c r="L506" s="6">
        <v>0.33333333333333298</v>
      </c>
      <c r="M506" s="6">
        <v>0.33333333333333298</v>
      </c>
      <c r="N506" s="3" t="s">
        <v>54</v>
      </c>
      <c r="O506" s="3" t="s">
        <v>55</v>
      </c>
      <c r="P506" s="3" t="s">
        <v>850</v>
      </c>
      <c r="Q506" s="3" t="s">
        <v>2567</v>
      </c>
      <c r="R506" s="3" t="s">
        <v>1139</v>
      </c>
      <c r="S506" s="3" t="s">
        <v>2568</v>
      </c>
      <c r="T506" s="3" t="s">
        <v>2569</v>
      </c>
      <c r="U506" s="11" t="s">
        <v>2570</v>
      </c>
      <c r="V506" s="11" t="s">
        <v>1096</v>
      </c>
      <c r="W506" s="11" t="s">
        <v>1097</v>
      </c>
      <c r="X506" s="13">
        <v>0.82</v>
      </c>
      <c r="Y506" s="12" t="s">
        <v>1045</v>
      </c>
      <c r="Z506" s="11" t="s">
        <v>2571</v>
      </c>
      <c r="AA506" s="11"/>
      <c r="AB506" s="11"/>
      <c r="AC506" s="11">
        <v>4</v>
      </c>
      <c r="AD506" s="11" t="s">
        <v>1076</v>
      </c>
      <c r="AE506" s="11" t="s">
        <v>2572</v>
      </c>
      <c r="AF506" s="11" t="s">
        <v>1014</v>
      </c>
      <c r="AG506" s="11" t="s">
        <v>1015</v>
      </c>
      <c r="AH506" s="11"/>
      <c r="AI506" s="11" t="s">
        <v>1016</v>
      </c>
      <c r="AJ506" s="11"/>
      <c r="AK506" s="11" t="s">
        <v>1079</v>
      </c>
      <c r="AL506" s="11" t="s">
        <v>1017</v>
      </c>
      <c r="AM506" s="11" t="s">
        <v>1080</v>
      </c>
      <c r="AN506" s="11" t="s">
        <v>1019</v>
      </c>
      <c r="AO506" s="11" t="s">
        <v>1535</v>
      </c>
      <c r="AP506" s="11" t="s">
        <v>1021</v>
      </c>
      <c r="AQ506" s="11" t="s">
        <v>1536</v>
      </c>
      <c r="AR506" s="11" t="s">
        <v>1048</v>
      </c>
      <c r="AS506" s="11" t="s">
        <v>1537</v>
      </c>
      <c r="AT506" s="11" t="s">
        <v>1048</v>
      </c>
      <c r="AU506" s="11" t="s">
        <v>1536</v>
      </c>
      <c r="AV506" s="11" t="s">
        <v>1537</v>
      </c>
      <c r="AW506" s="12">
        <v>1</v>
      </c>
      <c r="AX506" s="12">
        <v>1</v>
      </c>
      <c r="AY506" s="12">
        <v>1</v>
      </c>
      <c r="AZ506" s="12">
        <v>1</v>
      </c>
      <c r="BA506" s="12">
        <v>4</v>
      </c>
      <c r="BB506" s="12">
        <v>1</v>
      </c>
      <c r="BC506" s="12">
        <v>2</v>
      </c>
      <c r="BD506" s="11" t="s">
        <v>1026</v>
      </c>
      <c r="BE506" s="11" t="s">
        <v>1027</v>
      </c>
    </row>
    <row r="507" spans="1:57" s="8" customFormat="1" ht="58" x14ac:dyDescent="0.35">
      <c r="A507" s="7" t="s">
        <v>694</v>
      </c>
      <c r="B507" s="7" t="s">
        <v>695</v>
      </c>
      <c r="C507" s="3" t="s">
        <v>849</v>
      </c>
      <c r="D507" s="3" t="s">
        <v>57</v>
      </c>
      <c r="E507" s="3"/>
      <c r="F507" s="3" t="s">
        <v>53</v>
      </c>
      <c r="G507" s="3" t="s">
        <v>50</v>
      </c>
      <c r="H507" s="4">
        <v>671</v>
      </c>
      <c r="I507" s="4">
        <v>300</v>
      </c>
      <c r="J507" s="3" t="s">
        <v>26</v>
      </c>
      <c r="K507" s="4" t="b">
        <v>0</v>
      </c>
      <c r="L507" s="6">
        <v>0.33333333333333298</v>
      </c>
      <c r="M507" s="6">
        <v>0.33333333333333298</v>
      </c>
      <c r="N507" s="3" t="s">
        <v>58</v>
      </c>
      <c r="O507" s="3" t="s">
        <v>59</v>
      </c>
      <c r="P507" s="3" t="s">
        <v>850</v>
      </c>
      <c r="Q507" s="3" t="s">
        <v>2567</v>
      </c>
      <c r="R507" s="3" t="s">
        <v>1139</v>
      </c>
      <c r="S507" s="3" t="s">
        <v>2568</v>
      </c>
      <c r="T507" s="3" t="s">
        <v>2569</v>
      </c>
      <c r="U507" s="11" t="s">
        <v>2570</v>
      </c>
      <c r="V507" s="11" t="s">
        <v>1096</v>
      </c>
      <c r="W507" s="11" t="s">
        <v>1097</v>
      </c>
      <c r="X507" s="13">
        <v>0.82</v>
      </c>
      <c r="Y507" s="12" t="s">
        <v>1045</v>
      </c>
      <c r="Z507" s="11" t="s">
        <v>2571</v>
      </c>
      <c r="AA507" s="11"/>
      <c r="AB507" s="11"/>
      <c r="AC507" s="11">
        <v>0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 t="s">
        <v>1019</v>
      </c>
      <c r="AO507" s="11" t="s">
        <v>1535</v>
      </c>
      <c r="AP507" s="11" t="s">
        <v>1021</v>
      </c>
      <c r="AQ507" s="11" t="s">
        <v>1536</v>
      </c>
      <c r="AR507" s="11" t="s">
        <v>1048</v>
      </c>
      <c r="AS507" s="11" t="s">
        <v>1537</v>
      </c>
      <c r="AT507" s="11" t="s">
        <v>1048</v>
      </c>
      <c r="AU507" s="11" t="s">
        <v>1536</v>
      </c>
      <c r="AV507" s="11" t="s">
        <v>1537</v>
      </c>
      <c r="AW507" s="12">
        <v>1</v>
      </c>
      <c r="AX507" s="12">
        <v>1</v>
      </c>
      <c r="AY507" s="12">
        <v>1</v>
      </c>
      <c r="AZ507" s="12">
        <v>1</v>
      </c>
      <c r="BA507" s="12">
        <v>4</v>
      </c>
      <c r="BB507" s="12">
        <v>1</v>
      </c>
      <c r="BC507" s="12">
        <v>2</v>
      </c>
      <c r="BD507" s="11" t="s">
        <v>1026</v>
      </c>
      <c r="BE507" s="11" t="s">
        <v>1027</v>
      </c>
    </row>
    <row r="508" spans="1:57" s="8" customFormat="1" ht="58" x14ac:dyDescent="0.35">
      <c r="A508" s="7" t="s">
        <v>694</v>
      </c>
      <c r="B508" s="7" t="s">
        <v>695</v>
      </c>
      <c r="C508" s="3" t="s">
        <v>849</v>
      </c>
      <c r="D508" s="3" t="s">
        <v>98</v>
      </c>
      <c r="E508" s="3"/>
      <c r="F508" s="3" t="s">
        <v>53</v>
      </c>
      <c r="G508" s="3" t="s">
        <v>50</v>
      </c>
      <c r="H508" s="4">
        <v>671</v>
      </c>
      <c r="I508" s="4">
        <v>300</v>
      </c>
      <c r="J508" s="3" t="s">
        <v>26</v>
      </c>
      <c r="K508" s="4" t="b">
        <v>0</v>
      </c>
      <c r="L508" s="6">
        <v>0.5</v>
      </c>
      <c r="M508" s="6">
        <v>0.5</v>
      </c>
      <c r="N508" s="3" t="s">
        <v>58</v>
      </c>
      <c r="O508" s="3" t="s">
        <v>99</v>
      </c>
      <c r="P508" s="3" t="s">
        <v>850</v>
      </c>
      <c r="Q508" s="3" t="s">
        <v>2567</v>
      </c>
      <c r="R508" s="3" t="s">
        <v>1139</v>
      </c>
      <c r="S508" s="3" t="s">
        <v>2568</v>
      </c>
      <c r="T508" s="3" t="s">
        <v>2569</v>
      </c>
      <c r="U508" s="11" t="s">
        <v>2570</v>
      </c>
      <c r="V508" s="11" t="s">
        <v>1096</v>
      </c>
      <c r="W508" s="11" t="s">
        <v>1097</v>
      </c>
      <c r="X508" s="13">
        <v>0.82</v>
      </c>
      <c r="Y508" s="12" t="s">
        <v>1045</v>
      </c>
      <c r="Z508" s="11" t="s">
        <v>2571</v>
      </c>
      <c r="AA508" s="11"/>
      <c r="AB508" s="11"/>
      <c r="AC508" s="11">
        <v>0</v>
      </c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 t="s">
        <v>1019</v>
      </c>
      <c r="AO508" s="11" t="s">
        <v>1535</v>
      </c>
      <c r="AP508" s="11" t="s">
        <v>1021</v>
      </c>
      <c r="AQ508" s="11" t="s">
        <v>1536</v>
      </c>
      <c r="AR508" s="11" t="s">
        <v>1048</v>
      </c>
      <c r="AS508" s="11" t="s">
        <v>1537</v>
      </c>
      <c r="AT508" s="11" t="s">
        <v>1048</v>
      </c>
      <c r="AU508" s="11" t="s">
        <v>1536</v>
      </c>
      <c r="AV508" s="11" t="s">
        <v>1537</v>
      </c>
      <c r="AW508" s="12">
        <v>1</v>
      </c>
      <c r="AX508" s="12">
        <v>1</v>
      </c>
      <c r="AY508" s="12">
        <v>1</v>
      </c>
      <c r="AZ508" s="12">
        <v>1</v>
      </c>
      <c r="BA508" s="12">
        <v>4</v>
      </c>
      <c r="BB508" s="12">
        <v>1</v>
      </c>
      <c r="BC508" s="12">
        <v>2</v>
      </c>
      <c r="BD508" s="11" t="s">
        <v>1026</v>
      </c>
      <c r="BE508" s="11" t="s">
        <v>1027</v>
      </c>
    </row>
    <row r="509" spans="1:57" s="8" customFormat="1" ht="58" x14ac:dyDescent="0.35">
      <c r="A509" s="7" t="s">
        <v>694</v>
      </c>
      <c r="B509" s="7" t="s">
        <v>695</v>
      </c>
      <c r="C509" s="3" t="s">
        <v>851</v>
      </c>
      <c r="D509" s="3" t="s">
        <v>45</v>
      </c>
      <c r="E509" s="3" t="s">
        <v>45</v>
      </c>
      <c r="F509" s="3" t="s">
        <v>46</v>
      </c>
      <c r="G509" s="3" t="s">
        <v>25</v>
      </c>
      <c r="H509" s="4">
        <v>412</v>
      </c>
      <c r="I509" s="4">
        <v>200</v>
      </c>
      <c r="J509" s="3" t="s">
        <v>26</v>
      </c>
      <c r="K509" s="4" t="b">
        <v>1</v>
      </c>
      <c r="L509" s="6">
        <v>1</v>
      </c>
      <c r="M509" s="6">
        <v>1</v>
      </c>
      <c r="N509" s="3" t="s">
        <v>47</v>
      </c>
      <c r="O509" s="3"/>
      <c r="P509" s="3" t="s">
        <v>852</v>
      </c>
      <c r="Q509" s="3" t="s">
        <v>2573</v>
      </c>
      <c r="R509" s="3" t="s">
        <v>1029</v>
      </c>
      <c r="S509" s="3" t="s">
        <v>1006</v>
      </c>
      <c r="T509" s="3" t="s">
        <v>1007</v>
      </c>
      <c r="U509" s="11" t="s">
        <v>2574</v>
      </c>
      <c r="V509" s="11" t="s">
        <v>1127</v>
      </c>
      <c r="W509" s="11" t="s">
        <v>1128</v>
      </c>
      <c r="X509" s="13">
        <v>1</v>
      </c>
      <c r="Y509" s="12"/>
      <c r="Z509" s="11"/>
      <c r="AA509" s="11"/>
      <c r="AB509" s="11"/>
      <c r="AC509" s="11">
        <v>0</v>
      </c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 t="s">
        <v>1019</v>
      </c>
      <c r="AO509" s="11" t="s">
        <v>1527</v>
      </c>
      <c r="AP509" s="11" t="s">
        <v>1021</v>
      </c>
      <c r="AQ509" s="11" t="s">
        <v>1528</v>
      </c>
      <c r="AR509" s="11" t="s">
        <v>1048</v>
      </c>
      <c r="AS509" s="11" t="s">
        <v>1529</v>
      </c>
      <c r="AT509" s="11" t="s">
        <v>1048</v>
      </c>
      <c r="AU509" s="11" t="s">
        <v>1528</v>
      </c>
      <c r="AV509" s="11" t="s">
        <v>1529</v>
      </c>
      <c r="AW509" s="12">
        <v>1</v>
      </c>
      <c r="AX509" s="12">
        <v>1</v>
      </c>
      <c r="AY509" s="12">
        <v>1</v>
      </c>
      <c r="AZ509" s="12">
        <v>1</v>
      </c>
      <c r="BA509" s="12">
        <v>3</v>
      </c>
      <c r="BB509" s="12">
        <v>1</v>
      </c>
      <c r="BC509" s="12">
        <v>3</v>
      </c>
      <c r="BD509" s="11" t="s">
        <v>1026</v>
      </c>
      <c r="BE509" s="11" t="s">
        <v>1027</v>
      </c>
    </row>
    <row r="510" spans="1:57" s="8" customFormat="1" ht="87" x14ac:dyDescent="0.35">
      <c r="A510" s="7" t="s">
        <v>694</v>
      </c>
      <c r="B510" s="7" t="s">
        <v>695</v>
      </c>
      <c r="C510" s="3" t="s">
        <v>853</v>
      </c>
      <c r="D510" s="3" t="s">
        <v>52</v>
      </c>
      <c r="E510" s="3"/>
      <c r="F510" s="3" t="s">
        <v>53</v>
      </c>
      <c r="G510" s="3" t="s">
        <v>50</v>
      </c>
      <c r="H510" s="4">
        <v>1139</v>
      </c>
      <c r="I510" s="4">
        <v>500</v>
      </c>
      <c r="J510" s="3" t="s">
        <v>26</v>
      </c>
      <c r="K510" s="4" t="b">
        <v>0</v>
      </c>
      <c r="L510" s="6">
        <v>0.33333333333333298</v>
      </c>
      <c r="M510" s="6">
        <v>0.33333333333333298</v>
      </c>
      <c r="N510" s="3" t="s">
        <v>54</v>
      </c>
      <c r="O510" s="3" t="s">
        <v>55</v>
      </c>
      <c r="P510" s="3" t="s">
        <v>237</v>
      </c>
      <c r="Q510" s="3" t="s">
        <v>1516</v>
      </c>
      <c r="R510" s="3" t="s">
        <v>1029</v>
      </c>
      <c r="S510" s="3" t="s">
        <v>1006</v>
      </c>
      <c r="T510" s="3" t="s">
        <v>1007</v>
      </c>
      <c r="U510" s="11" t="s">
        <v>2575</v>
      </c>
      <c r="V510" s="11" t="s">
        <v>1031</v>
      </c>
      <c r="W510" s="11" t="s">
        <v>1032</v>
      </c>
      <c r="X510" s="13">
        <v>0.7</v>
      </c>
      <c r="Y510" s="12"/>
      <c r="Z510" s="11"/>
      <c r="AA510" s="11"/>
      <c r="AB510" s="11"/>
      <c r="AC510" s="11">
        <v>7</v>
      </c>
      <c r="AD510" s="11" t="s">
        <v>1518</v>
      </c>
      <c r="AE510" s="11" t="s">
        <v>2576</v>
      </c>
      <c r="AF510" s="11" t="s">
        <v>1014</v>
      </c>
      <c r="AG510" s="11" t="s">
        <v>1015</v>
      </c>
      <c r="AH510" s="11" t="s">
        <v>1078</v>
      </c>
      <c r="AI510" s="11" t="s">
        <v>1016</v>
      </c>
      <c r="AJ510" s="11"/>
      <c r="AK510" s="11" t="s">
        <v>1520</v>
      </c>
      <c r="AL510" s="11" t="s">
        <v>1017</v>
      </c>
      <c r="AM510" s="11" t="s">
        <v>1521</v>
      </c>
      <c r="AN510" s="11" t="s">
        <v>1019</v>
      </c>
      <c r="AO510" s="11" t="s">
        <v>1522</v>
      </c>
      <c r="AP510" s="11" t="s">
        <v>1021</v>
      </c>
      <c r="AQ510" s="11" t="s">
        <v>1523</v>
      </c>
      <c r="AR510" s="11" t="s">
        <v>1048</v>
      </c>
      <c r="AS510" s="11" t="s">
        <v>1524</v>
      </c>
      <c r="AT510" s="11" t="s">
        <v>1050</v>
      </c>
      <c r="AU510" s="11" t="s">
        <v>1523</v>
      </c>
      <c r="AV510" s="11" t="s">
        <v>1524</v>
      </c>
      <c r="AW510" s="12">
        <v>1</v>
      </c>
      <c r="AX510" s="12">
        <v>1</v>
      </c>
      <c r="AY510" s="12">
        <v>1</v>
      </c>
      <c r="AZ510" s="12">
        <v>1</v>
      </c>
      <c r="BA510" s="12">
        <v>2</v>
      </c>
      <c r="BB510" s="12">
        <v>1</v>
      </c>
      <c r="BC510" s="12">
        <v>1</v>
      </c>
      <c r="BD510" s="11" t="s">
        <v>1026</v>
      </c>
      <c r="BE510" s="11" t="s">
        <v>1051</v>
      </c>
    </row>
    <row r="511" spans="1:57" s="8" customFormat="1" ht="101.5" x14ac:dyDescent="0.35">
      <c r="A511" s="7" t="s">
        <v>694</v>
      </c>
      <c r="B511" s="7" t="s">
        <v>695</v>
      </c>
      <c r="C511" s="3" t="s">
        <v>854</v>
      </c>
      <c r="D511" s="3" t="s">
        <v>41</v>
      </c>
      <c r="E511" s="3" t="s">
        <v>41</v>
      </c>
      <c r="F511" s="3" t="s">
        <v>36</v>
      </c>
      <c r="G511" s="3" t="s">
        <v>25</v>
      </c>
      <c r="H511" s="4">
        <v>1761</v>
      </c>
      <c r="I511" s="4">
        <v>150</v>
      </c>
      <c r="J511" s="3" t="s">
        <v>26</v>
      </c>
      <c r="K511" s="4" t="b">
        <v>1</v>
      </c>
      <c r="L511" s="6">
        <v>1</v>
      </c>
      <c r="M511" s="6">
        <v>1</v>
      </c>
      <c r="N511" s="3" t="s">
        <v>42</v>
      </c>
      <c r="O511" s="3"/>
      <c r="P511" s="3" t="s">
        <v>855</v>
      </c>
      <c r="Q511" s="3" t="s">
        <v>2577</v>
      </c>
      <c r="R511" s="3" t="s">
        <v>1039</v>
      </c>
      <c r="S511" s="3" t="s">
        <v>2025</v>
      </c>
      <c r="T511" s="3" t="s">
        <v>2578</v>
      </c>
      <c r="U511" s="11" t="s">
        <v>2579</v>
      </c>
      <c r="V511" s="11" t="s">
        <v>1043</v>
      </c>
      <c r="W511" s="11" t="s">
        <v>1044</v>
      </c>
      <c r="X511" s="13">
        <v>1</v>
      </c>
      <c r="Y511" s="12" t="s">
        <v>2363</v>
      </c>
      <c r="Z511" s="11"/>
      <c r="AA511" s="11"/>
      <c r="AB511" s="11"/>
      <c r="AC511" s="11">
        <v>0</v>
      </c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 t="s">
        <v>1019</v>
      </c>
      <c r="AO511" s="11" t="s">
        <v>1059</v>
      </c>
      <c r="AP511" s="11" t="s">
        <v>1021</v>
      </c>
      <c r="AQ511" s="11" t="s">
        <v>1060</v>
      </c>
      <c r="AR511" s="11" t="s">
        <v>1023</v>
      </c>
      <c r="AS511" s="11" t="s">
        <v>1061</v>
      </c>
      <c r="AT511" s="11" t="s">
        <v>1023</v>
      </c>
      <c r="AU511" s="11" t="s">
        <v>1060</v>
      </c>
      <c r="AV511" s="11" t="s">
        <v>1061</v>
      </c>
      <c r="AW511" s="12">
        <v>3</v>
      </c>
      <c r="AX511" s="12">
        <v>4</v>
      </c>
      <c r="AY511" s="12">
        <v>4</v>
      </c>
      <c r="AZ511" s="12">
        <v>4</v>
      </c>
      <c r="BA511" s="12">
        <v>6</v>
      </c>
      <c r="BB511" s="12">
        <v>4</v>
      </c>
      <c r="BC511" s="12">
        <v>2</v>
      </c>
      <c r="BD511" s="11" t="s">
        <v>1026</v>
      </c>
      <c r="BE511" s="11" t="s">
        <v>1027</v>
      </c>
    </row>
    <row r="512" spans="1:57" s="8" customFormat="1" ht="58" x14ac:dyDescent="0.35">
      <c r="A512" s="7" t="s">
        <v>694</v>
      </c>
      <c r="B512" s="7" t="s">
        <v>695</v>
      </c>
      <c r="C512" s="3" t="s">
        <v>856</v>
      </c>
      <c r="D512" s="3" t="s">
        <v>57</v>
      </c>
      <c r="E512" s="3"/>
      <c r="F512" s="3" t="s">
        <v>53</v>
      </c>
      <c r="G512" s="3" t="s">
        <v>50</v>
      </c>
      <c r="H512" s="4">
        <v>348</v>
      </c>
      <c r="I512" s="4">
        <v>300</v>
      </c>
      <c r="J512" s="3" t="s">
        <v>26</v>
      </c>
      <c r="K512" s="4" t="b">
        <v>0</v>
      </c>
      <c r="L512" s="6">
        <v>0.33333333333333298</v>
      </c>
      <c r="M512" s="6">
        <v>0.33333333333333298</v>
      </c>
      <c r="N512" s="3" t="s">
        <v>58</v>
      </c>
      <c r="O512" s="3" t="s">
        <v>59</v>
      </c>
      <c r="P512" s="3" t="s">
        <v>198</v>
      </c>
      <c r="Q512" s="3" t="s">
        <v>1419</v>
      </c>
      <c r="R512" s="3" t="s">
        <v>1074</v>
      </c>
      <c r="S512" s="3" t="s">
        <v>1006</v>
      </c>
      <c r="T512" s="3" t="s">
        <v>1007</v>
      </c>
      <c r="U512" s="11" t="s">
        <v>2580</v>
      </c>
      <c r="V512" s="11" t="s">
        <v>1031</v>
      </c>
      <c r="W512" s="11" t="s">
        <v>1032</v>
      </c>
      <c r="X512" s="13">
        <v>0.7</v>
      </c>
      <c r="Y512" s="12"/>
      <c r="Z512" s="11"/>
      <c r="AA512" s="11"/>
      <c r="AB512" s="11"/>
      <c r="AC512" s="11">
        <v>0</v>
      </c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 t="s">
        <v>1019</v>
      </c>
      <c r="AO512" s="11" t="s">
        <v>1421</v>
      </c>
      <c r="AP512" s="11" t="s">
        <v>1021</v>
      </c>
      <c r="AQ512" s="11"/>
      <c r="AR512" s="11" t="s">
        <v>1034</v>
      </c>
      <c r="AS512" s="11" t="s">
        <v>1422</v>
      </c>
      <c r="AT512" s="11" t="s">
        <v>1050</v>
      </c>
      <c r="AU512" s="11"/>
      <c r="AV512" s="11" t="s">
        <v>1422</v>
      </c>
      <c r="AW512" s="12">
        <v>1</v>
      </c>
      <c r="AX512" s="12">
        <v>1</v>
      </c>
      <c r="AY512" s="12">
        <v>1</v>
      </c>
      <c r="AZ512" s="12"/>
      <c r="BA512" s="12"/>
      <c r="BB512" s="12">
        <v>1</v>
      </c>
      <c r="BC512" s="12">
        <v>1</v>
      </c>
      <c r="BD512" s="11" t="s">
        <v>1036</v>
      </c>
      <c r="BE512" s="11" t="s">
        <v>1037</v>
      </c>
    </row>
    <row r="513" spans="1:57" s="8" customFormat="1" ht="145" x14ac:dyDescent="0.35">
      <c r="A513" s="7" t="s">
        <v>694</v>
      </c>
      <c r="B513" s="7" t="s">
        <v>695</v>
      </c>
      <c r="C513" s="3" t="s">
        <v>857</v>
      </c>
      <c r="D513" s="3" t="s">
        <v>35</v>
      </c>
      <c r="E513" s="3"/>
      <c r="F513" s="3" t="s">
        <v>36</v>
      </c>
      <c r="G513" s="3" t="s">
        <v>50</v>
      </c>
      <c r="H513" s="4">
        <v>1555</v>
      </c>
      <c r="I513" s="4">
        <v>400</v>
      </c>
      <c r="J513" s="3" t="s">
        <v>26</v>
      </c>
      <c r="K513" s="4" t="b">
        <v>1</v>
      </c>
      <c r="L513" s="6">
        <v>1</v>
      </c>
      <c r="M513" s="6">
        <v>1</v>
      </c>
      <c r="N513" s="3" t="s">
        <v>37</v>
      </c>
      <c r="O513" s="3"/>
      <c r="P513" s="3" t="s">
        <v>858</v>
      </c>
      <c r="Q513" s="3" t="s">
        <v>2581</v>
      </c>
      <c r="R513" s="3" t="s">
        <v>1139</v>
      </c>
      <c r="S513" s="3" t="s">
        <v>1791</v>
      </c>
      <c r="T513" s="3" t="s">
        <v>2582</v>
      </c>
      <c r="U513" s="11" t="s">
        <v>2583</v>
      </c>
      <c r="V513" s="11" t="s">
        <v>1043</v>
      </c>
      <c r="W513" s="11" t="s">
        <v>1044</v>
      </c>
      <c r="X513" s="13">
        <v>1</v>
      </c>
      <c r="Y513" s="12" t="s">
        <v>1794</v>
      </c>
      <c r="Z513" s="11"/>
      <c r="AA513" s="11"/>
      <c r="AB513" s="11"/>
      <c r="AC513" s="11">
        <v>0</v>
      </c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 t="s">
        <v>1019</v>
      </c>
      <c r="AO513" s="11" t="s">
        <v>1363</v>
      </c>
      <c r="AP513" s="11" t="s">
        <v>1021</v>
      </c>
      <c r="AQ513" s="11" t="s">
        <v>1364</v>
      </c>
      <c r="AR513" s="11" t="s">
        <v>1048</v>
      </c>
      <c r="AS513" s="11" t="s">
        <v>1365</v>
      </c>
      <c r="AT513" s="11" t="s">
        <v>1050</v>
      </c>
      <c r="AU513" s="11" t="s">
        <v>1364</v>
      </c>
      <c r="AV513" s="11" t="s">
        <v>1365</v>
      </c>
      <c r="AW513" s="12">
        <v>1</v>
      </c>
      <c r="AX513" s="12">
        <v>1</v>
      </c>
      <c r="AY513" s="12">
        <v>1</v>
      </c>
      <c r="AZ513" s="12">
        <v>1</v>
      </c>
      <c r="BA513" s="12">
        <v>2</v>
      </c>
      <c r="BB513" s="12">
        <v>1</v>
      </c>
      <c r="BC513" s="12">
        <v>1</v>
      </c>
      <c r="BD513" s="11" t="s">
        <v>1026</v>
      </c>
      <c r="BE513" s="11" t="s">
        <v>1051</v>
      </c>
    </row>
    <row r="514" spans="1:57" s="8" customFormat="1" ht="58" x14ac:dyDescent="0.35">
      <c r="A514" s="7" t="s">
        <v>694</v>
      </c>
      <c r="B514" s="7" t="s">
        <v>695</v>
      </c>
      <c r="C514" s="3" t="s">
        <v>859</v>
      </c>
      <c r="D514" s="3" t="s">
        <v>57</v>
      </c>
      <c r="E514" s="3"/>
      <c r="F514" s="3" t="s">
        <v>53</v>
      </c>
      <c r="G514" s="3" t="s">
        <v>50</v>
      </c>
      <c r="H514" s="4">
        <v>405</v>
      </c>
      <c r="I514" s="4">
        <v>300</v>
      </c>
      <c r="J514" s="3" t="s">
        <v>26</v>
      </c>
      <c r="K514" s="4" t="b">
        <v>0</v>
      </c>
      <c r="L514" s="6">
        <v>0.33333333333333298</v>
      </c>
      <c r="M514" s="6">
        <v>0.33333333333333298</v>
      </c>
      <c r="N514" s="3" t="s">
        <v>58</v>
      </c>
      <c r="O514" s="3" t="s">
        <v>59</v>
      </c>
      <c r="P514" s="3" t="s">
        <v>336</v>
      </c>
      <c r="Q514" s="3" t="s">
        <v>1774</v>
      </c>
      <c r="R514" s="3" t="s">
        <v>1074</v>
      </c>
      <c r="S514" s="3" t="s">
        <v>1006</v>
      </c>
      <c r="T514" s="3" t="s">
        <v>1585</v>
      </c>
      <c r="U514" s="11" t="s">
        <v>2584</v>
      </c>
      <c r="V514" s="11" t="s">
        <v>1031</v>
      </c>
      <c r="W514" s="11" t="s">
        <v>1032</v>
      </c>
      <c r="X514" s="13">
        <v>0.7</v>
      </c>
      <c r="Y514" s="12"/>
      <c r="Z514" s="11"/>
      <c r="AA514" s="11"/>
      <c r="AB514" s="11"/>
      <c r="AC514" s="11">
        <v>0</v>
      </c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 t="s">
        <v>1019</v>
      </c>
      <c r="AO514" s="11" t="s">
        <v>1186</v>
      </c>
      <c r="AP514" s="11" t="s">
        <v>1021</v>
      </c>
      <c r="AQ514" s="11" t="s">
        <v>1187</v>
      </c>
      <c r="AR514" s="11" t="s">
        <v>1023</v>
      </c>
      <c r="AS514" s="11" t="s">
        <v>1188</v>
      </c>
      <c r="AT514" s="11" t="s">
        <v>1025</v>
      </c>
      <c r="AU514" s="11" t="s">
        <v>1187</v>
      </c>
      <c r="AV514" s="11" t="s">
        <v>1188</v>
      </c>
      <c r="AW514" s="12">
        <v>4</v>
      </c>
      <c r="AX514" s="12">
        <v>4</v>
      </c>
      <c r="AY514" s="12">
        <v>5</v>
      </c>
      <c r="AZ514" s="12">
        <v>5</v>
      </c>
      <c r="BA514" s="12">
        <v>3</v>
      </c>
      <c r="BB514" s="12">
        <v>5</v>
      </c>
      <c r="BC514" s="12">
        <v>1</v>
      </c>
      <c r="BD514" s="11" t="s">
        <v>1026</v>
      </c>
      <c r="BE514" s="11" t="s">
        <v>1027</v>
      </c>
    </row>
    <row r="515" spans="1:57" s="8" customFormat="1" ht="72.5" x14ac:dyDescent="0.35">
      <c r="A515" s="7" t="s">
        <v>694</v>
      </c>
      <c r="B515" s="7" t="s">
        <v>695</v>
      </c>
      <c r="C515" s="3" t="s">
        <v>860</v>
      </c>
      <c r="D515" s="3" t="s">
        <v>41</v>
      </c>
      <c r="E515" s="3" t="s">
        <v>41</v>
      </c>
      <c r="F515" s="3" t="s">
        <v>36</v>
      </c>
      <c r="G515" s="3" t="s">
        <v>25</v>
      </c>
      <c r="H515" s="4">
        <v>1540</v>
      </c>
      <c r="I515" s="4">
        <v>150</v>
      </c>
      <c r="J515" s="3" t="s">
        <v>26</v>
      </c>
      <c r="K515" s="4" t="b">
        <v>1</v>
      </c>
      <c r="L515" s="6">
        <v>1</v>
      </c>
      <c r="M515" s="6">
        <v>1</v>
      </c>
      <c r="N515" s="3" t="s">
        <v>42</v>
      </c>
      <c r="O515" s="3"/>
      <c r="P515" s="3" t="s">
        <v>861</v>
      </c>
      <c r="Q515" s="3" t="s">
        <v>2585</v>
      </c>
      <c r="R515" s="3" t="s">
        <v>1039</v>
      </c>
      <c r="S515" s="3" t="s">
        <v>1006</v>
      </c>
      <c r="T515" s="3" t="s">
        <v>2586</v>
      </c>
      <c r="U515" s="11" t="s">
        <v>2587</v>
      </c>
      <c r="V515" s="11" t="s">
        <v>1043</v>
      </c>
      <c r="W515" s="11" t="s">
        <v>1044</v>
      </c>
      <c r="X515" s="13">
        <v>1</v>
      </c>
      <c r="Y515" s="12"/>
      <c r="Z515" s="11"/>
      <c r="AA515" s="11"/>
      <c r="AB515" s="11"/>
      <c r="AC515" s="11">
        <v>0</v>
      </c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 t="s">
        <v>1019</v>
      </c>
      <c r="AO515" s="11" t="s">
        <v>1480</v>
      </c>
      <c r="AP515" s="11" t="s">
        <v>1021</v>
      </c>
      <c r="AQ515" s="11" t="s">
        <v>1481</v>
      </c>
      <c r="AR515" s="11" t="s">
        <v>1023</v>
      </c>
      <c r="AS515" s="11"/>
      <c r="AT515" s="11" t="s">
        <v>1034</v>
      </c>
      <c r="AU515" s="11" t="s">
        <v>1481</v>
      </c>
      <c r="AV515" s="11"/>
      <c r="AW515" s="12">
        <v>3</v>
      </c>
      <c r="AX515" s="12">
        <v>3</v>
      </c>
      <c r="AY515" s="12">
        <v>3</v>
      </c>
      <c r="AZ515" s="12">
        <v>3</v>
      </c>
      <c r="BA515" s="12">
        <v>5</v>
      </c>
      <c r="BB515" s="12"/>
      <c r="BC515" s="12"/>
      <c r="BD515" s="11" t="s">
        <v>1093</v>
      </c>
      <c r="BE515" s="11" t="s">
        <v>1037</v>
      </c>
    </row>
    <row r="516" spans="1:57" s="8" customFormat="1" ht="72.5" x14ac:dyDescent="0.35">
      <c r="A516" s="7" t="s">
        <v>694</v>
      </c>
      <c r="B516" s="7" t="s">
        <v>695</v>
      </c>
      <c r="C516" s="3" t="s">
        <v>862</v>
      </c>
      <c r="D516" s="3" t="s">
        <v>45</v>
      </c>
      <c r="E516" s="3" t="s">
        <v>45</v>
      </c>
      <c r="F516" s="3" t="s">
        <v>46</v>
      </c>
      <c r="G516" s="3" t="s">
        <v>25</v>
      </c>
      <c r="H516" s="4">
        <v>354</v>
      </c>
      <c r="I516" s="4">
        <v>200</v>
      </c>
      <c r="J516" s="3" t="s">
        <v>26</v>
      </c>
      <c r="K516" s="4" t="b">
        <v>1</v>
      </c>
      <c r="L516" s="6">
        <v>1</v>
      </c>
      <c r="M516" s="6">
        <v>1</v>
      </c>
      <c r="N516" s="3" t="s">
        <v>47</v>
      </c>
      <c r="O516" s="3"/>
      <c r="P516" s="3" t="s">
        <v>81</v>
      </c>
      <c r="Q516" s="3" t="s">
        <v>1133</v>
      </c>
      <c r="R516" s="3" t="s">
        <v>1029</v>
      </c>
      <c r="S516" s="3" t="s">
        <v>1006</v>
      </c>
      <c r="T516" s="3" t="s">
        <v>1007</v>
      </c>
      <c r="U516" s="11" t="s">
        <v>2588</v>
      </c>
      <c r="V516" s="11" t="s">
        <v>1031</v>
      </c>
      <c r="W516" s="11" t="s">
        <v>1032</v>
      </c>
      <c r="X516" s="13">
        <v>0.7</v>
      </c>
      <c r="Y516" s="12"/>
      <c r="Z516" s="11"/>
      <c r="AA516" s="11"/>
      <c r="AB516" s="11"/>
      <c r="AC516" s="11">
        <v>0</v>
      </c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 t="s">
        <v>1019</v>
      </c>
      <c r="AO516" s="11" t="s">
        <v>1135</v>
      </c>
      <c r="AP516" s="11" t="s">
        <v>1021</v>
      </c>
      <c r="AQ516" s="11" t="s">
        <v>1136</v>
      </c>
      <c r="AR516" s="11" t="s">
        <v>1050</v>
      </c>
      <c r="AS516" s="11" t="s">
        <v>1137</v>
      </c>
      <c r="AT516" s="11" t="s">
        <v>1050</v>
      </c>
      <c r="AU516" s="11" t="s">
        <v>1136</v>
      </c>
      <c r="AV516" s="11" t="s">
        <v>1137</v>
      </c>
      <c r="AW516" s="12">
        <v>1</v>
      </c>
      <c r="AX516" s="12">
        <v>1</v>
      </c>
      <c r="AY516" s="12">
        <v>1</v>
      </c>
      <c r="AZ516" s="12">
        <v>1</v>
      </c>
      <c r="BA516" s="12">
        <v>1</v>
      </c>
      <c r="BB516" s="12">
        <v>1</v>
      </c>
      <c r="BC516" s="12">
        <v>1</v>
      </c>
      <c r="BD516" s="11" t="s">
        <v>1026</v>
      </c>
      <c r="BE516" s="11" t="s">
        <v>1103</v>
      </c>
    </row>
    <row r="517" spans="1:57" s="8" customFormat="1" ht="72.5" x14ac:dyDescent="0.35">
      <c r="A517" s="7" t="s">
        <v>694</v>
      </c>
      <c r="B517" s="7" t="s">
        <v>695</v>
      </c>
      <c r="C517" s="3" t="s">
        <v>862</v>
      </c>
      <c r="D517" s="3" t="s">
        <v>49</v>
      </c>
      <c r="E517" s="3"/>
      <c r="F517" s="3" t="s">
        <v>46</v>
      </c>
      <c r="G517" s="3" t="s">
        <v>50</v>
      </c>
      <c r="H517" s="4">
        <v>354</v>
      </c>
      <c r="I517" s="4">
        <v>200</v>
      </c>
      <c r="J517" s="3" t="s">
        <v>26</v>
      </c>
      <c r="K517" s="4" t="b">
        <v>1</v>
      </c>
      <c r="L517" s="6">
        <v>1</v>
      </c>
      <c r="M517" s="6">
        <v>1</v>
      </c>
      <c r="N517" s="3" t="s">
        <v>47</v>
      </c>
      <c r="O517" s="3"/>
      <c r="P517" s="3" t="s">
        <v>81</v>
      </c>
      <c r="Q517" s="3" t="s">
        <v>1133</v>
      </c>
      <c r="R517" s="3" t="s">
        <v>1029</v>
      </c>
      <c r="S517" s="3" t="s">
        <v>1006</v>
      </c>
      <c r="T517" s="3" t="s">
        <v>1007</v>
      </c>
      <c r="U517" s="11" t="s">
        <v>2588</v>
      </c>
      <c r="V517" s="11" t="s">
        <v>1031</v>
      </c>
      <c r="W517" s="11" t="s">
        <v>1032</v>
      </c>
      <c r="X517" s="13">
        <v>0.7</v>
      </c>
      <c r="Y517" s="12"/>
      <c r="Z517" s="11"/>
      <c r="AA517" s="11"/>
      <c r="AB517" s="11"/>
      <c r="AC517" s="11">
        <v>0</v>
      </c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 t="s">
        <v>1019</v>
      </c>
      <c r="AO517" s="11" t="s">
        <v>1135</v>
      </c>
      <c r="AP517" s="11" t="s">
        <v>1021</v>
      </c>
      <c r="AQ517" s="11" t="s">
        <v>1136</v>
      </c>
      <c r="AR517" s="11" t="s">
        <v>1050</v>
      </c>
      <c r="AS517" s="11" t="s">
        <v>1137</v>
      </c>
      <c r="AT517" s="11" t="s">
        <v>1050</v>
      </c>
      <c r="AU517" s="11" t="s">
        <v>1136</v>
      </c>
      <c r="AV517" s="11" t="s">
        <v>1137</v>
      </c>
      <c r="AW517" s="12">
        <v>1</v>
      </c>
      <c r="AX517" s="12">
        <v>1</v>
      </c>
      <c r="AY517" s="12">
        <v>1</v>
      </c>
      <c r="AZ517" s="12">
        <v>1</v>
      </c>
      <c r="BA517" s="12">
        <v>1</v>
      </c>
      <c r="BB517" s="12">
        <v>1</v>
      </c>
      <c r="BC517" s="12">
        <v>1</v>
      </c>
      <c r="BD517" s="11" t="s">
        <v>1026</v>
      </c>
      <c r="BE517" s="11" t="s">
        <v>1103</v>
      </c>
    </row>
    <row r="518" spans="1:57" s="8" customFormat="1" ht="159.5" x14ac:dyDescent="0.35">
      <c r="A518" s="7" t="s">
        <v>694</v>
      </c>
      <c r="B518" s="7" t="s">
        <v>695</v>
      </c>
      <c r="C518" s="3" t="s">
        <v>863</v>
      </c>
      <c r="D518" s="3" t="s">
        <v>23</v>
      </c>
      <c r="E518" s="3" t="s">
        <v>23</v>
      </c>
      <c r="F518" s="3" t="s">
        <v>24</v>
      </c>
      <c r="G518" s="3" t="s">
        <v>25</v>
      </c>
      <c r="H518" s="4">
        <v>3246</v>
      </c>
      <c r="I518" s="4">
        <v>800</v>
      </c>
      <c r="J518" s="3" t="s">
        <v>26</v>
      </c>
      <c r="K518" s="4" t="b">
        <v>1</v>
      </c>
      <c r="L518" s="6">
        <v>1</v>
      </c>
      <c r="M518" s="6">
        <v>1</v>
      </c>
      <c r="N518" s="3" t="s">
        <v>27</v>
      </c>
      <c r="O518" s="3"/>
      <c r="P518" s="3" t="s">
        <v>864</v>
      </c>
      <c r="Q518" s="3" t="s">
        <v>2589</v>
      </c>
      <c r="R518" s="3" t="s">
        <v>1005</v>
      </c>
      <c r="S518" s="3" t="s">
        <v>1006</v>
      </c>
      <c r="T518" s="3" t="s">
        <v>1007</v>
      </c>
      <c r="U518" s="11" t="s">
        <v>2590</v>
      </c>
      <c r="V518" s="11" t="s">
        <v>1009</v>
      </c>
      <c r="W518" s="11" t="s">
        <v>1010</v>
      </c>
      <c r="X518" s="13">
        <v>0.88</v>
      </c>
      <c r="Y518" s="12"/>
      <c r="Z518" s="11" t="s">
        <v>2591</v>
      </c>
      <c r="AA518" s="11"/>
      <c r="AB518" s="11"/>
      <c r="AC518" s="11">
        <v>6</v>
      </c>
      <c r="AD518" s="11" t="s">
        <v>1012</v>
      </c>
      <c r="AE518" s="11" t="s">
        <v>2592</v>
      </c>
      <c r="AF518" s="11" t="s">
        <v>1014</v>
      </c>
      <c r="AG518" s="11" t="s">
        <v>1015</v>
      </c>
      <c r="AH518" s="11" t="s">
        <v>75</v>
      </c>
      <c r="AI518" s="11" t="s">
        <v>1016</v>
      </c>
      <c r="AJ518" s="11"/>
      <c r="AK518" s="11" t="s">
        <v>262</v>
      </c>
      <c r="AL518" s="11" t="s">
        <v>1017</v>
      </c>
      <c r="AM518" s="11" t="s">
        <v>1018</v>
      </c>
      <c r="AN518" s="11" t="s">
        <v>1019</v>
      </c>
      <c r="AO518" s="11" t="s">
        <v>1020</v>
      </c>
      <c r="AP518" s="11" t="s">
        <v>1021</v>
      </c>
      <c r="AQ518" s="11" t="s">
        <v>1022</v>
      </c>
      <c r="AR518" s="11" t="s">
        <v>1023</v>
      </c>
      <c r="AS518" s="11" t="s">
        <v>1024</v>
      </c>
      <c r="AT518" s="11" t="s">
        <v>1025</v>
      </c>
      <c r="AU518" s="11" t="s">
        <v>1022</v>
      </c>
      <c r="AV518" s="11" t="s">
        <v>1024</v>
      </c>
      <c r="AW518" s="12">
        <v>2</v>
      </c>
      <c r="AX518" s="12">
        <v>2</v>
      </c>
      <c r="AY518" s="12">
        <v>2</v>
      </c>
      <c r="AZ518" s="12">
        <v>2</v>
      </c>
      <c r="BA518" s="12">
        <v>3</v>
      </c>
      <c r="BB518" s="12">
        <v>2</v>
      </c>
      <c r="BC518" s="12">
        <v>1</v>
      </c>
      <c r="BD518" s="11" t="s">
        <v>1026</v>
      </c>
      <c r="BE518" s="11" t="s">
        <v>1027</v>
      </c>
    </row>
    <row r="519" spans="1:57" s="8" customFormat="1" ht="58" x14ac:dyDescent="0.35">
      <c r="A519" s="7" t="s">
        <v>694</v>
      </c>
      <c r="B519" s="7" t="s">
        <v>695</v>
      </c>
      <c r="C519" s="3" t="s">
        <v>865</v>
      </c>
      <c r="D519" s="3" t="s">
        <v>57</v>
      </c>
      <c r="E519" s="3"/>
      <c r="F519" s="3" t="s">
        <v>53</v>
      </c>
      <c r="G519" s="3" t="s">
        <v>50</v>
      </c>
      <c r="H519" s="4">
        <v>681</v>
      </c>
      <c r="I519" s="4">
        <v>300</v>
      </c>
      <c r="J519" s="3" t="s">
        <v>26</v>
      </c>
      <c r="K519" s="4" t="b">
        <v>0</v>
      </c>
      <c r="L519" s="6">
        <v>0.33333333333333298</v>
      </c>
      <c r="M519" s="6">
        <v>0.33333333333333298</v>
      </c>
      <c r="N519" s="3" t="s">
        <v>58</v>
      </c>
      <c r="O519" s="3" t="s">
        <v>59</v>
      </c>
      <c r="P519" s="3" t="s">
        <v>866</v>
      </c>
      <c r="Q519" s="3" t="s">
        <v>1754</v>
      </c>
      <c r="R519" s="3" t="s">
        <v>1074</v>
      </c>
      <c r="S519" s="3" t="s">
        <v>1006</v>
      </c>
      <c r="T519" s="3" t="s">
        <v>1007</v>
      </c>
      <c r="U519" s="11" t="s">
        <v>2593</v>
      </c>
      <c r="V519" s="11" t="s">
        <v>1064</v>
      </c>
      <c r="W519" s="11" t="s">
        <v>1065</v>
      </c>
      <c r="X519" s="13">
        <v>1</v>
      </c>
      <c r="Y519" s="12"/>
      <c r="Z519" s="11"/>
      <c r="AA519" s="11"/>
      <c r="AB519" s="11"/>
      <c r="AC519" s="11">
        <v>0</v>
      </c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 t="s">
        <v>1019</v>
      </c>
      <c r="AO519" s="11" t="s">
        <v>1756</v>
      </c>
      <c r="AP519" s="11" t="s">
        <v>1021</v>
      </c>
      <c r="AQ519" s="11" t="s">
        <v>1757</v>
      </c>
      <c r="AR519" s="11" t="s">
        <v>1048</v>
      </c>
      <c r="AS519" s="11" t="s">
        <v>1758</v>
      </c>
      <c r="AT519" s="11" t="s">
        <v>1050</v>
      </c>
      <c r="AU519" s="11" t="s">
        <v>1757</v>
      </c>
      <c r="AV519" s="11" t="s">
        <v>1758</v>
      </c>
      <c r="AW519" s="12">
        <v>1</v>
      </c>
      <c r="AX519" s="12">
        <v>1</v>
      </c>
      <c r="AY519" s="12">
        <v>1</v>
      </c>
      <c r="AZ519" s="12">
        <v>1</v>
      </c>
      <c r="BA519" s="12">
        <v>3</v>
      </c>
      <c r="BB519" s="12">
        <v>1</v>
      </c>
      <c r="BC519" s="12">
        <v>1</v>
      </c>
      <c r="BD519" s="11" t="s">
        <v>1026</v>
      </c>
      <c r="BE519" s="11" t="s">
        <v>1051</v>
      </c>
    </row>
    <row r="520" spans="1:57" s="8" customFormat="1" ht="72.5" x14ac:dyDescent="0.35">
      <c r="A520" s="7" t="s">
        <v>694</v>
      </c>
      <c r="B520" s="7" t="s">
        <v>695</v>
      </c>
      <c r="C520" s="3" t="s">
        <v>867</v>
      </c>
      <c r="D520" s="3" t="s">
        <v>83</v>
      </c>
      <c r="E520" s="3"/>
      <c r="F520" s="3" t="s">
        <v>84</v>
      </c>
      <c r="G520" s="3" t="s">
        <v>50</v>
      </c>
      <c r="H520" s="4">
        <v>1535</v>
      </c>
      <c r="I520" s="4">
        <v>500</v>
      </c>
      <c r="J520" s="3" t="s">
        <v>26</v>
      </c>
      <c r="K520" s="4" t="b">
        <v>0</v>
      </c>
      <c r="L520" s="6">
        <v>0.5</v>
      </c>
      <c r="M520" s="6">
        <v>0.5</v>
      </c>
      <c r="N520" s="3" t="s">
        <v>225</v>
      </c>
      <c r="O520" s="3" t="s">
        <v>226</v>
      </c>
      <c r="P520" s="3" t="s">
        <v>868</v>
      </c>
      <c r="Q520" s="3" t="s">
        <v>2594</v>
      </c>
      <c r="R520" s="3" t="s">
        <v>1139</v>
      </c>
      <c r="S520" s="3" t="s">
        <v>2595</v>
      </c>
      <c r="T520" s="3" t="s">
        <v>2596</v>
      </c>
      <c r="U520" s="11" t="s">
        <v>2597</v>
      </c>
      <c r="V520" s="11" t="s">
        <v>1127</v>
      </c>
      <c r="W520" s="11" t="s">
        <v>1128</v>
      </c>
      <c r="X520" s="13">
        <v>1</v>
      </c>
      <c r="Y520" s="12"/>
      <c r="Z520" s="11"/>
      <c r="AA520" s="11"/>
      <c r="AB520" s="11"/>
      <c r="AC520" s="11">
        <v>0</v>
      </c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 t="s">
        <v>1019</v>
      </c>
      <c r="AO520" s="11" t="s">
        <v>1142</v>
      </c>
      <c r="AP520" s="11" t="s">
        <v>1114</v>
      </c>
      <c r="AQ520" s="11"/>
      <c r="AR520" s="11" t="s">
        <v>1034</v>
      </c>
      <c r="AS520" s="11"/>
      <c r="AT520" s="11" t="s">
        <v>1034</v>
      </c>
      <c r="AU520" s="11"/>
      <c r="AV520" s="11"/>
      <c r="AW520" s="12">
        <v>1</v>
      </c>
      <c r="AX520" s="12">
        <v>1</v>
      </c>
      <c r="AY520" s="12">
        <v>1</v>
      </c>
      <c r="AZ520" s="12"/>
      <c r="BA520" s="12"/>
      <c r="BB520" s="12"/>
      <c r="BC520" s="12"/>
      <c r="BD520" s="11" t="s">
        <v>1115</v>
      </c>
      <c r="BE520" s="11" t="s">
        <v>1116</v>
      </c>
    </row>
    <row r="521" spans="1:57" s="8" customFormat="1" ht="101.5" x14ac:dyDescent="0.35">
      <c r="A521" s="7" t="s">
        <v>694</v>
      </c>
      <c r="B521" s="7" t="s">
        <v>695</v>
      </c>
      <c r="C521" s="3" t="s">
        <v>869</v>
      </c>
      <c r="D521" s="3" t="s">
        <v>41</v>
      </c>
      <c r="E521" s="3" t="s">
        <v>41</v>
      </c>
      <c r="F521" s="3" t="s">
        <v>36</v>
      </c>
      <c r="G521" s="3" t="s">
        <v>25</v>
      </c>
      <c r="H521" s="4">
        <v>1780</v>
      </c>
      <c r="I521" s="4">
        <v>150</v>
      </c>
      <c r="J521" s="3" t="s">
        <v>26</v>
      </c>
      <c r="K521" s="4" t="b">
        <v>1</v>
      </c>
      <c r="L521" s="6">
        <v>1</v>
      </c>
      <c r="M521" s="6">
        <v>1</v>
      </c>
      <c r="N521" s="3" t="s">
        <v>42</v>
      </c>
      <c r="O521" s="3"/>
      <c r="P521" s="3" t="s">
        <v>870</v>
      </c>
      <c r="Q521" s="3" t="s">
        <v>2598</v>
      </c>
      <c r="R521" s="3" t="s">
        <v>1039</v>
      </c>
      <c r="S521" s="3" t="s">
        <v>1863</v>
      </c>
      <c r="T521" s="3" t="s">
        <v>2599</v>
      </c>
      <c r="U521" s="11" t="s">
        <v>2600</v>
      </c>
      <c r="V521" s="11" t="s">
        <v>1043</v>
      </c>
      <c r="W521" s="11" t="s">
        <v>1044</v>
      </c>
      <c r="X521" s="13">
        <v>1</v>
      </c>
      <c r="Y521" s="12"/>
      <c r="Z521" s="11"/>
      <c r="AA521" s="11"/>
      <c r="AB521" s="11"/>
      <c r="AC521" s="11">
        <v>1</v>
      </c>
      <c r="AD521" s="11" t="s">
        <v>1148</v>
      </c>
      <c r="AE521" s="11" t="s">
        <v>1872</v>
      </c>
      <c r="AF521" s="11" t="s">
        <v>1014</v>
      </c>
      <c r="AG521" s="11" t="s">
        <v>1873</v>
      </c>
      <c r="AH521" s="11" t="s">
        <v>42</v>
      </c>
      <c r="AI521" s="11" t="s">
        <v>1016</v>
      </c>
      <c r="AJ521" s="11"/>
      <c r="AK521" s="11" t="s">
        <v>1151</v>
      </c>
      <c r="AL521" s="11" t="s">
        <v>1017</v>
      </c>
      <c r="AM521" s="11" t="s">
        <v>1152</v>
      </c>
      <c r="AN521" s="11" t="s">
        <v>1019</v>
      </c>
      <c r="AO521" s="11" t="s">
        <v>1059</v>
      </c>
      <c r="AP521" s="11" t="s">
        <v>1021</v>
      </c>
      <c r="AQ521" s="11" t="s">
        <v>1060</v>
      </c>
      <c r="AR521" s="11" t="s">
        <v>1023</v>
      </c>
      <c r="AS521" s="11" t="s">
        <v>1061</v>
      </c>
      <c r="AT521" s="11" t="s">
        <v>1023</v>
      </c>
      <c r="AU521" s="11" t="s">
        <v>1060</v>
      </c>
      <c r="AV521" s="11" t="s">
        <v>1061</v>
      </c>
      <c r="AW521" s="12">
        <v>3</v>
      </c>
      <c r="AX521" s="12">
        <v>4</v>
      </c>
      <c r="AY521" s="12">
        <v>4</v>
      </c>
      <c r="AZ521" s="12">
        <v>4</v>
      </c>
      <c r="BA521" s="12">
        <v>6</v>
      </c>
      <c r="BB521" s="12">
        <v>4</v>
      </c>
      <c r="BC521" s="12">
        <v>2</v>
      </c>
      <c r="BD521" s="11" t="s">
        <v>1026</v>
      </c>
      <c r="BE521" s="11" t="s">
        <v>1027</v>
      </c>
    </row>
    <row r="522" spans="1:57" s="8" customFormat="1" ht="58" x14ac:dyDescent="0.35">
      <c r="A522" s="7" t="s">
        <v>694</v>
      </c>
      <c r="B522" s="7" t="s">
        <v>695</v>
      </c>
      <c r="C522" s="3" t="s">
        <v>871</v>
      </c>
      <c r="D522" s="3" t="s">
        <v>57</v>
      </c>
      <c r="E522" s="3"/>
      <c r="F522" s="3" t="s">
        <v>53</v>
      </c>
      <c r="G522" s="3" t="s">
        <v>50</v>
      </c>
      <c r="H522" s="4">
        <v>571</v>
      </c>
      <c r="I522" s="4">
        <v>300</v>
      </c>
      <c r="J522" s="3" t="s">
        <v>26</v>
      </c>
      <c r="K522" s="4" t="b">
        <v>0</v>
      </c>
      <c r="L522" s="6">
        <v>0.33333333333333298</v>
      </c>
      <c r="M522" s="6">
        <v>0.33333333333333298</v>
      </c>
      <c r="N522" s="3" t="s">
        <v>58</v>
      </c>
      <c r="O522" s="3" t="s">
        <v>59</v>
      </c>
      <c r="P522" s="3" t="s">
        <v>872</v>
      </c>
      <c r="Q522" s="3" t="s">
        <v>2601</v>
      </c>
      <c r="R522" s="3" t="s">
        <v>1074</v>
      </c>
      <c r="S522" s="3" t="s">
        <v>1006</v>
      </c>
      <c r="T522" s="3" t="s">
        <v>1007</v>
      </c>
      <c r="U522" s="11" t="s">
        <v>2602</v>
      </c>
      <c r="V522" s="11" t="s">
        <v>1064</v>
      </c>
      <c r="W522" s="11" t="s">
        <v>1065</v>
      </c>
      <c r="X522" s="13">
        <v>1</v>
      </c>
      <c r="Y522" s="12"/>
      <c r="Z522" s="11"/>
      <c r="AA522" s="11"/>
      <c r="AB522" s="11"/>
      <c r="AC522" s="11">
        <v>0</v>
      </c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 t="s">
        <v>1019</v>
      </c>
      <c r="AO522" s="11" t="s">
        <v>1608</v>
      </c>
      <c r="AP522" s="11" t="s">
        <v>1021</v>
      </c>
      <c r="AQ522" s="11" t="s">
        <v>1609</v>
      </c>
      <c r="AR522" s="11" t="s">
        <v>1050</v>
      </c>
      <c r="AS522" s="11" t="s">
        <v>1610</v>
      </c>
      <c r="AT522" s="11" t="s">
        <v>1048</v>
      </c>
      <c r="AU522" s="11" t="s">
        <v>1609</v>
      </c>
      <c r="AV522" s="11" t="s">
        <v>1610</v>
      </c>
      <c r="AW522" s="12">
        <v>1</v>
      </c>
      <c r="AX522" s="12">
        <v>1</v>
      </c>
      <c r="AY522" s="12">
        <v>1</v>
      </c>
      <c r="AZ522" s="12">
        <v>1</v>
      </c>
      <c r="BA522" s="12">
        <v>1</v>
      </c>
      <c r="BB522" s="12">
        <v>1</v>
      </c>
      <c r="BC522" s="12">
        <v>2</v>
      </c>
      <c r="BD522" s="11" t="s">
        <v>1026</v>
      </c>
      <c r="BE522" s="11" t="s">
        <v>1051</v>
      </c>
    </row>
    <row r="523" spans="1:57" s="8" customFormat="1" ht="72.5" x14ac:dyDescent="0.35">
      <c r="A523" s="7" t="s">
        <v>694</v>
      </c>
      <c r="B523" s="7" t="s">
        <v>695</v>
      </c>
      <c r="C523" s="3" t="s">
        <v>873</v>
      </c>
      <c r="D523" s="3" t="s">
        <v>57</v>
      </c>
      <c r="E523" s="3" t="s">
        <v>57</v>
      </c>
      <c r="F523" s="3" t="s">
        <v>53</v>
      </c>
      <c r="G523" s="3" t="s">
        <v>25</v>
      </c>
      <c r="H523" s="4">
        <v>874</v>
      </c>
      <c r="I523" s="4">
        <v>300</v>
      </c>
      <c r="J523" s="3" t="s">
        <v>26</v>
      </c>
      <c r="K523" s="4" t="b">
        <v>1</v>
      </c>
      <c r="L523" s="6">
        <v>1</v>
      </c>
      <c r="M523" s="6">
        <v>1</v>
      </c>
      <c r="N523" s="3" t="s">
        <v>62</v>
      </c>
      <c r="O523" s="3"/>
      <c r="P523" s="3" t="s">
        <v>874</v>
      </c>
      <c r="Q523" s="3" t="s">
        <v>2603</v>
      </c>
      <c r="R523" s="3" t="s">
        <v>1005</v>
      </c>
      <c r="S523" s="3" t="s">
        <v>1006</v>
      </c>
      <c r="T523" s="3" t="s">
        <v>1007</v>
      </c>
      <c r="U523" s="11" t="s">
        <v>2604</v>
      </c>
      <c r="V523" s="11" t="s">
        <v>1031</v>
      </c>
      <c r="W523" s="11" t="s">
        <v>1032</v>
      </c>
      <c r="X523" s="13">
        <v>0.7</v>
      </c>
      <c r="Y523" s="12"/>
      <c r="Z523" s="11"/>
      <c r="AA523" s="11"/>
      <c r="AB523" s="11"/>
      <c r="AC523" s="11">
        <v>1</v>
      </c>
      <c r="AD523" s="11" t="s">
        <v>1201</v>
      </c>
      <c r="AE523" s="11" t="s">
        <v>1783</v>
      </c>
      <c r="AF523" s="11" t="s">
        <v>1014</v>
      </c>
      <c r="AG523" s="11" t="s">
        <v>1203</v>
      </c>
      <c r="AH523" s="11"/>
      <c r="AI523" s="11" t="s">
        <v>1016</v>
      </c>
      <c r="AJ523" s="11"/>
      <c r="AK523" s="11" t="s">
        <v>1204</v>
      </c>
      <c r="AL523" s="11" t="s">
        <v>1017</v>
      </c>
      <c r="AM523" s="11" t="s">
        <v>1205</v>
      </c>
      <c r="AN523" s="11" t="s">
        <v>1019</v>
      </c>
      <c r="AO523" s="11" t="s">
        <v>1784</v>
      </c>
      <c r="AP523" s="11" t="s">
        <v>1021</v>
      </c>
      <c r="AQ523" s="11" t="s">
        <v>1785</v>
      </c>
      <c r="AR523" s="11" t="s">
        <v>1023</v>
      </c>
      <c r="AS523" s="11" t="s">
        <v>1786</v>
      </c>
      <c r="AT523" s="11" t="s">
        <v>1025</v>
      </c>
      <c r="AU523" s="11" t="s">
        <v>1785</v>
      </c>
      <c r="AV523" s="11" t="s">
        <v>1786</v>
      </c>
      <c r="AW523" s="12">
        <v>2</v>
      </c>
      <c r="AX523" s="12">
        <v>2</v>
      </c>
      <c r="AY523" s="12">
        <v>2</v>
      </c>
      <c r="AZ523" s="12">
        <v>2</v>
      </c>
      <c r="BA523" s="12">
        <v>6</v>
      </c>
      <c r="BB523" s="12">
        <v>2</v>
      </c>
      <c r="BC523" s="12">
        <v>1</v>
      </c>
      <c r="BD523" s="11" t="s">
        <v>1026</v>
      </c>
      <c r="BE523" s="11" t="s">
        <v>1027</v>
      </c>
    </row>
    <row r="524" spans="1:57" s="8" customFormat="1" ht="58" x14ac:dyDescent="0.35">
      <c r="A524" s="7" t="s">
        <v>694</v>
      </c>
      <c r="B524" s="7" t="s">
        <v>695</v>
      </c>
      <c r="C524" s="3" t="s">
        <v>875</v>
      </c>
      <c r="D524" s="3" t="s">
        <v>57</v>
      </c>
      <c r="E524" s="3"/>
      <c r="F524" s="3" t="s">
        <v>53</v>
      </c>
      <c r="G524" s="3" t="s">
        <v>50</v>
      </c>
      <c r="H524" s="4">
        <v>381</v>
      </c>
      <c r="I524" s="4">
        <v>300</v>
      </c>
      <c r="J524" s="3" t="s">
        <v>26</v>
      </c>
      <c r="K524" s="4" t="b">
        <v>0</v>
      </c>
      <c r="L524" s="6">
        <v>0.33333333333333298</v>
      </c>
      <c r="M524" s="6">
        <v>0.33333333333333298</v>
      </c>
      <c r="N524" s="3" t="s">
        <v>58</v>
      </c>
      <c r="O524" s="3" t="s">
        <v>59</v>
      </c>
      <c r="P524" s="3" t="s">
        <v>591</v>
      </c>
      <c r="Q524" s="3" t="s">
        <v>2207</v>
      </c>
      <c r="R524" s="3" t="s">
        <v>1074</v>
      </c>
      <c r="S524" s="3" t="s">
        <v>1006</v>
      </c>
      <c r="T524" s="3" t="s">
        <v>1007</v>
      </c>
      <c r="U524" s="11" t="s">
        <v>2605</v>
      </c>
      <c r="V524" s="11" t="s">
        <v>1031</v>
      </c>
      <c r="W524" s="11" t="s">
        <v>1032</v>
      </c>
      <c r="X524" s="13">
        <v>0.7</v>
      </c>
      <c r="Y524" s="12"/>
      <c r="Z524" s="11"/>
      <c r="AA524" s="11"/>
      <c r="AB524" s="11"/>
      <c r="AC524" s="11">
        <v>0</v>
      </c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 t="s">
        <v>1019</v>
      </c>
      <c r="AO524" s="11" t="s">
        <v>2209</v>
      </c>
      <c r="AP524" s="11" t="s">
        <v>1021</v>
      </c>
      <c r="AQ524" s="11" t="s">
        <v>2210</v>
      </c>
      <c r="AR524" s="11" t="s">
        <v>1048</v>
      </c>
      <c r="AS524" s="11" t="s">
        <v>2211</v>
      </c>
      <c r="AT524" s="11" t="s">
        <v>1050</v>
      </c>
      <c r="AU524" s="11" t="s">
        <v>2210</v>
      </c>
      <c r="AV524" s="11" t="s">
        <v>2211</v>
      </c>
      <c r="AW524" s="12">
        <v>0</v>
      </c>
      <c r="AX524" s="12">
        <v>1</v>
      </c>
      <c r="AY524" s="12">
        <v>1</v>
      </c>
      <c r="AZ524" s="12">
        <v>1</v>
      </c>
      <c r="BA524" s="12">
        <v>3</v>
      </c>
      <c r="BB524" s="12">
        <v>1</v>
      </c>
      <c r="BC524" s="12">
        <v>1</v>
      </c>
      <c r="BD524" s="11" t="s">
        <v>1026</v>
      </c>
      <c r="BE524" s="11" t="s">
        <v>1051</v>
      </c>
    </row>
    <row r="525" spans="1:57" s="8" customFormat="1" ht="72.5" x14ac:dyDescent="0.35">
      <c r="A525" s="7" t="s">
        <v>694</v>
      </c>
      <c r="B525" s="7" t="s">
        <v>695</v>
      </c>
      <c r="C525" s="3" t="s">
        <v>876</v>
      </c>
      <c r="D525" s="3" t="s">
        <v>52</v>
      </c>
      <c r="E525" s="3"/>
      <c r="F525" s="3" t="s">
        <v>53</v>
      </c>
      <c r="G525" s="3" t="s">
        <v>50</v>
      </c>
      <c r="H525" s="4">
        <v>914</v>
      </c>
      <c r="I525" s="4">
        <v>500</v>
      </c>
      <c r="J525" s="3" t="s">
        <v>26</v>
      </c>
      <c r="K525" s="4" t="b">
        <v>0</v>
      </c>
      <c r="L525" s="6">
        <v>0.33333333333333298</v>
      </c>
      <c r="M525" s="6">
        <v>0.33333333333333298</v>
      </c>
      <c r="N525" s="3" t="s">
        <v>54</v>
      </c>
      <c r="O525" s="3" t="s">
        <v>55</v>
      </c>
      <c r="P525" s="3" t="s">
        <v>877</v>
      </c>
      <c r="Q525" s="3" t="s">
        <v>2606</v>
      </c>
      <c r="R525" s="3" t="s">
        <v>1139</v>
      </c>
      <c r="S525" s="3" t="s">
        <v>2607</v>
      </c>
      <c r="T525" s="3" t="s">
        <v>2608</v>
      </c>
      <c r="U525" s="11" t="s">
        <v>2609</v>
      </c>
      <c r="V525" s="11" t="s">
        <v>1009</v>
      </c>
      <c r="W525" s="11" t="s">
        <v>1010</v>
      </c>
      <c r="X525" s="13">
        <v>0.8</v>
      </c>
      <c r="Y525" s="12" t="s">
        <v>2363</v>
      </c>
      <c r="Z525" s="11" t="s">
        <v>2610</v>
      </c>
      <c r="AA525" s="11"/>
      <c r="AB525" s="11"/>
      <c r="AC525" s="11">
        <v>5</v>
      </c>
      <c r="AD525" s="11" t="s">
        <v>1076</v>
      </c>
      <c r="AE525" s="11" t="s">
        <v>2611</v>
      </c>
      <c r="AF525" s="11" t="s">
        <v>1014</v>
      </c>
      <c r="AG525" s="11" t="s">
        <v>1015</v>
      </c>
      <c r="AH525" s="11" t="s">
        <v>1078</v>
      </c>
      <c r="AI525" s="11" t="s">
        <v>1016</v>
      </c>
      <c r="AJ525" s="11"/>
      <c r="AK525" s="11" t="s">
        <v>1079</v>
      </c>
      <c r="AL525" s="11" t="s">
        <v>1017</v>
      </c>
      <c r="AM525" s="11" t="s">
        <v>1080</v>
      </c>
      <c r="AN525" s="11" t="s">
        <v>1019</v>
      </c>
      <c r="AO525" s="11" t="s">
        <v>1604</v>
      </c>
      <c r="AP525" s="11" t="s">
        <v>1114</v>
      </c>
      <c r="AQ525" s="11"/>
      <c r="AR525" s="11" t="s">
        <v>1034</v>
      </c>
      <c r="AS525" s="11"/>
      <c r="AT525" s="11" t="s">
        <v>1034</v>
      </c>
      <c r="AU525" s="11"/>
      <c r="AV525" s="11"/>
      <c r="AW525" s="12">
        <v>1</v>
      </c>
      <c r="AX525" s="12">
        <v>1</v>
      </c>
      <c r="AY525" s="12">
        <v>1</v>
      </c>
      <c r="AZ525" s="12"/>
      <c r="BA525" s="12"/>
      <c r="BB525" s="12"/>
      <c r="BC525" s="12"/>
      <c r="BD525" s="11" t="s">
        <v>1115</v>
      </c>
      <c r="BE525" s="11" t="s">
        <v>1116</v>
      </c>
    </row>
    <row r="526" spans="1:57" s="8" customFormat="1" ht="72.5" x14ac:dyDescent="0.35">
      <c r="A526" s="7" t="s">
        <v>694</v>
      </c>
      <c r="B526" s="7" t="s">
        <v>695</v>
      </c>
      <c r="C526" s="3" t="s">
        <v>876</v>
      </c>
      <c r="D526" s="3" t="s">
        <v>57</v>
      </c>
      <c r="E526" s="3"/>
      <c r="F526" s="3" t="s">
        <v>53</v>
      </c>
      <c r="G526" s="3" t="s">
        <v>50</v>
      </c>
      <c r="H526" s="4">
        <v>914</v>
      </c>
      <c r="I526" s="4">
        <v>300</v>
      </c>
      <c r="J526" s="3" t="s">
        <v>26</v>
      </c>
      <c r="K526" s="4" t="b">
        <v>0</v>
      </c>
      <c r="L526" s="6">
        <v>0.33333333333333298</v>
      </c>
      <c r="M526" s="6">
        <v>0.33333333333333298</v>
      </c>
      <c r="N526" s="3" t="s">
        <v>58</v>
      </c>
      <c r="O526" s="3" t="s">
        <v>59</v>
      </c>
      <c r="P526" s="3" t="s">
        <v>877</v>
      </c>
      <c r="Q526" s="3" t="s">
        <v>2606</v>
      </c>
      <c r="R526" s="3" t="s">
        <v>1139</v>
      </c>
      <c r="S526" s="3" t="s">
        <v>2607</v>
      </c>
      <c r="T526" s="3" t="s">
        <v>2608</v>
      </c>
      <c r="U526" s="11" t="s">
        <v>2609</v>
      </c>
      <c r="V526" s="11" t="s">
        <v>1009</v>
      </c>
      <c r="W526" s="11" t="s">
        <v>1010</v>
      </c>
      <c r="X526" s="13">
        <v>0.8</v>
      </c>
      <c r="Y526" s="12" t="s">
        <v>2363</v>
      </c>
      <c r="Z526" s="11" t="s">
        <v>2610</v>
      </c>
      <c r="AA526" s="11"/>
      <c r="AB526" s="11"/>
      <c r="AC526" s="11">
        <v>0</v>
      </c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 t="s">
        <v>1019</v>
      </c>
      <c r="AO526" s="11" t="s">
        <v>1604</v>
      </c>
      <c r="AP526" s="11" t="s">
        <v>1114</v>
      </c>
      <c r="AQ526" s="11"/>
      <c r="AR526" s="11" t="s">
        <v>1034</v>
      </c>
      <c r="AS526" s="11"/>
      <c r="AT526" s="11" t="s">
        <v>1034</v>
      </c>
      <c r="AU526" s="11"/>
      <c r="AV526" s="11"/>
      <c r="AW526" s="12">
        <v>1</v>
      </c>
      <c r="AX526" s="12">
        <v>1</v>
      </c>
      <c r="AY526" s="12">
        <v>1</v>
      </c>
      <c r="AZ526" s="12"/>
      <c r="BA526" s="12"/>
      <c r="BB526" s="12"/>
      <c r="BC526" s="12"/>
      <c r="BD526" s="11" t="s">
        <v>1115</v>
      </c>
      <c r="BE526" s="11" t="s">
        <v>1116</v>
      </c>
    </row>
    <row r="527" spans="1:57" s="8" customFormat="1" ht="72.5" x14ac:dyDescent="0.35">
      <c r="A527" s="7" t="s">
        <v>694</v>
      </c>
      <c r="B527" s="7" t="s">
        <v>695</v>
      </c>
      <c r="C527" s="3" t="s">
        <v>876</v>
      </c>
      <c r="D527" s="3" t="s">
        <v>98</v>
      </c>
      <c r="E527" s="3"/>
      <c r="F527" s="3" t="s">
        <v>53</v>
      </c>
      <c r="G527" s="3" t="s">
        <v>50</v>
      </c>
      <c r="H527" s="4">
        <v>914</v>
      </c>
      <c r="I527" s="4">
        <v>300</v>
      </c>
      <c r="J527" s="3" t="s">
        <v>26</v>
      </c>
      <c r="K527" s="4" t="b">
        <v>0</v>
      </c>
      <c r="L527" s="6">
        <v>0.5</v>
      </c>
      <c r="M527" s="6">
        <v>0.5</v>
      </c>
      <c r="N527" s="3" t="s">
        <v>58</v>
      </c>
      <c r="O527" s="3" t="s">
        <v>99</v>
      </c>
      <c r="P527" s="3" t="s">
        <v>877</v>
      </c>
      <c r="Q527" s="3" t="s">
        <v>2606</v>
      </c>
      <c r="R527" s="3" t="s">
        <v>1139</v>
      </c>
      <c r="S527" s="3" t="s">
        <v>2607</v>
      </c>
      <c r="T527" s="3" t="s">
        <v>2608</v>
      </c>
      <c r="U527" s="11" t="s">
        <v>2609</v>
      </c>
      <c r="V527" s="11" t="s">
        <v>1009</v>
      </c>
      <c r="W527" s="11" t="s">
        <v>1010</v>
      </c>
      <c r="X527" s="13">
        <v>0.8</v>
      </c>
      <c r="Y527" s="12" t="s">
        <v>2363</v>
      </c>
      <c r="Z527" s="11" t="s">
        <v>2610</v>
      </c>
      <c r="AA527" s="11"/>
      <c r="AB527" s="11"/>
      <c r="AC527" s="11">
        <v>0</v>
      </c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 t="s">
        <v>1019</v>
      </c>
      <c r="AO527" s="11" t="s">
        <v>1604</v>
      </c>
      <c r="AP527" s="11" t="s">
        <v>1114</v>
      </c>
      <c r="AQ527" s="11"/>
      <c r="AR527" s="11" t="s">
        <v>1034</v>
      </c>
      <c r="AS527" s="11"/>
      <c r="AT527" s="11" t="s">
        <v>1034</v>
      </c>
      <c r="AU527" s="11"/>
      <c r="AV527" s="11"/>
      <c r="AW527" s="12">
        <v>1</v>
      </c>
      <c r="AX527" s="12">
        <v>1</v>
      </c>
      <c r="AY527" s="12">
        <v>1</v>
      </c>
      <c r="AZ527" s="12"/>
      <c r="BA527" s="12"/>
      <c r="BB527" s="12"/>
      <c r="BC527" s="12"/>
      <c r="BD527" s="11" t="s">
        <v>1115</v>
      </c>
      <c r="BE527" s="11" t="s">
        <v>1116</v>
      </c>
    </row>
    <row r="528" spans="1:57" s="8" customFormat="1" ht="72.5" x14ac:dyDescent="0.35">
      <c r="A528" s="7" t="s">
        <v>694</v>
      </c>
      <c r="B528" s="7" t="s">
        <v>695</v>
      </c>
      <c r="C528" s="3" t="s">
        <v>878</v>
      </c>
      <c r="D528" s="3" t="s">
        <v>41</v>
      </c>
      <c r="E528" s="3"/>
      <c r="F528" s="3" t="s">
        <v>36</v>
      </c>
      <c r="G528" s="3" t="s">
        <v>50</v>
      </c>
      <c r="H528" s="4">
        <v>325</v>
      </c>
      <c r="I528" s="4">
        <v>150</v>
      </c>
      <c r="J528" s="3" t="s">
        <v>26</v>
      </c>
      <c r="K528" s="4" t="b">
        <v>1</v>
      </c>
      <c r="L528" s="6">
        <v>1</v>
      </c>
      <c r="M528" s="6">
        <v>1</v>
      </c>
      <c r="N528" s="3" t="s">
        <v>42</v>
      </c>
      <c r="O528" s="3"/>
      <c r="P528" s="3" t="s">
        <v>879</v>
      </c>
      <c r="Q528" s="3" t="s">
        <v>2612</v>
      </c>
      <c r="R528" s="3" t="s">
        <v>2186</v>
      </c>
      <c r="S528" s="3" t="s">
        <v>2613</v>
      </c>
      <c r="T528" s="3" t="s">
        <v>1007</v>
      </c>
      <c r="U528" s="11" t="s">
        <v>2614</v>
      </c>
      <c r="V528" s="11" t="s">
        <v>1031</v>
      </c>
      <c r="W528" s="11" t="s">
        <v>1032</v>
      </c>
      <c r="X528" s="13">
        <v>0.7</v>
      </c>
      <c r="Y528" s="12"/>
      <c r="Z528" s="11"/>
      <c r="AA528" s="11"/>
      <c r="AB528" s="11"/>
      <c r="AC528" s="11">
        <v>0</v>
      </c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 t="s">
        <v>1019</v>
      </c>
      <c r="AO528" s="11" t="s">
        <v>1825</v>
      </c>
      <c r="AP528" s="11" t="s">
        <v>1114</v>
      </c>
      <c r="AQ528" s="11"/>
      <c r="AR528" s="11" t="s">
        <v>1034</v>
      </c>
      <c r="AS528" s="11"/>
      <c r="AT528" s="11" t="s">
        <v>1034</v>
      </c>
      <c r="AU528" s="11"/>
      <c r="AV528" s="11"/>
      <c r="AW528" s="12">
        <v>1</v>
      </c>
      <c r="AX528" s="12">
        <v>1</v>
      </c>
      <c r="AY528" s="12">
        <v>1</v>
      </c>
      <c r="AZ528" s="12"/>
      <c r="BA528" s="12"/>
      <c r="BB528" s="12"/>
      <c r="BC528" s="12"/>
      <c r="BD528" s="11" t="s">
        <v>1115</v>
      </c>
      <c r="BE528" s="11" t="s">
        <v>1116</v>
      </c>
    </row>
    <row r="529" spans="1:57" s="8" customFormat="1" ht="87" x14ac:dyDescent="0.35">
      <c r="A529" s="7" t="s">
        <v>694</v>
      </c>
      <c r="B529" s="7" t="s">
        <v>695</v>
      </c>
      <c r="C529" s="3" t="s">
        <v>880</v>
      </c>
      <c r="D529" s="3" t="s">
        <v>52</v>
      </c>
      <c r="E529" s="3"/>
      <c r="F529" s="3" t="s">
        <v>53</v>
      </c>
      <c r="G529" s="3" t="s">
        <v>50</v>
      </c>
      <c r="H529" s="4">
        <v>650</v>
      </c>
      <c r="I529" s="4">
        <v>500</v>
      </c>
      <c r="J529" s="3" t="s">
        <v>26</v>
      </c>
      <c r="K529" s="4" t="b">
        <v>0</v>
      </c>
      <c r="L529" s="6">
        <v>0.33333333333333298</v>
      </c>
      <c r="M529" s="6">
        <v>0.33333333333333298</v>
      </c>
      <c r="N529" s="3" t="s">
        <v>54</v>
      </c>
      <c r="O529" s="3" t="s">
        <v>55</v>
      </c>
      <c r="P529" s="3" t="s">
        <v>323</v>
      </c>
      <c r="Q529" s="3" t="s">
        <v>1747</v>
      </c>
      <c r="R529" s="3" t="s">
        <v>1074</v>
      </c>
      <c r="S529" s="3" t="s">
        <v>1006</v>
      </c>
      <c r="T529" s="3" t="s">
        <v>1007</v>
      </c>
      <c r="U529" s="11" t="s">
        <v>2615</v>
      </c>
      <c r="V529" s="11" t="s">
        <v>1096</v>
      </c>
      <c r="W529" s="11" t="s">
        <v>1097</v>
      </c>
      <c r="X529" s="13">
        <v>0.65</v>
      </c>
      <c r="Y529" s="12"/>
      <c r="Z529" s="11" t="s">
        <v>1749</v>
      </c>
      <c r="AA529" s="11"/>
      <c r="AB529" s="11"/>
      <c r="AC529" s="11">
        <v>6</v>
      </c>
      <c r="AD529" s="11" t="s">
        <v>1076</v>
      </c>
      <c r="AE529" s="11" t="s">
        <v>2616</v>
      </c>
      <c r="AF529" s="11" t="s">
        <v>1014</v>
      </c>
      <c r="AG529" s="11" t="s">
        <v>1015</v>
      </c>
      <c r="AH529" s="11" t="s">
        <v>1579</v>
      </c>
      <c r="AI529" s="11" t="s">
        <v>1016</v>
      </c>
      <c r="AJ529" s="11"/>
      <c r="AK529" s="11" t="s">
        <v>1079</v>
      </c>
      <c r="AL529" s="11" t="s">
        <v>1017</v>
      </c>
      <c r="AM529" s="11" t="s">
        <v>1080</v>
      </c>
      <c r="AN529" s="11" t="s">
        <v>1019</v>
      </c>
      <c r="AO529" s="11" t="s">
        <v>1751</v>
      </c>
      <c r="AP529" s="11" t="s">
        <v>1021</v>
      </c>
      <c r="AQ529" s="11" t="s">
        <v>1752</v>
      </c>
      <c r="AR529" s="11" t="s">
        <v>1048</v>
      </c>
      <c r="AS529" s="11" t="s">
        <v>1753</v>
      </c>
      <c r="AT529" s="11" t="s">
        <v>1050</v>
      </c>
      <c r="AU529" s="11" t="s">
        <v>1752</v>
      </c>
      <c r="AV529" s="11" t="s">
        <v>1753</v>
      </c>
      <c r="AW529" s="12">
        <v>1</v>
      </c>
      <c r="AX529" s="12">
        <v>1</v>
      </c>
      <c r="AY529" s="12">
        <v>1</v>
      </c>
      <c r="AZ529" s="12">
        <v>1</v>
      </c>
      <c r="BA529" s="12">
        <v>2</v>
      </c>
      <c r="BB529" s="12">
        <v>1</v>
      </c>
      <c r="BC529" s="12">
        <v>1</v>
      </c>
      <c r="BD529" s="11" t="s">
        <v>1026</v>
      </c>
      <c r="BE529" s="11" t="s">
        <v>1051</v>
      </c>
    </row>
    <row r="530" spans="1:57" s="8" customFormat="1" ht="58" x14ac:dyDescent="0.35">
      <c r="A530" s="7" t="s">
        <v>694</v>
      </c>
      <c r="B530" s="7" t="s">
        <v>695</v>
      </c>
      <c r="C530" s="3" t="s">
        <v>881</v>
      </c>
      <c r="D530" s="3" t="s">
        <v>57</v>
      </c>
      <c r="E530" s="3"/>
      <c r="F530" s="3" t="s">
        <v>53</v>
      </c>
      <c r="G530" s="3" t="s">
        <v>50</v>
      </c>
      <c r="H530" s="4">
        <v>721</v>
      </c>
      <c r="I530" s="4">
        <v>300</v>
      </c>
      <c r="J530" s="3" t="s">
        <v>26</v>
      </c>
      <c r="K530" s="4" t="b">
        <v>0</v>
      </c>
      <c r="L530" s="6">
        <v>0.33333333333333298</v>
      </c>
      <c r="M530" s="6">
        <v>0.33333333333333298</v>
      </c>
      <c r="N530" s="3" t="s">
        <v>58</v>
      </c>
      <c r="O530" s="3" t="s">
        <v>59</v>
      </c>
      <c r="P530" s="3" t="s">
        <v>265</v>
      </c>
      <c r="Q530" s="3" t="s">
        <v>2617</v>
      </c>
      <c r="R530" s="3" t="s">
        <v>1029</v>
      </c>
      <c r="S530" s="3" t="s">
        <v>1006</v>
      </c>
      <c r="T530" s="3" t="s">
        <v>1007</v>
      </c>
      <c r="U530" s="11" t="s">
        <v>2618</v>
      </c>
      <c r="V530" s="11" t="s">
        <v>1031</v>
      </c>
      <c r="W530" s="11" t="s">
        <v>1032</v>
      </c>
      <c r="X530" s="13">
        <v>0.7</v>
      </c>
      <c r="Y530" s="12"/>
      <c r="Z530" s="11"/>
      <c r="AA530" s="11"/>
      <c r="AB530" s="11"/>
      <c r="AC530" s="11">
        <v>0</v>
      </c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 t="s">
        <v>1019</v>
      </c>
      <c r="AO530" s="11" t="s">
        <v>1595</v>
      </c>
      <c r="AP530" s="11" t="s">
        <v>1021</v>
      </c>
      <c r="AQ530" s="11" t="s">
        <v>1596</v>
      </c>
      <c r="AR530" s="11" t="s">
        <v>1023</v>
      </c>
      <c r="AS530" s="11" t="s">
        <v>1597</v>
      </c>
      <c r="AT530" s="11" t="s">
        <v>1023</v>
      </c>
      <c r="AU530" s="11" t="s">
        <v>1596</v>
      </c>
      <c r="AV530" s="11" t="s">
        <v>1597</v>
      </c>
      <c r="AW530" s="12">
        <v>2</v>
      </c>
      <c r="AX530" s="12">
        <v>1</v>
      </c>
      <c r="AY530" s="12">
        <v>2</v>
      </c>
      <c r="AZ530" s="12">
        <v>2</v>
      </c>
      <c r="BA530" s="12">
        <v>2</v>
      </c>
      <c r="BB530" s="12">
        <v>2</v>
      </c>
      <c r="BC530" s="12">
        <v>2</v>
      </c>
      <c r="BD530" s="11" t="s">
        <v>1026</v>
      </c>
      <c r="BE530" s="11" t="s">
        <v>1027</v>
      </c>
    </row>
    <row r="531" spans="1:57" s="8" customFormat="1" ht="58" x14ac:dyDescent="0.35">
      <c r="A531" s="7" t="s">
        <v>694</v>
      </c>
      <c r="B531" s="7" t="s">
        <v>695</v>
      </c>
      <c r="C531" s="3" t="s">
        <v>882</v>
      </c>
      <c r="D531" s="3" t="s">
        <v>57</v>
      </c>
      <c r="E531" s="3"/>
      <c r="F531" s="3" t="s">
        <v>53</v>
      </c>
      <c r="G531" s="3" t="s">
        <v>50</v>
      </c>
      <c r="H531" s="4">
        <v>822</v>
      </c>
      <c r="I531" s="4">
        <v>300</v>
      </c>
      <c r="J531" s="3" t="s">
        <v>26</v>
      </c>
      <c r="K531" s="4" t="b">
        <v>0</v>
      </c>
      <c r="L531" s="6">
        <v>0.33333333333333298</v>
      </c>
      <c r="M531" s="6">
        <v>0.33333333333333298</v>
      </c>
      <c r="N531" s="3" t="s">
        <v>58</v>
      </c>
      <c r="O531" s="3" t="s">
        <v>59</v>
      </c>
      <c r="P531" s="3" t="s">
        <v>202</v>
      </c>
      <c r="Q531" s="3" t="s">
        <v>1428</v>
      </c>
      <c r="R531" s="3" t="s">
        <v>1029</v>
      </c>
      <c r="S531" s="3" t="s">
        <v>1006</v>
      </c>
      <c r="T531" s="3" t="s">
        <v>1007</v>
      </c>
      <c r="U531" s="11" t="s">
        <v>2619</v>
      </c>
      <c r="V531" s="11" t="s">
        <v>1064</v>
      </c>
      <c r="W531" s="11" t="s">
        <v>1065</v>
      </c>
      <c r="X531" s="13">
        <v>1</v>
      </c>
      <c r="Y531" s="12"/>
      <c r="Z531" s="11"/>
      <c r="AA531" s="11"/>
      <c r="AB531" s="11"/>
      <c r="AC531" s="11">
        <v>0</v>
      </c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 t="s">
        <v>1019</v>
      </c>
      <c r="AO531" s="11" t="s">
        <v>1430</v>
      </c>
      <c r="AP531" s="11" t="s">
        <v>1021</v>
      </c>
      <c r="AQ531" s="11" t="s">
        <v>1431</v>
      </c>
      <c r="AR531" s="11" t="s">
        <v>1048</v>
      </c>
      <c r="AS531" s="11" t="s">
        <v>1432</v>
      </c>
      <c r="AT531" s="11" t="s">
        <v>1025</v>
      </c>
      <c r="AU531" s="11" t="s">
        <v>1433</v>
      </c>
      <c r="AV531" s="11" t="s">
        <v>1432</v>
      </c>
      <c r="AW531" s="12">
        <v>1</v>
      </c>
      <c r="AX531" s="12">
        <v>2</v>
      </c>
      <c r="AY531" s="12">
        <v>2</v>
      </c>
      <c r="AZ531" s="12">
        <v>1</v>
      </c>
      <c r="BA531" s="12">
        <v>3</v>
      </c>
      <c r="BB531" s="12">
        <v>2</v>
      </c>
      <c r="BC531" s="12">
        <v>1</v>
      </c>
      <c r="BD531" s="11" t="s">
        <v>1026</v>
      </c>
      <c r="BE531" s="11" t="s">
        <v>1027</v>
      </c>
    </row>
    <row r="532" spans="1:57" s="8" customFormat="1" ht="58" x14ac:dyDescent="0.35">
      <c r="A532" s="7" t="s">
        <v>694</v>
      </c>
      <c r="B532" s="7" t="s">
        <v>695</v>
      </c>
      <c r="C532" s="3" t="s">
        <v>883</v>
      </c>
      <c r="D532" s="3" t="s">
        <v>30</v>
      </c>
      <c r="E532" s="3" t="s">
        <v>30</v>
      </c>
      <c r="F532" s="3" t="s">
        <v>31</v>
      </c>
      <c r="G532" s="3" t="s">
        <v>25</v>
      </c>
      <c r="H532" s="4">
        <v>376</v>
      </c>
      <c r="I532" s="4">
        <v>250</v>
      </c>
      <c r="J532" s="3" t="s">
        <v>26</v>
      </c>
      <c r="K532" s="4" t="b">
        <v>1</v>
      </c>
      <c r="L532" s="6">
        <v>1</v>
      </c>
      <c r="M532" s="6">
        <v>1</v>
      </c>
      <c r="N532" s="3" t="s">
        <v>32</v>
      </c>
      <c r="O532" s="3"/>
      <c r="P532" s="3" t="s">
        <v>182</v>
      </c>
      <c r="Q532" s="3" t="s">
        <v>1370</v>
      </c>
      <c r="R532" s="3" t="s">
        <v>1074</v>
      </c>
      <c r="S532" s="3" t="s">
        <v>1006</v>
      </c>
      <c r="T532" s="3" t="s">
        <v>1007</v>
      </c>
      <c r="U532" s="11" t="s">
        <v>2620</v>
      </c>
      <c r="V532" s="11" t="s">
        <v>1031</v>
      </c>
      <c r="W532" s="11" t="s">
        <v>1032</v>
      </c>
      <c r="X532" s="13">
        <v>1</v>
      </c>
      <c r="Y532" s="12"/>
      <c r="Z532" s="11"/>
      <c r="AA532" s="11"/>
      <c r="AB532" s="11"/>
      <c r="AC532" s="11">
        <v>0</v>
      </c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 t="s">
        <v>1019</v>
      </c>
      <c r="AO532" s="11" t="s">
        <v>1372</v>
      </c>
      <c r="AP532" s="11" t="s">
        <v>1021</v>
      </c>
      <c r="AQ532" s="11" t="s">
        <v>1373</v>
      </c>
      <c r="AR532" s="11" t="s">
        <v>1023</v>
      </c>
      <c r="AS532" s="11" t="s">
        <v>1374</v>
      </c>
      <c r="AT532" s="11" t="s">
        <v>1023</v>
      </c>
      <c r="AU532" s="11" t="s">
        <v>1373</v>
      </c>
      <c r="AV532" s="11" t="s">
        <v>1374</v>
      </c>
      <c r="AW532" s="12">
        <v>5</v>
      </c>
      <c r="AX532" s="12">
        <v>4</v>
      </c>
      <c r="AY532" s="12">
        <v>6</v>
      </c>
      <c r="AZ532" s="12">
        <v>6</v>
      </c>
      <c r="BA532" s="12">
        <v>5</v>
      </c>
      <c r="BB532" s="12">
        <v>6</v>
      </c>
      <c r="BC532" s="12">
        <v>4</v>
      </c>
      <c r="BD532" s="11" t="s">
        <v>1026</v>
      </c>
      <c r="BE532" s="11" t="s">
        <v>1027</v>
      </c>
    </row>
    <row r="533" spans="1:57" s="8" customFormat="1" ht="58" x14ac:dyDescent="0.35">
      <c r="A533" s="7" t="s">
        <v>694</v>
      </c>
      <c r="B533" s="7" t="s">
        <v>695</v>
      </c>
      <c r="C533" s="3" t="s">
        <v>884</v>
      </c>
      <c r="D533" s="3" t="s">
        <v>57</v>
      </c>
      <c r="E533" s="3"/>
      <c r="F533" s="3" t="s">
        <v>53</v>
      </c>
      <c r="G533" s="3" t="s">
        <v>50</v>
      </c>
      <c r="H533" s="4">
        <v>378</v>
      </c>
      <c r="I533" s="4">
        <v>300</v>
      </c>
      <c r="J533" s="3" t="s">
        <v>26</v>
      </c>
      <c r="K533" s="4" t="b">
        <v>0</v>
      </c>
      <c r="L533" s="6">
        <v>0.33333333333333298</v>
      </c>
      <c r="M533" s="6">
        <v>0.33333333333333298</v>
      </c>
      <c r="N533" s="3" t="s">
        <v>58</v>
      </c>
      <c r="O533" s="3" t="s">
        <v>59</v>
      </c>
      <c r="P533" s="3" t="s">
        <v>134</v>
      </c>
      <c r="Q533" s="3" t="s">
        <v>1257</v>
      </c>
      <c r="R533" s="3" t="s">
        <v>1029</v>
      </c>
      <c r="S533" s="3" t="s">
        <v>1006</v>
      </c>
      <c r="T533" s="3" t="s">
        <v>1007</v>
      </c>
      <c r="U533" s="11" t="s">
        <v>2621</v>
      </c>
      <c r="V533" s="11" t="s">
        <v>1031</v>
      </c>
      <c r="W533" s="11" t="s">
        <v>1032</v>
      </c>
      <c r="X533" s="13">
        <v>0.7</v>
      </c>
      <c r="Y533" s="12"/>
      <c r="Z533" s="11"/>
      <c r="AA533" s="11"/>
      <c r="AB533" s="11"/>
      <c r="AC533" s="11">
        <v>0</v>
      </c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 t="s">
        <v>1019</v>
      </c>
      <c r="AO533" s="11" t="s">
        <v>1259</v>
      </c>
      <c r="AP533" s="11" t="s">
        <v>1021</v>
      </c>
      <c r="AQ533" s="11" t="s">
        <v>1260</v>
      </c>
      <c r="AR533" s="11" t="s">
        <v>1023</v>
      </c>
      <c r="AS533" s="11" t="s">
        <v>1261</v>
      </c>
      <c r="AT533" s="11" t="s">
        <v>1025</v>
      </c>
      <c r="AU533" s="11" t="s">
        <v>1260</v>
      </c>
      <c r="AV533" s="11" t="s">
        <v>1261</v>
      </c>
      <c r="AW533" s="12">
        <v>3</v>
      </c>
      <c r="AX533" s="12">
        <v>3</v>
      </c>
      <c r="AY533" s="12">
        <v>4</v>
      </c>
      <c r="AZ533" s="12">
        <v>4</v>
      </c>
      <c r="BA533" s="12">
        <v>2</v>
      </c>
      <c r="BB533" s="12">
        <v>4</v>
      </c>
      <c r="BC533" s="12">
        <v>1</v>
      </c>
      <c r="BD533" s="11" t="s">
        <v>1026</v>
      </c>
      <c r="BE533" s="11" t="s">
        <v>1027</v>
      </c>
    </row>
    <row r="534" spans="1:57" s="8" customFormat="1" ht="43.5" x14ac:dyDescent="0.35">
      <c r="A534" s="7" t="s">
        <v>694</v>
      </c>
      <c r="B534" s="7" t="s">
        <v>695</v>
      </c>
      <c r="C534" s="3" t="s">
        <v>885</v>
      </c>
      <c r="D534" s="3" t="s">
        <v>57</v>
      </c>
      <c r="E534" s="3"/>
      <c r="F534" s="3" t="s">
        <v>53</v>
      </c>
      <c r="G534" s="3" t="s">
        <v>50</v>
      </c>
      <c r="H534" s="4">
        <v>350</v>
      </c>
      <c r="I534" s="4">
        <v>300</v>
      </c>
      <c r="J534" s="3" t="s">
        <v>26</v>
      </c>
      <c r="K534" s="4" t="b">
        <v>0</v>
      </c>
      <c r="L534" s="6">
        <v>0.33333333333333298</v>
      </c>
      <c r="M534" s="6">
        <v>0.33333333333333298</v>
      </c>
      <c r="N534" s="3" t="s">
        <v>58</v>
      </c>
      <c r="O534" s="3" t="s">
        <v>59</v>
      </c>
      <c r="P534" s="3" t="s">
        <v>886</v>
      </c>
      <c r="Q534" s="3" t="s">
        <v>2622</v>
      </c>
      <c r="R534" s="3" t="s">
        <v>1029</v>
      </c>
      <c r="S534" s="3" t="s">
        <v>1006</v>
      </c>
      <c r="T534" s="3" t="s">
        <v>1007</v>
      </c>
      <c r="U534" s="11" t="s">
        <v>2623</v>
      </c>
      <c r="V534" s="11" t="s">
        <v>1031</v>
      </c>
      <c r="W534" s="11" t="s">
        <v>1032</v>
      </c>
      <c r="X534" s="13">
        <v>0.66</v>
      </c>
      <c r="Y534" s="12"/>
      <c r="Z534" s="11"/>
      <c r="AA534" s="11"/>
      <c r="AB534" s="11"/>
      <c r="AC534" s="11">
        <v>0</v>
      </c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 t="s">
        <v>1019</v>
      </c>
      <c r="AO534" s="11" t="s">
        <v>2624</v>
      </c>
      <c r="AP534" s="11" t="s">
        <v>1021</v>
      </c>
      <c r="AQ534" s="11" t="s">
        <v>2625</v>
      </c>
      <c r="AR534" s="11" t="s">
        <v>1050</v>
      </c>
      <c r="AS534" s="11" t="s">
        <v>2626</v>
      </c>
      <c r="AT534" s="11" t="s">
        <v>1050</v>
      </c>
      <c r="AU534" s="11" t="s">
        <v>2625</v>
      </c>
      <c r="AV534" s="11" t="s">
        <v>2626</v>
      </c>
      <c r="AW534" s="12">
        <v>1</v>
      </c>
      <c r="AX534" s="12">
        <v>1</v>
      </c>
      <c r="AY534" s="12">
        <v>1</v>
      </c>
      <c r="AZ534" s="12">
        <v>1</v>
      </c>
      <c r="BA534" s="12">
        <v>1</v>
      </c>
      <c r="BB534" s="12">
        <v>1</v>
      </c>
      <c r="BC534" s="12">
        <v>1</v>
      </c>
      <c r="BD534" s="11" t="s">
        <v>1026</v>
      </c>
      <c r="BE534" s="11" t="s">
        <v>1103</v>
      </c>
    </row>
    <row r="535" spans="1:57" s="8" customFormat="1" ht="58" x14ac:dyDescent="0.35">
      <c r="A535" s="7" t="s">
        <v>694</v>
      </c>
      <c r="B535" s="7" t="s">
        <v>695</v>
      </c>
      <c r="C535" s="3" t="s">
        <v>887</v>
      </c>
      <c r="D535" s="3" t="s">
        <v>172</v>
      </c>
      <c r="E535" s="3"/>
      <c r="F535" s="3" t="s">
        <v>31</v>
      </c>
      <c r="G535" s="3" t="s">
        <v>50</v>
      </c>
      <c r="H535" s="4">
        <v>140</v>
      </c>
      <c r="I535" s="4">
        <v>90</v>
      </c>
      <c r="J535" s="3" t="s">
        <v>26</v>
      </c>
      <c r="K535" s="4" t="b">
        <v>1</v>
      </c>
      <c r="L535" s="6">
        <v>1</v>
      </c>
      <c r="M535" s="6">
        <v>1</v>
      </c>
      <c r="N535" s="3" t="s">
        <v>173</v>
      </c>
      <c r="O535" s="3"/>
      <c r="P535" s="3" t="s">
        <v>174</v>
      </c>
      <c r="Q535" s="3" t="s">
        <v>1349</v>
      </c>
      <c r="R535" s="3" t="s">
        <v>1029</v>
      </c>
      <c r="S535" s="3" t="s">
        <v>1006</v>
      </c>
      <c r="T535" s="3" t="s">
        <v>1007</v>
      </c>
      <c r="U535" s="11" t="s">
        <v>2627</v>
      </c>
      <c r="V535" s="11" t="s">
        <v>1031</v>
      </c>
      <c r="W535" s="11" t="s">
        <v>1032</v>
      </c>
      <c r="X535" s="13">
        <v>0.7</v>
      </c>
      <c r="Y535" s="12"/>
      <c r="Z535" s="11"/>
      <c r="AA535" s="11"/>
      <c r="AB535" s="11"/>
      <c r="AC535" s="11">
        <v>0</v>
      </c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 t="s">
        <v>1019</v>
      </c>
      <c r="AO535" s="11" t="s">
        <v>1351</v>
      </c>
      <c r="AP535" s="11" t="s">
        <v>1021</v>
      </c>
      <c r="AQ535" s="11" t="s">
        <v>1352</v>
      </c>
      <c r="AR535" s="11" t="s">
        <v>1023</v>
      </c>
      <c r="AS535" s="11" t="s">
        <v>1353</v>
      </c>
      <c r="AT535" s="11" t="s">
        <v>1025</v>
      </c>
      <c r="AU535" s="11" t="s">
        <v>1352</v>
      </c>
      <c r="AV535" s="11" t="s">
        <v>1353</v>
      </c>
      <c r="AW535" s="12">
        <v>1</v>
      </c>
      <c r="AX535" s="12">
        <v>3</v>
      </c>
      <c r="AY535" s="12">
        <v>3</v>
      </c>
      <c r="AZ535" s="12">
        <v>3</v>
      </c>
      <c r="BA535" s="12">
        <v>4</v>
      </c>
      <c r="BB535" s="12">
        <v>3</v>
      </c>
      <c r="BC535" s="12">
        <v>1</v>
      </c>
      <c r="BD535" s="11" t="s">
        <v>1026</v>
      </c>
      <c r="BE535" s="11" t="s">
        <v>1027</v>
      </c>
    </row>
    <row r="536" spans="1:57" s="8" customFormat="1" ht="72.5" x14ac:dyDescent="0.35">
      <c r="A536" s="7" t="s">
        <v>694</v>
      </c>
      <c r="B536" s="7" t="s">
        <v>695</v>
      </c>
      <c r="C536" s="3" t="s">
        <v>888</v>
      </c>
      <c r="D536" s="3" t="s">
        <v>41</v>
      </c>
      <c r="E536" s="3" t="s">
        <v>41</v>
      </c>
      <c r="F536" s="3" t="s">
        <v>36</v>
      </c>
      <c r="G536" s="3" t="s">
        <v>25</v>
      </c>
      <c r="H536" s="4">
        <v>1674</v>
      </c>
      <c r="I536" s="4">
        <v>150</v>
      </c>
      <c r="J536" s="3" t="s">
        <v>26</v>
      </c>
      <c r="K536" s="4" t="b">
        <v>1</v>
      </c>
      <c r="L536" s="6">
        <v>1</v>
      </c>
      <c r="M536" s="6">
        <v>1</v>
      </c>
      <c r="N536" s="3" t="s">
        <v>42</v>
      </c>
      <c r="O536" s="3"/>
      <c r="P536" s="3" t="s">
        <v>889</v>
      </c>
      <c r="Q536" s="3" t="s">
        <v>2628</v>
      </c>
      <c r="R536" s="3" t="s">
        <v>1039</v>
      </c>
      <c r="S536" s="3" t="s">
        <v>1110</v>
      </c>
      <c r="T536" s="3" t="s">
        <v>2629</v>
      </c>
      <c r="U536" s="11" t="s">
        <v>2630</v>
      </c>
      <c r="V536" s="11" t="s">
        <v>1043</v>
      </c>
      <c r="W536" s="11" t="s">
        <v>1044</v>
      </c>
      <c r="X536" s="13">
        <v>1</v>
      </c>
      <c r="Y536" s="12"/>
      <c r="Z536" s="11"/>
      <c r="AA536" s="11"/>
      <c r="AB536" s="11"/>
      <c r="AC536" s="11">
        <v>0</v>
      </c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 t="s">
        <v>1019</v>
      </c>
      <c r="AO536" s="11" t="s">
        <v>1113</v>
      </c>
      <c r="AP536" s="11" t="s">
        <v>1114</v>
      </c>
      <c r="AQ536" s="11"/>
      <c r="AR536" s="11" t="s">
        <v>1034</v>
      </c>
      <c r="AS536" s="11"/>
      <c r="AT536" s="11" t="s">
        <v>1034</v>
      </c>
      <c r="AU536" s="11"/>
      <c r="AV536" s="11"/>
      <c r="AW536" s="12">
        <v>1</v>
      </c>
      <c r="AX536" s="12">
        <v>1</v>
      </c>
      <c r="AY536" s="12">
        <v>1</v>
      </c>
      <c r="AZ536" s="12"/>
      <c r="BA536" s="12"/>
      <c r="BB536" s="12"/>
      <c r="BC536" s="12"/>
      <c r="BD536" s="11" t="s">
        <v>1115</v>
      </c>
      <c r="BE536" s="11" t="s">
        <v>1116</v>
      </c>
    </row>
    <row r="537" spans="1:57" s="8" customFormat="1" ht="72.5" x14ac:dyDescent="0.35">
      <c r="A537" s="7" t="s">
        <v>694</v>
      </c>
      <c r="B537" s="7" t="s">
        <v>695</v>
      </c>
      <c r="C537" s="3" t="s">
        <v>890</v>
      </c>
      <c r="D537" s="3" t="s">
        <v>41</v>
      </c>
      <c r="E537" s="3" t="s">
        <v>41</v>
      </c>
      <c r="F537" s="3" t="s">
        <v>36</v>
      </c>
      <c r="G537" s="3" t="s">
        <v>25</v>
      </c>
      <c r="H537" s="4">
        <v>1308</v>
      </c>
      <c r="I537" s="4">
        <v>150</v>
      </c>
      <c r="J537" s="3" t="s">
        <v>26</v>
      </c>
      <c r="K537" s="4" t="b">
        <v>1</v>
      </c>
      <c r="L537" s="6">
        <v>1</v>
      </c>
      <c r="M537" s="6">
        <v>1</v>
      </c>
      <c r="N537" s="3" t="s">
        <v>42</v>
      </c>
      <c r="O537" s="3"/>
      <c r="P537" s="3" t="s">
        <v>891</v>
      </c>
      <c r="Q537" s="3" t="s">
        <v>2631</v>
      </c>
      <c r="R537" s="3" t="s">
        <v>1039</v>
      </c>
      <c r="S537" s="3" t="s">
        <v>1473</v>
      </c>
      <c r="T537" s="3" t="s">
        <v>2632</v>
      </c>
      <c r="U537" s="11" t="s">
        <v>2633</v>
      </c>
      <c r="V537" s="11" t="s">
        <v>1043</v>
      </c>
      <c r="W537" s="11" t="s">
        <v>1044</v>
      </c>
      <c r="X537" s="13">
        <v>0.81</v>
      </c>
      <c r="Y537" s="12" t="s">
        <v>1476</v>
      </c>
      <c r="Z537" s="11"/>
      <c r="AA537" s="11"/>
      <c r="AB537" s="11"/>
      <c r="AC537" s="11">
        <v>0</v>
      </c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 t="s">
        <v>1019</v>
      </c>
      <c r="AO537" s="11" t="s">
        <v>1477</v>
      </c>
      <c r="AP537" s="11" t="s">
        <v>1114</v>
      </c>
      <c r="AQ537" s="11"/>
      <c r="AR537" s="11" t="s">
        <v>1034</v>
      </c>
      <c r="AS537" s="11"/>
      <c r="AT537" s="11" t="s">
        <v>1034</v>
      </c>
      <c r="AU537" s="11"/>
      <c r="AV537" s="11"/>
      <c r="AW537" s="12">
        <v>1</v>
      </c>
      <c r="AX537" s="12">
        <v>1</v>
      </c>
      <c r="AY537" s="12">
        <v>1</v>
      </c>
      <c r="AZ537" s="12"/>
      <c r="BA537" s="12"/>
      <c r="BB537" s="12"/>
      <c r="BC537" s="12"/>
      <c r="BD537" s="11" t="s">
        <v>1115</v>
      </c>
      <c r="BE537" s="11" t="s">
        <v>1116</v>
      </c>
    </row>
    <row r="538" spans="1:57" s="8" customFormat="1" ht="58" x14ac:dyDescent="0.35">
      <c r="A538" s="7" t="s">
        <v>694</v>
      </c>
      <c r="B538" s="7" t="s">
        <v>695</v>
      </c>
      <c r="C538" s="3" t="s">
        <v>892</v>
      </c>
      <c r="D538" s="3" t="s">
        <v>30</v>
      </c>
      <c r="E538" s="3" t="s">
        <v>30</v>
      </c>
      <c r="F538" s="3" t="s">
        <v>31</v>
      </c>
      <c r="G538" s="3" t="s">
        <v>25</v>
      </c>
      <c r="H538" s="4">
        <v>378</v>
      </c>
      <c r="I538" s="4">
        <v>250</v>
      </c>
      <c r="J538" s="3" t="s">
        <v>26</v>
      </c>
      <c r="K538" s="4" t="b">
        <v>1</v>
      </c>
      <c r="L538" s="6">
        <v>1</v>
      </c>
      <c r="M538" s="6">
        <v>1</v>
      </c>
      <c r="N538" s="3" t="s">
        <v>32</v>
      </c>
      <c r="O538" s="3"/>
      <c r="P538" s="3" t="s">
        <v>343</v>
      </c>
      <c r="Q538" s="3" t="s">
        <v>1788</v>
      </c>
      <c r="R538" s="3" t="s">
        <v>1074</v>
      </c>
      <c r="S538" s="3" t="s">
        <v>1006</v>
      </c>
      <c r="T538" s="3" t="s">
        <v>1007</v>
      </c>
      <c r="U538" s="11" t="s">
        <v>2634</v>
      </c>
      <c r="V538" s="11" t="s">
        <v>1031</v>
      </c>
      <c r="W538" s="11" t="s">
        <v>1032</v>
      </c>
      <c r="X538" s="13">
        <v>0.7</v>
      </c>
      <c r="Y538" s="12"/>
      <c r="Z538" s="11"/>
      <c r="AA538" s="11"/>
      <c r="AB538" s="11"/>
      <c r="AC538" s="11">
        <v>0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 t="s">
        <v>1019</v>
      </c>
      <c r="AO538" s="11" t="s">
        <v>1372</v>
      </c>
      <c r="AP538" s="11" t="s">
        <v>1021</v>
      </c>
      <c r="AQ538" s="11" t="s">
        <v>1373</v>
      </c>
      <c r="AR538" s="11" t="s">
        <v>1023</v>
      </c>
      <c r="AS538" s="11" t="s">
        <v>1374</v>
      </c>
      <c r="AT538" s="11" t="s">
        <v>1023</v>
      </c>
      <c r="AU538" s="11" t="s">
        <v>1373</v>
      </c>
      <c r="AV538" s="11" t="s">
        <v>1374</v>
      </c>
      <c r="AW538" s="12">
        <v>5</v>
      </c>
      <c r="AX538" s="12">
        <v>4</v>
      </c>
      <c r="AY538" s="12">
        <v>6</v>
      </c>
      <c r="AZ538" s="12">
        <v>6</v>
      </c>
      <c r="BA538" s="12">
        <v>5</v>
      </c>
      <c r="BB538" s="12">
        <v>6</v>
      </c>
      <c r="BC538" s="12">
        <v>4</v>
      </c>
      <c r="BD538" s="11" t="s">
        <v>1026</v>
      </c>
      <c r="BE538" s="11" t="s">
        <v>1027</v>
      </c>
    </row>
    <row r="539" spans="1:57" s="8" customFormat="1" ht="58" x14ac:dyDescent="0.35">
      <c r="A539" s="7" t="s">
        <v>694</v>
      </c>
      <c r="B539" s="7" t="s">
        <v>695</v>
      </c>
      <c r="C539" s="3" t="s">
        <v>893</v>
      </c>
      <c r="D539" s="3" t="s">
        <v>30</v>
      </c>
      <c r="E539" s="3" t="s">
        <v>30</v>
      </c>
      <c r="F539" s="3" t="s">
        <v>31</v>
      </c>
      <c r="G539" s="3" t="s">
        <v>25</v>
      </c>
      <c r="H539" s="4">
        <v>376</v>
      </c>
      <c r="I539" s="4">
        <v>250</v>
      </c>
      <c r="J539" s="3" t="s">
        <v>26</v>
      </c>
      <c r="K539" s="4" t="b">
        <v>1</v>
      </c>
      <c r="L539" s="6">
        <v>1</v>
      </c>
      <c r="M539" s="6">
        <v>1</v>
      </c>
      <c r="N539" s="3" t="s">
        <v>32</v>
      </c>
      <c r="O539" s="3"/>
      <c r="P539" s="3" t="s">
        <v>182</v>
      </c>
      <c r="Q539" s="3" t="s">
        <v>1370</v>
      </c>
      <c r="R539" s="3" t="s">
        <v>1074</v>
      </c>
      <c r="S539" s="3" t="s">
        <v>1006</v>
      </c>
      <c r="T539" s="3" t="s">
        <v>1007</v>
      </c>
      <c r="U539" s="11" t="s">
        <v>2635</v>
      </c>
      <c r="V539" s="11" t="s">
        <v>1031</v>
      </c>
      <c r="W539" s="11" t="s">
        <v>1032</v>
      </c>
      <c r="X539" s="13">
        <v>0.7</v>
      </c>
      <c r="Y539" s="12"/>
      <c r="Z539" s="11"/>
      <c r="AA539" s="11"/>
      <c r="AB539" s="11"/>
      <c r="AC539" s="11">
        <v>0</v>
      </c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 t="s">
        <v>1019</v>
      </c>
      <c r="AO539" s="11" t="s">
        <v>1372</v>
      </c>
      <c r="AP539" s="11" t="s">
        <v>1021</v>
      </c>
      <c r="AQ539" s="11" t="s">
        <v>1373</v>
      </c>
      <c r="AR539" s="11" t="s">
        <v>1023</v>
      </c>
      <c r="AS539" s="11" t="s">
        <v>1374</v>
      </c>
      <c r="AT539" s="11" t="s">
        <v>1023</v>
      </c>
      <c r="AU539" s="11" t="s">
        <v>1373</v>
      </c>
      <c r="AV539" s="11" t="s">
        <v>1374</v>
      </c>
      <c r="AW539" s="12">
        <v>5</v>
      </c>
      <c r="AX539" s="12">
        <v>4</v>
      </c>
      <c r="AY539" s="12">
        <v>6</v>
      </c>
      <c r="AZ539" s="12">
        <v>6</v>
      </c>
      <c r="BA539" s="12">
        <v>5</v>
      </c>
      <c r="BB539" s="12">
        <v>6</v>
      </c>
      <c r="BC539" s="12">
        <v>4</v>
      </c>
      <c r="BD539" s="11" t="s">
        <v>1026</v>
      </c>
      <c r="BE539" s="11" t="s">
        <v>1027</v>
      </c>
    </row>
    <row r="540" spans="1:57" s="8" customFormat="1" ht="58" x14ac:dyDescent="0.35">
      <c r="A540" s="7" t="s">
        <v>694</v>
      </c>
      <c r="B540" s="7" t="s">
        <v>695</v>
      </c>
      <c r="C540" s="3" t="s">
        <v>894</v>
      </c>
      <c r="D540" s="3" t="s">
        <v>30</v>
      </c>
      <c r="E540" s="3" t="s">
        <v>30</v>
      </c>
      <c r="F540" s="3" t="s">
        <v>31</v>
      </c>
      <c r="G540" s="3" t="s">
        <v>25</v>
      </c>
      <c r="H540" s="4">
        <v>421</v>
      </c>
      <c r="I540" s="4">
        <v>250</v>
      </c>
      <c r="J540" s="3" t="s">
        <v>26</v>
      </c>
      <c r="K540" s="4" t="b">
        <v>1</v>
      </c>
      <c r="L540" s="6">
        <v>1</v>
      </c>
      <c r="M540" s="6">
        <v>1</v>
      </c>
      <c r="N540" s="3" t="s">
        <v>32</v>
      </c>
      <c r="O540" s="3"/>
      <c r="P540" s="3" t="s">
        <v>895</v>
      </c>
      <c r="Q540" s="3" t="s">
        <v>1921</v>
      </c>
      <c r="R540" s="3" t="s">
        <v>1074</v>
      </c>
      <c r="S540" s="3" t="s">
        <v>1006</v>
      </c>
      <c r="T540" s="3" t="s">
        <v>1007</v>
      </c>
      <c r="U540" s="11" t="s">
        <v>2636</v>
      </c>
      <c r="V540" s="11" t="s">
        <v>1031</v>
      </c>
      <c r="W540" s="11" t="s">
        <v>1032</v>
      </c>
      <c r="X540" s="13">
        <v>1</v>
      </c>
      <c r="Y540" s="12"/>
      <c r="Z540" s="11"/>
      <c r="AA540" s="11"/>
      <c r="AB540" s="11"/>
      <c r="AC540" s="11">
        <v>0</v>
      </c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 t="s">
        <v>1019</v>
      </c>
      <c r="AO540" s="11" t="s">
        <v>1923</v>
      </c>
      <c r="AP540" s="11" t="s">
        <v>1021</v>
      </c>
      <c r="AQ540" s="11" t="s">
        <v>1924</v>
      </c>
      <c r="AR540" s="11" t="s">
        <v>1048</v>
      </c>
      <c r="AS540" s="11" t="s">
        <v>1925</v>
      </c>
      <c r="AT540" s="11" t="s">
        <v>1050</v>
      </c>
      <c r="AU540" s="11" t="s">
        <v>1924</v>
      </c>
      <c r="AV540" s="11" t="s">
        <v>1925</v>
      </c>
      <c r="AW540" s="12">
        <v>1</v>
      </c>
      <c r="AX540" s="12">
        <v>1</v>
      </c>
      <c r="AY540" s="12">
        <v>1</v>
      </c>
      <c r="AZ540" s="12">
        <v>1</v>
      </c>
      <c r="BA540" s="12">
        <v>2</v>
      </c>
      <c r="BB540" s="12">
        <v>1</v>
      </c>
      <c r="BC540" s="12">
        <v>1</v>
      </c>
      <c r="BD540" s="11" t="s">
        <v>1026</v>
      </c>
      <c r="BE540" s="11" t="s">
        <v>1051</v>
      </c>
    </row>
    <row r="541" spans="1:57" s="8" customFormat="1" ht="58" x14ac:dyDescent="0.35">
      <c r="A541" s="7" t="s">
        <v>694</v>
      </c>
      <c r="B541" s="7" t="s">
        <v>695</v>
      </c>
      <c r="C541" s="3" t="s">
        <v>896</v>
      </c>
      <c r="D541" s="3" t="s">
        <v>52</v>
      </c>
      <c r="E541" s="3"/>
      <c r="F541" s="3" t="s">
        <v>53</v>
      </c>
      <c r="G541" s="3" t="s">
        <v>50</v>
      </c>
      <c r="H541" s="4">
        <v>647</v>
      </c>
      <c r="I541" s="4">
        <v>500</v>
      </c>
      <c r="J541" s="3" t="s">
        <v>26</v>
      </c>
      <c r="K541" s="4" t="b">
        <v>0</v>
      </c>
      <c r="L541" s="6">
        <v>0.33333333333333298</v>
      </c>
      <c r="M541" s="6">
        <v>0.33333333333333298</v>
      </c>
      <c r="N541" s="3" t="s">
        <v>54</v>
      </c>
      <c r="O541" s="3" t="s">
        <v>55</v>
      </c>
      <c r="P541" s="3" t="s">
        <v>473</v>
      </c>
      <c r="Q541" s="3" t="s">
        <v>2035</v>
      </c>
      <c r="R541" s="3" t="s">
        <v>1005</v>
      </c>
      <c r="S541" s="3" t="s">
        <v>1006</v>
      </c>
      <c r="T541" s="3" t="s">
        <v>1007</v>
      </c>
      <c r="U541" s="11" t="s">
        <v>2637</v>
      </c>
      <c r="V541" s="11" t="s">
        <v>1031</v>
      </c>
      <c r="W541" s="11" t="s">
        <v>1032</v>
      </c>
      <c r="X541" s="13">
        <v>0.7</v>
      </c>
      <c r="Y541" s="12"/>
      <c r="Z541" s="11"/>
      <c r="AA541" s="11"/>
      <c r="AB541" s="11"/>
      <c r="AC541" s="11">
        <v>3</v>
      </c>
      <c r="AD541" s="11" t="s">
        <v>1452</v>
      </c>
      <c r="AE541" s="11" t="s">
        <v>2638</v>
      </c>
      <c r="AF541" s="11" t="s">
        <v>1014</v>
      </c>
      <c r="AG541" s="11" t="s">
        <v>1015</v>
      </c>
      <c r="AH541" s="11" t="s">
        <v>1324</v>
      </c>
      <c r="AI541" s="11" t="s">
        <v>1016</v>
      </c>
      <c r="AJ541" s="11"/>
      <c r="AK541" s="11" t="s">
        <v>1454</v>
      </c>
      <c r="AL541" s="11" t="s">
        <v>1017</v>
      </c>
      <c r="AM541" s="11" t="s">
        <v>1455</v>
      </c>
      <c r="AN541" s="11" t="s">
        <v>1019</v>
      </c>
      <c r="AO541" s="11" t="s">
        <v>1325</v>
      </c>
      <c r="AP541" s="11" t="s">
        <v>1021</v>
      </c>
      <c r="AQ541" s="11" t="s">
        <v>1326</v>
      </c>
      <c r="AR541" s="11" t="s">
        <v>1050</v>
      </c>
      <c r="AS541" s="11" t="s">
        <v>1327</v>
      </c>
      <c r="AT541" s="11" t="s">
        <v>1050</v>
      </c>
      <c r="AU541" s="11" t="s">
        <v>1326</v>
      </c>
      <c r="AV541" s="11" t="s">
        <v>1327</v>
      </c>
      <c r="AW541" s="12">
        <v>2</v>
      </c>
      <c r="AX541" s="12">
        <v>1</v>
      </c>
      <c r="AY541" s="12">
        <v>1</v>
      </c>
      <c r="AZ541" s="12">
        <v>1</v>
      </c>
      <c r="BA541" s="12">
        <v>1</v>
      </c>
      <c r="BB541" s="12">
        <v>1</v>
      </c>
      <c r="BC541" s="12">
        <v>1</v>
      </c>
      <c r="BD541" s="11" t="s">
        <v>1026</v>
      </c>
      <c r="BE541" s="11" t="s">
        <v>1103</v>
      </c>
    </row>
    <row r="542" spans="1:57" s="8" customFormat="1" ht="43.5" x14ac:dyDescent="0.35">
      <c r="A542" s="7" t="s">
        <v>694</v>
      </c>
      <c r="B542" s="7" t="s">
        <v>695</v>
      </c>
      <c r="C542" s="3" t="s">
        <v>896</v>
      </c>
      <c r="D542" s="3" t="s">
        <v>57</v>
      </c>
      <c r="E542" s="3" t="s">
        <v>57</v>
      </c>
      <c r="F542" s="3" t="s">
        <v>53</v>
      </c>
      <c r="G542" s="3" t="s">
        <v>25</v>
      </c>
      <c r="H542" s="4">
        <v>647</v>
      </c>
      <c r="I542" s="4">
        <v>300</v>
      </c>
      <c r="J542" s="3" t="s">
        <v>26</v>
      </c>
      <c r="K542" s="4" t="b">
        <v>1</v>
      </c>
      <c r="L542" s="6">
        <v>1</v>
      </c>
      <c r="M542" s="6">
        <v>1</v>
      </c>
      <c r="N542" s="3" t="s">
        <v>62</v>
      </c>
      <c r="O542" s="3"/>
      <c r="P542" s="3" t="s">
        <v>473</v>
      </c>
      <c r="Q542" s="3" t="s">
        <v>2035</v>
      </c>
      <c r="R542" s="3" t="s">
        <v>1005</v>
      </c>
      <c r="S542" s="3" t="s">
        <v>1006</v>
      </c>
      <c r="T542" s="3" t="s">
        <v>1007</v>
      </c>
      <c r="U542" s="11" t="s">
        <v>2637</v>
      </c>
      <c r="V542" s="11" t="s">
        <v>1031</v>
      </c>
      <c r="W542" s="11" t="s">
        <v>1032</v>
      </c>
      <c r="X542" s="13">
        <v>0.7</v>
      </c>
      <c r="Y542" s="12"/>
      <c r="Z542" s="11"/>
      <c r="AA542" s="11"/>
      <c r="AB542" s="11"/>
      <c r="AC542" s="11">
        <v>1</v>
      </c>
      <c r="AD542" s="11" t="s">
        <v>1201</v>
      </c>
      <c r="AE542" s="11" t="s">
        <v>2639</v>
      </c>
      <c r="AF542" s="11" t="s">
        <v>1014</v>
      </c>
      <c r="AG542" s="11" t="s">
        <v>1203</v>
      </c>
      <c r="AH542" s="11"/>
      <c r="AI542" s="11" t="s">
        <v>1016</v>
      </c>
      <c r="AJ542" s="11"/>
      <c r="AK542" s="11" t="s">
        <v>1204</v>
      </c>
      <c r="AL542" s="11" t="s">
        <v>1017</v>
      </c>
      <c r="AM542" s="11" t="s">
        <v>1205</v>
      </c>
      <c r="AN542" s="11" t="s">
        <v>1019</v>
      </c>
      <c r="AO542" s="11" t="s">
        <v>1325</v>
      </c>
      <c r="AP542" s="11" t="s">
        <v>1021</v>
      </c>
      <c r="AQ542" s="11" t="s">
        <v>1326</v>
      </c>
      <c r="AR542" s="11" t="s">
        <v>1050</v>
      </c>
      <c r="AS542" s="11" t="s">
        <v>1327</v>
      </c>
      <c r="AT542" s="11" t="s">
        <v>1050</v>
      </c>
      <c r="AU542" s="11" t="s">
        <v>1326</v>
      </c>
      <c r="AV542" s="11" t="s">
        <v>1327</v>
      </c>
      <c r="AW542" s="12">
        <v>2</v>
      </c>
      <c r="AX542" s="12">
        <v>1</v>
      </c>
      <c r="AY542" s="12">
        <v>1</v>
      </c>
      <c r="AZ542" s="12">
        <v>1</v>
      </c>
      <c r="BA542" s="12">
        <v>1</v>
      </c>
      <c r="BB542" s="12">
        <v>1</v>
      </c>
      <c r="BC542" s="12">
        <v>1</v>
      </c>
      <c r="BD542" s="11" t="s">
        <v>1026</v>
      </c>
      <c r="BE542" s="11" t="s">
        <v>1103</v>
      </c>
    </row>
    <row r="543" spans="1:57" s="8" customFormat="1" ht="43.5" x14ac:dyDescent="0.35">
      <c r="A543" s="7" t="s">
        <v>694</v>
      </c>
      <c r="B543" s="7" t="s">
        <v>695</v>
      </c>
      <c r="C543" s="3" t="s">
        <v>896</v>
      </c>
      <c r="D543" s="3" t="s">
        <v>98</v>
      </c>
      <c r="E543" s="3"/>
      <c r="F543" s="3" t="s">
        <v>53</v>
      </c>
      <c r="G543" s="3" t="s">
        <v>50</v>
      </c>
      <c r="H543" s="4">
        <v>647</v>
      </c>
      <c r="I543" s="4">
        <v>300</v>
      </c>
      <c r="J543" s="3" t="s">
        <v>26</v>
      </c>
      <c r="K543" s="4" t="b">
        <v>0</v>
      </c>
      <c r="L543" s="6">
        <v>0.5</v>
      </c>
      <c r="M543" s="6">
        <v>0.5</v>
      </c>
      <c r="N543" s="3" t="s">
        <v>58</v>
      </c>
      <c r="O543" s="3" t="s">
        <v>99</v>
      </c>
      <c r="P543" s="3" t="s">
        <v>473</v>
      </c>
      <c r="Q543" s="3" t="s">
        <v>2035</v>
      </c>
      <c r="R543" s="3" t="s">
        <v>1005</v>
      </c>
      <c r="S543" s="3" t="s">
        <v>1006</v>
      </c>
      <c r="T543" s="3" t="s">
        <v>1007</v>
      </c>
      <c r="U543" s="11" t="s">
        <v>2637</v>
      </c>
      <c r="V543" s="11" t="s">
        <v>1031</v>
      </c>
      <c r="W543" s="11" t="s">
        <v>1032</v>
      </c>
      <c r="X543" s="13">
        <v>0.7</v>
      </c>
      <c r="Y543" s="12"/>
      <c r="Z543" s="11"/>
      <c r="AA543" s="11"/>
      <c r="AB543" s="11"/>
      <c r="AC543" s="11">
        <v>0</v>
      </c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 t="s">
        <v>1019</v>
      </c>
      <c r="AO543" s="11" t="s">
        <v>1325</v>
      </c>
      <c r="AP543" s="11" t="s">
        <v>1021</v>
      </c>
      <c r="AQ543" s="11" t="s">
        <v>1326</v>
      </c>
      <c r="AR543" s="11" t="s">
        <v>1050</v>
      </c>
      <c r="AS543" s="11" t="s">
        <v>1327</v>
      </c>
      <c r="AT543" s="11" t="s">
        <v>1050</v>
      </c>
      <c r="AU543" s="11" t="s">
        <v>1326</v>
      </c>
      <c r="AV543" s="11" t="s">
        <v>1327</v>
      </c>
      <c r="AW543" s="12">
        <v>2</v>
      </c>
      <c r="AX543" s="12">
        <v>1</v>
      </c>
      <c r="AY543" s="12">
        <v>1</v>
      </c>
      <c r="AZ543" s="12">
        <v>1</v>
      </c>
      <c r="BA543" s="12">
        <v>1</v>
      </c>
      <c r="BB543" s="12">
        <v>1</v>
      </c>
      <c r="BC543" s="12">
        <v>1</v>
      </c>
      <c r="BD543" s="11" t="s">
        <v>1026</v>
      </c>
      <c r="BE543" s="11" t="s">
        <v>1103</v>
      </c>
    </row>
    <row r="544" spans="1:57" s="8" customFormat="1" ht="58" x14ac:dyDescent="0.35">
      <c r="A544" s="7" t="s">
        <v>694</v>
      </c>
      <c r="B544" s="7" t="s">
        <v>695</v>
      </c>
      <c r="C544" s="3" t="s">
        <v>897</v>
      </c>
      <c r="D544" s="3" t="s">
        <v>57</v>
      </c>
      <c r="E544" s="3"/>
      <c r="F544" s="3" t="s">
        <v>53</v>
      </c>
      <c r="G544" s="3" t="s">
        <v>50</v>
      </c>
      <c r="H544" s="4">
        <v>655</v>
      </c>
      <c r="I544" s="4">
        <v>300</v>
      </c>
      <c r="J544" s="3" t="s">
        <v>26</v>
      </c>
      <c r="K544" s="4" t="b">
        <v>0</v>
      </c>
      <c r="L544" s="6">
        <v>0.33333333333333298</v>
      </c>
      <c r="M544" s="6">
        <v>0.33333333333333298</v>
      </c>
      <c r="N544" s="3" t="s">
        <v>58</v>
      </c>
      <c r="O544" s="3" t="s">
        <v>59</v>
      </c>
      <c r="P544" s="3" t="s">
        <v>898</v>
      </c>
      <c r="Q544" s="3" t="s">
        <v>2640</v>
      </c>
      <c r="R544" s="3" t="s">
        <v>1074</v>
      </c>
      <c r="S544" s="3" t="s">
        <v>1006</v>
      </c>
      <c r="T544" s="3" t="s">
        <v>1007</v>
      </c>
      <c r="U544" s="11" t="s">
        <v>2641</v>
      </c>
      <c r="V544" s="11" t="s">
        <v>1064</v>
      </c>
      <c r="W544" s="11" t="s">
        <v>1065</v>
      </c>
      <c r="X544" s="13">
        <v>1</v>
      </c>
      <c r="Y544" s="12"/>
      <c r="Z544" s="11"/>
      <c r="AA544" s="11"/>
      <c r="AB544" s="11"/>
      <c r="AC544" s="11">
        <v>0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 t="s">
        <v>1019</v>
      </c>
      <c r="AO544" s="11" t="s">
        <v>1595</v>
      </c>
      <c r="AP544" s="11" t="s">
        <v>1021</v>
      </c>
      <c r="AQ544" s="11" t="s">
        <v>1596</v>
      </c>
      <c r="AR544" s="11" t="s">
        <v>1023</v>
      </c>
      <c r="AS544" s="11" t="s">
        <v>1597</v>
      </c>
      <c r="AT544" s="11" t="s">
        <v>1023</v>
      </c>
      <c r="AU544" s="11" t="s">
        <v>1596</v>
      </c>
      <c r="AV544" s="11" t="s">
        <v>1597</v>
      </c>
      <c r="AW544" s="12">
        <v>2</v>
      </c>
      <c r="AX544" s="12">
        <v>1</v>
      </c>
      <c r="AY544" s="12">
        <v>2</v>
      </c>
      <c r="AZ544" s="12">
        <v>2</v>
      </c>
      <c r="BA544" s="12">
        <v>2</v>
      </c>
      <c r="BB544" s="12">
        <v>2</v>
      </c>
      <c r="BC544" s="12">
        <v>2</v>
      </c>
      <c r="BD544" s="11" t="s">
        <v>1026</v>
      </c>
      <c r="BE544" s="11" t="s">
        <v>1027</v>
      </c>
    </row>
    <row r="545" spans="1:57" s="8" customFormat="1" ht="116" x14ac:dyDescent="0.35">
      <c r="A545" s="7" t="s">
        <v>694</v>
      </c>
      <c r="B545" s="7" t="s">
        <v>695</v>
      </c>
      <c r="C545" s="3" t="s">
        <v>899</v>
      </c>
      <c r="D545" s="3" t="s">
        <v>41</v>
      </c>
      <c r="E545" s="3" t="s">
        <v>41</v>
      </c>
      <c r="F545" s="3" t="s">
        <v>36</v>
      </c>
      <c r="G545" s="3" t="s">
        <v>25</v>
      </c>
      <c r="H545" s="4">
        <v>1791</v>
      </c>
      <c r="I545" s="4">
        <v>150</v>
      </c>
      <c r="J545" s="3" t="s">
        <v>26</v>
      </c>
      <c r="K545" s="4" t="b">
        <v>1</v>
      </c>
      <c r="L545" s="6">
        <v>1</v>
      </c>
      <c r="M545" s="6">
        <v>1</v>
      </c>
      <c r="N545" s="3" t="s">
        <v>42</v>
      </c>
      <c r="O545" s="3"/>
      <c r="P545" s="3" t="s">
        <v>900</v>
      </c>
      <c r="Q545" s="3" t="s">
        <v>2642</v>
      </c>
      <c r="R545" s="3" t="s">
        <v>1039</v>
      </c>
      <c r="S545" s="3" t="s">
        <v>2643</v>
      </c>
      <c r="T545" s="3" t="s">
        <v>2644</v>
      </c>
      <c r="U545" s="11" t="s">
        <v>2645</v>
      </c>
      <c r="V545" s="11" t="s">
        <v>1043</v>
      </c>
      <c r="W545" s="11" t="s">
        <v>1044</v>
      </c>
      <c r="X545" s="13">
        <v>0.56000000000000005</v>
      </c>
      <c r="Y545" s="12"/>
      <c r="Z545" s="11"/>
      <c r="AA545" s="11"/>
      <c r="AB545" s="11"/>
      <c r="AC545" s="11">
        <v>1</v>
      </c>
      <c r="AD545" s="11" t="s">
        <v>1148</v>
      </c>
      <c r="AE545" s="11" t="s">
        <v>2646</v>
      </c>
      <c r="AF545" s="11" t="s">
        <v>1014</v>
      </c>
      <c r="AG545" s="11" t="s">
        <v>1873</v>
      </c>
      <c r="AH545" s="11" t="s">
        <v>42</v>
      </c>
      <c r="AI545" s="11" t="s">
        <v>1016</v>
      </c>
      <c r="AJ545" s="11"/>
      <c r="AK545" s="11" t="s">
        <v>1151</v>
      </c>
      <c r="AL545" s="11" t="s">
        <v>1017</v>
      </c>
      <c r="AM545" s="11" t="s">
        <v>1152</v>
      </c>
      <c r="AN545" s="11" t="s">
        <v>1019</v>
      </c>
      <c r="AO545" s="11" t="s">
        <v>1059</v>
      </c>
      <c r="AP545" s="11" t="s">
        <v>1021</v>
      </c>
      <c r="AQ545" s="11" t="s">
        <v>1060</v>
      </c>
      <c r="AR545" s="11" t="s">
        <v>1023</v>
      </c>
      <c r="AS545" s="11" t="s">
        <v>1061</v>
      </c>
      <c r="AT545" s="11" t="s">
        <v>1023</v>
      </c>
      <c r="AU545" s="11" t="s">
        <v>1060</v>
      </c>
      <c r="AV545" s="11" t="s">
        <v>1061</v>
      </c>
      <c r="AW545" s="12">
        <v>3</v>
      </c>
      <c r="AX545" s="12">
        <v>4</v>
      </c>
      <c r="AY545" s="12">
        <v>4</v>
      </c>
      <c r="AZ545" s="12">
        <v>4</v>
      </c>
      <c r="BA545" s="12">
        <v>6</v>
      </c>
      <c r="BB545" s="12">
        <v>4</v>
      </c>
      <c r="BC545" s="12">
        <v>2</v>
      </c>
      <c r="BD545" s="11" t="s">
        <v>1026</v>
      </c>
      <c r="BE545" s="11" t="s">
        <v>1027</v>
      </c>
    </row>
    <row r="546" spans="1:57" s="8" customFormat="1" ht="87" x14ac:dyDescent="0.35">
      <c r="A546" s="7" t="s">
        <v>694</v>
      </c>
      <c r="B546" s="7" t="s">
        <v>695</v>
      </c>
      <c r="C546" s="3" t="s">
        <v>901</v>
      </c>
      <c r="D546" s="3" t="s">
        <v>41</v>
      </c>
      <c r="E546" s="3" t="s">
        <v>41</v>
      </c>
      <c r="F546" s="3" t="s">
        <v>36</v>
      </c>
      <c r="G546" s="3" t="s">
        <v>25</v>
      </c>
      <c r="H546" s="4">
        <v>1777</v>
      </c>
      <c r="I546" s="4">
        <v>150</v>
      </c>
      <c r="J546" s="3" t="s">
        <v>26</v>
      </c>
      <c r="K546" s="4" t="b">
        <v>1</v>
      </c>
      <c r="L546" s="6">
        <v>1</v>
      </c>
      <c r="M546" s="6">
        <v>1</v>
      </c>
      <c r="N546" s="3" t="s">
        <v>42</v>
      </c>
      <c r="O546" s="3"/>
      <c r="P546" s="3" t="s">
        <v>902</v>
      </c>
      <c r="Q546" s="3" t="s">
        <v>2647</v>
      </c>
      <c r="R546" s="3" t="s">
        <v>1039</v>
      </c>
      <c r="S546" s="3" t="s">
        <v>1144</v>
      </c>
      <c r="T546" s="3" t="s">
        <v>2648</v>
      </c>
      <c r="U546" s="11" t="s">
        <v>2649</v>
      </c>
      <c r="V546" s="11" t="s">
        <v>1043</v>
      </c>
      <c r="W546" s="11" t="s">
        <v>1044</v>
      </c>
      <c r="X546" s="13">
        <v>0.8</v>
      </c>
      <c r="Y546" s="12" t="s">
        <v>2650</v>
      </c>
      <c r="Z546" s="11"/>
      <c r="AA546" s="11"/>
      <c r="AB546" s="11"/>
      <c r="AC546" s="11">
        <v>1</v>
      </c>
      <c r="AD546" s="11" t="s">
        <v>1148</v>
      </c>
      <c r="AE546" s="11" t="s">
        <v>1149</v>
      </c>
      <c r="AF546" s="11" t="s">
        <v>1014</v>
      </c>
      <c r="AG546" s="11" t="s">
        <v>1873</v>
      </c>
      <c r="AH546" s="11" t="s">
        <v>42</v>
      </c>
      <c r="AI546" s="11" t="s">
        <v>1016</v>
      </c>
      <c r="AJ546" s="11"/>
      <c r="AK546" s="11" t="s">
        <v>1151</v>
      </c>
      <c r="AL546" s="11" t="s">
        <v>1017</v>
      </c>
      <c r="AM546" s="11" t="s">
        <v>1152</v>
      </c>
      <c r="AN546" s="11" t="s">
        <v>1019</v>
      </c>
      <c r="AO546" s="11" t="s">
        <v>1059</v>
      </c>
      <c r="AP546" s="11" t="s">
        <v>1021</v>
      </c>
      <c r="AQ546" s="11" t="s">
        <v>1060</v>
      </c>
      <c r="AR546" s="11" t="s">
        <v>1023</v>
      </c>
      <c r="AS546" s="11" t="s">
        <v>1061</v>
      </c>
      <c r="AT546" s="11" t="s">
        <v>1023</v>
      </c>
      <c r="AU546" s="11" t="s">
        <v>1060</v>
      </c>
      <c r="AV546" s="11" t="s">
        <v>1061</v>
      </c>
      <c r="AW546" s="12">
        <v>3</v>
      </c>
      <c r="AX546" s="12">
        <v>4</v>
      </c>
      <c r="AY546" s="12">
        <v>4</v>
      </c>
      <c r="AZ546" s="12">
        <v>4</v>
      </c>
      <c r="BA546" s="12">
        <v>6</v>
      </c>
      <c r="BB546" s="12">
        <v>4</v>
      </c>
      <c r="BC546" s="12">
        <v>2</v>
      </c>
      <c r="BD546" s="11" t="s">
        <v>1026</v>
      </c>
      <c r="BE546" s="11" t="s">
        <v>1027</v>
      </c>
    </row>
    <row r="547" spans="1:57" s="8" customFormat="1" ht="58" x14ac:dyDescent="0.35">
      <c r="A547" s="7" t="s">
        <v>694</v>
      </c>
      <c r="B547" s="7" t="s">
        <v>695</v>
      </c>
      <c r="C547" s="3" t="s">
        <v>903</v>
      </c>
      <c r="D547" s="3" t="s">
        <v>52</v>
      </c>
      <c r="E547" s="3"/>
      <c r="F547" s="3" t="s">
        <v>53</v>
      </c>
      <c r="G547" s="3" t="s">
        <v>50</v>
      </c>
      <c r="H547" s="4">
        <v>651</v>
      </c>
      <c r="I547" s="4">
        <v>500</v>
      </c>
      <c r="J547" s="3" t="s">
        <v>26</v>
      </c>
      <c r="K547" s="4" t="b">
        <v>0</v>
      </c>
      <c r="L547" s="6">
        <v>0.33333333333333298</v>
      </c>
      <c r="M547" s="6">
        <v>0.33333333333333298</v>
      </c>
      <c r="N547" s="3" t="s">
        <v>54</v>
      </c>
      <c r="O547" s="3" t="s">
        <v>55</v>
      </c>
      <c r="P547" s="3" t="s">
        <v>904</v>
      </c>
      <c r="Q547" s="3" t="s">
        <v>2651</v>
      </c>
      <c r="R547" s="3" t="s">
        <v>1029</v>
      </c>
      <c r="S547" s="3" t="s">
        <v>1006</v>
      </c>
      <c r="T547" s="3" t="s">
        <v>1007</v>
      </c>
      <c r="U547" s="11" t="s">
        <v>2652</v>
      </c>
      <c r="V547" s="11" t="s">
        <v>1031</v>
      </c>
      <c r="W547" s="11" t="s">
        <v>1032</v>
      </c>
      <c r="X547" s="13">
        <v>0.7</v>
      </c>
      <c r="Y547" s="12"/>
      <c r="Z547" s="11"/>
      <c r="AA547" s="11"/>
      <c r="AB547" s="11"/>
      <c r="AC547" s="11">
        <v>2</v>
      </c>
      <c r="AD547" s="11" t="s">
        <v>1076</v>
      </c>
      <c r="AE547" s="11" t="s">
        <v>2653</v>
      </c>
      <c r="AF547" s="11" t="s">
        <v>1014</v>
      </c>
      <c r="AG547" s="11" t="s">
        <v>1015</v>
      </c>
      <c r="AH547" s="11" t="s">
        <v>1078</v>
      </c>
      <c r="AI547" s="11" t="s">
        <v>1016</v>
      </c>
      <c r="AJ547" s="11"/>
      <c r="AK547" s="11" t="s">
        <v>1079</v>
      </c>
      <c r="AL547" s="11" t="s">
        <v>1017</v>
      </c>
      <c r="AM547" s="11" t="s">
        <v>1080</v>
      </c>
      <c r="AN547" s="11" t="s">
        <v>1019</v>
      </c>
      <c r="AO547" s="11" t="s">
        <v>1192</v>
      </c>
      <c r="AP547" s="11" t="s">
        <v>1021</v>
      </c>
      <c r="AQ547" s="11" t="s">
        <v>1193</v>
      </c>
      <c r="AR547" s="11" t="s">
        <v>1048</v>
      </c>
      <c r="AS547" s="11" t="s">
        <v>1194</v>
      </c>
      <c r="AT547" s="11" t="s">
        <v>1048</v>
      </c>
      <c r="AU547" s="11" t="s">
        <v>1193</v>
      </c>
      <c r="AV547" s="11" t="s">
        <v>1194</v>
      </c>
      <c r="AW547" s="12">
        <v>1</v>
      </c>
      <c r="AX547" s="12">
        <v>1</v>
      </c>
      <c r="AY547" s="12">
        <v>1</v>
      </c>
      <c r="AZ547" s="12">
        <v>1</v>
      </c>
      <c r="BA547" s="12">
        <v>2</v>
      </c>
      <c r="BB547" s="12">
        <v>1</v>
      </c>
      <c r="BC547" s="12">
        <v>2</v>
      </c>
      <c r="BD547" s="11" t="s">
        <v>1026</v>
      </c>
      <c r="BE547" s="11" t="s">
        <v>1027</v>
      </c>
    </row>
    <row r="548" spans="1:57" s="8" customFormat="1" ht="58" x14ac:dyDescent="0.35">
      <c r="A548" s="7" t="s">
        <v>694</v>
      </c>
      <c r="B548" s="7" t="s">
        <v>695</v>
      </c>
      <c r="C548" s="3" t="s">
        <v>903</v>
      </c>
      <c r="D548" s="3" t="s">
        <v>57</v>
      </c>
      <c r="E548" s="3"/>
      <c r="F548" s="3" t="s">
        <v>53</v>
      </c>
      <c r="G548" s="3" t="s">
        <v>50</v>
      </c>
      <c r="H548" s="4">
        <v>651</v>
      </c>
      <c r="I548" s="4">
        <v>300</v>
      </c>
      <c r="J548" s="3" t="s">
        <v>26</v>
      </c>
      <c r="K548" s="4" t="b">
        <v>0</v>
      </c>
      <c r="L548" s="6">
        <v>0.33333333333333298</v>
      </c>
      <c r="M548" s="6">
        <v>0.33333333333333298</v>
      </c>
      <c r="N548" s="3" t="s">
        <v>58</v>
      </c>
      <c r="O548" s="3" t="s">
        <v>59</v>
      </c>
      <c r="P548" s="3" t="s">
        <v>904</v>
      </c>
      <c r="Q548" s="3" t="s">
        <v>2651</v>
      </c>
      <c r="R548" s="3" t="s">
        <v>1029</v>
      </c>
      <c r="S548" s="3" t="s">
        <v>1006</v>
      </c>
      <c r="T548" s="3" t="s">
        <v>1007</v>
      </c>
      <c r="U548" s="11" t="s">
        <v>2652</v>
      </c>
      <c r="V548" s="11" t="s">
        <v>1031</v>
      </c>
      <c r="W548" s="11" t="s">
        <v>1032</v>
      </c>
      <c r="X548" s="13">
        <v>0.7</v>
      </c>
      <c r="Y548" s="12"/>
      <c r="Z548" s="11"/>
      <c r="AA548" s="11"/>
      <c r="AB548" s="11"/>
      <c r="AC548" s="11">
        <v>0</v>
      </c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 t="s">
        <v>1019</v>
      </c>
      <c r="AO548" s="11" t="s">
        <v>1192</v>
      </c>
      <c r="AP548" s="11" t="s">
        <v>1021</v>
      </c>
      <c r="AQ548" s="11" t="s">
        <v>1193</v>
      </c>
      <c r="AR548" s="11" t="s">
        <v>1048</v>
      </c>
      <c r="AS548" s="11" t="s">
        <v>1194</v>
      </c>
      <c r="AT548" s="11" t="s">
        <v>1048</v>
      </c>
      <c r="AU548" s="11" t="s">
        <v>1193</v>
      </c>
      <c r="AV548" s="11" t="s">
        <v>1194</v>
      </c>
      <c r="AW548" s="12">
        <v>1</v>
      </c>
      <c r="AX548" s="12">
        <v>1</v>
      </c>
      <c r="AY548" s="12">
        <v>1</v>
      </c>
      <c r="AZ548" s="12">
        <v>1</v>
      </c>
      <c r="BA548" s="12">
        <v>2</v>
      </c>
      <c r="BB548" s="12">
        <v>1</v>
      </c>
      <c r="BC548" s="12">
        <v>2</v>
      </c>
      <c r="BD548" s="11" t="s">
        <v>1026</v>
      </c>
      <c r="BE548" s="11" t="s">
        <v>1027</v>
      </c>
    </row>
    <row r="549" spans="1:57" s="8" customFormat="1" ht="87" x14ac:dyDescent="0.35">
      <c r="A549" s="7" t="s">
        <v>694</v>
      </c>
      <c r="B549" s="7" t="s">
        <v>695</v>
      </c>
      <c r="C549" s="3" t="s">
        <v>905</v>
      </c>
      <c r="D549" s="3" t="s">
        <v>52</v>
      </c>
      <c r="E549" s="3"/>
      <c r="F549" s="3" t="s">
        <v>53</v>
      </c>
      <c r="G549" s="3" t="s">
        <v>50</v>
      </c>
      <c r="H549" s="4">
        <v>662</v>
      </c>
      <c r="I549" s="4">
        <v>500</v>
      </c>
      <c r="J549" s="3" t="s">
        <v>26</v>
      </c>
      <c r="K549" s="4" t="b">
        <v>0</v>
      </c>
      <c r="L549" s="6">
        <v>0.33333333333333298</v>
      </c>
      <c r="M549" s="6">
        <v>0.33333333333333298</v>
      </c>
      <c r="N549" s="3" t="s">
        <v>54</v>
      </c>
      <c r="O549" s="3" t="s">
        <v>55</v>
      </c>
      <c r="P549" s="3" t="s">
        <v>154</v>
      </c>
      <c r="Q549" s="3" t="s">
        <v>1299</v>
      </c>
      <c r="R549" s="3" t="s">
        <v>1029</v>
      </c>
      <c r="S549" s="3" t="s">
        <v>1006</v>
      </c>
      <c r="T549" s="3" t="s">
        <v>1007</v>
      </c>
      <c r="U549" s="11" t="s">
        <v>2654</v>
      </c>
      <c r="V549" s="11" t="s">
        <v>1031</v>
      </c>
      <c r="W549" s="11" t="s">
        <v>1032</v>
      </c>
      <c r="X549" s="13">
        <v>0.7</v>
      </c>
      <c r="Y549" s="12"/>
      <c r="Z549" s="11"/>
      <c r="AA549" s="11"/>
      <c r="AB549" s="11"/>
      <c r="AC549" s="11">
        <v>6</v>
      </c>
      <c r="AD549" s="11" t="s">
        <v>1076</v>
      </c>
      <c r="AE549" s="11" t="s">
        <v>2655</v>
      </c>
      <c r="AF549" s="11" t="s">
        <v>1014</v>
      </c>
      <c r="AG549" s="11" t="s">
        <v>1015</v>
      </c>
      <c r="AH549" s="11" t="s">
        <v>1302</v>
      </c>
      <c r="AI549" s="11" t="s">
        <v>1016</v>
      </c>
      <c r="AJ549" s="11"/>
      <c r="AK549" s="11" t="s">
        <v>1079</v>
      </c>
      <c r="AL549" s="11" t="s">
        <v>1017</v>
      </c>
      <c r="AM549" s="11" t="s">
        <v>1080</v>
      </c>
      <c r="AN549" s="11" t="s">
        <v>1019</v>
      </c>
      <c r="AO549" s="11" t="s">
        <v>1274</v>
      </c>
      <c r="AP549" s="11" t="s">
        <v>1021</v>
      </c>
      <c r="AQ549" s="11" t="s">
        <v>1275</v>
      </c>
      <c r="AR549" s="11" t="s">
        <v>1023</v>
      </c>
      <c r="AS549" s="11" t="s">
        <v>1276</v>
      </c>
      <c r="AT549" s="11" t="s">
        <v>1025</v>
      </c>
      <c r="AU549" s="11" t="s">
        <v>1275</v>
      </c>
      <c r="AV549" s="11" t="s">
        <v>1276</v>
      </c>
      <c r="AW549" s="12">
        <v>2</v>
      </c>
      <c r="AX549" s="12">
        <v>1</v>
      </c>
      <c r="AY549" s="12">
        <v>2</v>
      </c>
      <c r="AZ549" s="12">
        <v>2</v>
      </c>
      <c r="BA549" s="12">
        <v>3</v>
      </c>
      <c r="BB549" s="12">
        <v>2</v>
      </c>
      <c r="BC549" s="12">
        <v>1</v>
      </c>
      <c r="BD549" s="11" t="s">
        <v>1026</v>
      </c>
      <c r="BE549" s="11" t="s">
        <v>1027</v>
      </c>
    </row>
    <row r="550" spans="1:57" s="8" customFormat="1" ht="58" x14ac:dyDescent="0.35">
      <c r="A550" s="7" t="s">
        <v>694</v>
      </c>
      <c r="B550" s="7" t="s">
        <v>695</v>
      </c>
      <c r="C550" s="3" t="s">
        <v>906</v>
      </c>
      <c r="D550" s="3" t="s">
        <v>57</v>
      </c>
      <c r="E550" s="3"/>
      <c r="F550" s="3" t="s">
        <v>53</v>
      </c>
      <c r="G550" s="3" t="s">
        <v>50</v>
      </c>
      <c r="H550" s="4">
        <v>586</v>
      </c>
      <c r="I550" s="4">
        <v>300</v>
      </c>
      <c r="J550" s="3" t="s">
        <v>26</v>
      </c>
      <c r="K550" s="4" t="b">
        <v>0</v>
      </c>
      <c r="L550" s="6">
        <v>0.33333333333333298</v>
      </c>
      <c r="M550" s="6">
        <v>0.33333333333333298</v>
      </c>
      <c r="N550" s="3" t="s">
        <v>58</v>
      </c>
      <c r="O550" s="3" t="s">
        <v>59</v>
      </c>
      <c r="P550" s="3" t="s">
        <v>907</v>
      </c>
      <c r="Q550" s="3" t="s">
        <v>1411</v>
      </c>
      <c r="R550" s="3" t="s">
        <v>1029</v>
      </c>
      <c r="S550" s="3" t="s">
        <v>1006</v>
      </c>
      <c r="T550" s="3" t="s">
        <v>1007</v>
      </c>
      <c r="U550" s="11" t="s">
        <v>2656</v>
      </c>
      <c r="V550" s="11" t="s">
        <v>1064</v>
      </c>
      <c r="W550" s="11" t="s">
        <v>1065</v>
      </c>
      <c r="X550" s="13">
        <v>1</v>
      </c>
      <c r="Y550" s="12"/>
      <c r="Z550" s="11"/>
      <c r="AA550" s="11"/>
      <c r="AB550" s="11"/>
      <c r="AC550" s="11">
        <v>0</v>
      </c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 t="s">
        <v>1019</v>
      </c>
      <c r="AO550" s="11" t="s">
        <v>1413</v>
      </c>
      <c r="AP550" s="11" t="s">
        <v>1021</v>
      </c>
      <c r="AQ550" s="11" t="s">
        <v>1414</v>
      </c>
      <c r="AR550" s="11" t="s">
        <v>1048</v>
      </c>
      <c r="AS550" s="11" t="s">
        <v>1415</v>
      </c>
      <c r="AT550" s="11" t="s">
        <v>1048</v>
      </c>
      <c r="AU550" s="11" t="s">
        <v>1414</v>
      </c>
      <c r="AV550" s="11" t="s">
        <v>1415</v>
      </c>
      <c r="AW550" s="12">
        <v>1</v>
      </c>
      <c r="AX550" s="12">
        <v>1</v>
      </c>
      <c r="AY550" s="12">
        <v>1</v>
      </c>
      <c r="AZ550" s="12">
        <v>1</v>
      </c>
      <c r="BA550" s="12">
        <v>3</v>
      </c>
      <c r="BB550" s="12">
        <v>1</v>
      </c>
      <c r="BC550" s="12">
        <v>3</v>
      </c>
      <c r="BD550" s="11" t="s">
        <v>1026</v>
      </c>
      <c r="BE550" s="11" t="s">
        <v>1027</v>
      </c>
    </row>
    <row r="551" spans="1:57" s="8" customFormat="1" ht="43.5" x14ac:dyDescent="0.35">
      <c r="A551" s="7" t="s">
        <v>694</v>
      </c>
      <c r="B551" s="7" t="s">
        <v>695</v>
      </c>
      <c r="C551" s="3" t="s">
        <v>908</v>
      </c>
      <c r="D551" s="3" t="s">
        <v>261</v>
      </c>
      <c r="E551" s="3" t="s">
        <v>261</v>
      </c>
      <c r="F551" s="3" t="s">
        <v>31</v>
      </c>
      <c r="G551" s="3" t="s">
        <v>25</v>
      </c>
      <c r="H551" s="4">
        <v>1121</v>
      </c>
      <c r="I551" s="4">
        <v>500</v>
      </c>
      <c r="J551" s="3" t="s">
        <v>26</v>
      </c>
      <c r="K551" s="4" t="b">
        <v>1</v>
      </c>
      <c r="L551" s="6">
        <v>1</v>
      </c>
      <c r="M551" s="6">
        <v>1</v>
      </c>
      <c r="N551" s="3" t="s">
        <v>262</v>
      </c>
      <c r="O551" s="3"/>
      <c r="P551" s="3" t="s">
        <v>909</v>
      </c>
      <c r="Q551" s="3" t="s">
        <v>2657</v>
      </c>
      <c r="R551" s="3" t="s">
        <v>1029</v>
      </c>
      <c r="S551" s="3" t="s">
        <v>1006</v>
      </c>
      <c r="T551" s="3" t="s">
        <v>1007</v>
      </c>
      <c r="U551" s="11" t="s">
        <v>2658</v>
      </c>
      <c r="V551" s="11" t="s">
        <v>1127</v>
      </c>
      <c r="W551" s="11" t="s">
        <v>1128</v>
      </c>
      <c r="X551" s="13">
        <v>1</v>
      </c>
      <c r="Y551" s="12"/>
      <c r="Z551" s="11"/>
      <c r="AA551" s="11"/>
      <c r="AB551" s="11"/>
      <c r="AC551" s="11">
        <v>0</v>
      </c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 t="s">
        <v>1019</v>
      </c>
      <c r="AO551" s="11" t="s">
        <v>1589</v>
      </c>
      <c r="AP551" s="11" t="s">
        <v>1021</v>
      </c>
      <c r="AQ551" s="11" t="s">
        <v>1590</v>
      </c>
      <c r="AR551" s="11" t="s">
        <v>1050</v>
      </c>
      <c r="AS551" s="11" t="s">
        <v>1591</v>
      </c>
      <c r="AT551" s="11" t="s">
        <v>1050</v>
      </c>
      <c r="AU551" s="11" t="s">
        <v>1590</v>
      </c>
      <c r="AV551" s="11" t="s">
        <v>1591</v>
      </c>
      <c r="AW551" s="12">
        <v>1</v>
      </c>
      <c r="AX551" s="12">
        <v>1</v>
      </c>
      <c r="AY551" s="12">
        <v>1</v>
      </c>
      <c r="AZ551" s="12">
        <v>1</v>
      </c>
      <c r="BA551" s="12">
        <v>1</v>
      </c>
      <c r="BB551" s="12">
        <v>1</v>
      </c>
      <c r="BC551" s="12">
        <v>1</v>
      </c>
      <c r="BD551" s="11" t="s">
        <v>1026</v>
      </c>
      <c r="BE551" s="11" t="s">
        <v>1103</v>
      </c>
    </row>
    <row r="552" spans="1:57" s="8" customFormat="1" ht="58" x14ac:dyDescent="0.35">
      <c r="A552" s="7" t="s">
        <v>694</v>
      </c>
      <c r="B552" s="7" t="s">
        <v>695</v>
      </c>
      <c r="C552" s="3" t="s">
        <v>910</v>
      </c>
      <c r="D552" s="3" t="s">
        <v>23</v>
      </c>
      <c r="E552" s="3"/>
      <c r="F552" s="3" t="s">
        <v>24</v>
      </c>
      <c r="G552" s="3" t="s">
        <v>50</v>
      </c>
      <c r="H552" s="4">
        <v>1114</v>
      </c>
      <c r="I552" s="4">
        <v>800</v>
      </c>
      <c r="J552" s="3" t="s">
        <v>26</v>
      </c>
      <c r="K552" s="4" t="b">
        <v>0</v>
      </c>
      <c r="L552" s="6">
        <v>0.5</v>
      </c>
      <c r="M552" s="6">
        <v>0.5</v>
      </c>
      <c r="N552" s="3" t="s">
        <v>75</v>
      </c>
      <c r="O552" s="3" t="s">
        <v>76</v>
      </c>
      <c r="P552" s="3" t="s">
        <v>911</v>
      </c>
      <c r="Q552" s="3" t="s">
        <v>2659</v>
      </c>
      <c r="R552" s="3" t="s">
        <v>1029</v>
      </c>
      <c r="S552" s="3" t="s">
        <v>1006</v>
      </c>
      <c r="T552" s="3" t="s">
        <v>1007</v>
      </c>
      <c r="U552" s="11" t="s">
        <v>2660</v>
      </c>
      <c r="V552" s="11" t="s">
        <v>1031</v>
      </c>
      <c r="W552" s="11" t="s">
        <v>1032</v>
      </c>
      <c r="X552" s="13">
        <v>0.7</v>
      </c>
      <c r="Y552" s="12"/>
      <c r="Z552" s="11"/>
      <c r="AA552" s="11"/>
      <c r="AB552" s="11"/>
      <c r="AC552" s="11">
        <v>0</v>
      </c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 t="s">
        <v>1019</v>
      </c>
      <c r="AO552" s="11" t="s">
        <v>1437</v>
      </c>
      <c r="AP552" s="11" t="s">
        <v>1021</v>
      </c>
      <c r="AQ552" s="11" t="s">
        <v>1438</v>
      </c>
      <c r="AR552" s="11" t="s">
        <v>1048</v>
      </c>
      <c r="AS552" s="11" t="s">
        <v>1439</v>
      </c>
      <c r="AT552" s="11" t="s">
        <v>1048</v>
      </c>
      <c r="AU552" s="11" t="s">
        <v>1438</v>
      </c>
      <c r="AV552" s="11" t="s">
        <v>1439</v>
      </c>
      <c r="AW552" s="12">
        <v>1</v>
      </c>
      <c r="AX552" s="12">
        <v>1</v>
      </c>
      <c r="AY552" s="12">
        <v>1</v>
      </c>
      <c r="AZ552" s="12">
        <v>1</v>
      </c>
      <c r="BA552" s="12">
        <v>2</v>
      </c>
      <c r="BB552" s="12">
        <v>1</v>
      </c>
      <c r="BC552" s="12">
        <v>2</v>
      </c>
      <c r="BD552" s="11" t="s">
        <v>1026</v>
      </c>
      <c r="BE552" s="11" t="s">
        <v>1027</v>
      </c>
    </row>
    <row r="553" spans="1:57" s="8" customFormat="1" ht="145" x14ac:dyDescent="0.35">
      <c r="A553" s="7" t="s">
        <v>694</v>
      </c>
      <c r="B553" s="7" t="s">
        <v>695</v>
      </c>
      <c r="C553" s="3" t="s">
        <v>912</v>
      </c>
      <c r="D553" s="3" t="s">
        <v>52</v>
      </c>
      <c r="E553" s="3"/>
      <c r="F553" s="3" t="s">
        <v>53</v>
      </c>
      <c r="G553" s="3" t="s">
        <v>50</v>
      </c>
      <c r="H553" s="4">
        <v>773</v>
      </c>
      <c r="I553" s="4">
        <v>500</v>
      </c>
      <c r="J553" s="3" t="s">
        <v>26</v>
      </c>
      <c r="K553" s="4" t="b">
        <v>0</v>
      </c>
      <c r="L553" s="6">
        <v>0.33333333333333298</v>
      </c>
      <c r="M553" s="6">
        <v>0.33333333333333298</v>
      </c>
      <c r="N553" s="3" t="s">
        <v>54</v>
      </c>
      <c r="O553" s="3" t="s">
        <v>55</v>
      </c>
      <c r="P553" s="3" t="s">
        <v>913</v>
      </c>
      <c r="Q553" s="3" t="s">
        <v>2661</v>
      </c>
      <c r="R553" s="3" t="s">
        <v>1029</v>
      </c>
      <c r="S553" s="3" t="s">
        <v>1006</v>
      </c>
      <c r="T553" s="3" t="s">
        <v>1007</v>
      </c>
      <c r="U553" s="11" t="s">
        <v>2662</v>
      </c>
      <c r="V553" s="11" t="s">
        <v>1064</v>
      </c>
      <c r="W553" s="11" t="s">
        <v>1065</v>
      </c>
      <c r="X553" s="13">
        <v>1</v>
      </c>
      <c r="Y553" s="12"/>
      <c r="Z553" s="11"/>
      <c r="AA553" s="11"/>
      <c r="AB553" s="11"/>
      <c r="AC553" s="11">
        <v>11</v>
      </c>
      <c r="AD553" s="11" t="s">
        <v>1086</v>
      </c>
      <c r="AE553" s="11" t="s">
        <v>2663</v>
      </c>
      <c r="AF553" s="11" t="s">
        <v>1014</v>
      </c>
      <c r="AG553" s="11" t="s">
        <v>1015</v>
      </c>
      <c r="AH553" s="11" t="s">
        <v>1078</v>
      </c>
      <c r="AI553" s="11" t="s">
        <v>1016</v>
      </c>
      <c r="AJ553" s="11"/>
      <c r="AK553" s="11" t="s">
        <v>1089</v>
      </c>
      <c r="AL553" s="11" t="s">
        <v>1017</v>
      </c>
      <c r="AM553" s="11" t="s">
        <v>1090</v>
      </c>
      <c r="AN553" s="11" t="s">
        <v>1019</v>
      </c>
      <c r="AO553" s="11" t="s">
        <v>1651</v>
      </c>
      <c r="AP553" s="11" t="s">
        <v>1021</v>
      </c>
      <c r="AQ553" s="11" t="s">
        <v>1652</v>
      </c>
      <c r="AR553" s="11" t="s">
        <v>1050</v>
      </c>
      <c r="AS553" s="11" t="s">
        <v>1653</v>
      </c>
      <c r="AT553" s="11" t="s">
        <v>1050</v>
      </c>
      <c r="AU553" s="11" t="s">
        <v>1652</v>
      </c>
      <c r="AV553" s="11" t="s">
        <v>1653</v>
      </c>
      <c r="AW553" s="12">
        <v>1</v>
      </c>
      <c r="AX553" s="12">
        <v>1</v>
      </c>
      <c r="AY553" s="12">
        <v>1</v>
      </c>
      <c r="AZ553" s="12">
        <v>1</v>
      </c>
      <c r="BA553" s="12">
        <v>1</v>
      </c>
      <c r="BB553" s="12">
        <v>1</v>
      </c>
      <c r="BC553" s="12">
        <v>1</v>
      </c>
      <c r="BD553" s="11" t="s">
        <v>1026</v>
      </c>
      <c r="BE553" s="11" t="s">
        <v>1103</v>
      </c>
    </row>
    <row r="554" spans="1:57" s="8" customFormat="1" ht="43.5" x14ac:dyDescent="0.35">
      <c r="A554" s="7" t="s">
        <v>694</v>
      </c>
      <c r="B554" s="7" t="s">
        <v>695</v>
      </c>
      <c r="C554" s="3" t="s">
        <v>912</v>
      </c>
      <c r="D554" s="3" t="s">
        <v>57</v>
      </c>
      <c r="E554" s="3"/>
      <c r="F554" s="3" t="s">
        <v>53</v>
      </c>
      <c r="G554" s="3" t="s">
        <v>50</v>
      </c>
      <c r="H554" s="4">
        <v>773</v>
      </c>
      <c r="I554" s="4">
        <v>300</v>
      </c>
      <c r="J554" s="3" t="s">
        <v>26</v>
      </c>
      <c r="K554" s="4" t="b">
        <v>0</v>
      </c>
      <c r="L554" s="6">
        <v>0.33333333333333298</v>
      </c>
      <c r="M554" s="6">
        <v>0.33333333333333298</v>
      </c>
      <c r="N554" s="3" t="s">
        <v>58</v>
      </c>
      <c r="O554" s="3" t="s">
        <v>59</v>
      </c>
      <c r="P554" s="3" t="s">
        <v>913</v>
      </c>
      <c r="Q554" s="3" t="s">
        <v>2661</v>
      </c>
      <c r="R554" s="3" t="s">
        <v>1029</v>
      </c>
      <c r="S554" s="3" t="s">
        <v>1006</v>
      </c>
      <c r="T554" s="3" t="s">
        <v>1007</v>
      </c>
      <c r="U554" s="11" t="s">
        <v>2662</v>
      </c>
      <c r="V554" s="11" t="s">
        <v>1064</v>
      </c>
      <c r="W554" s="11" t="s">
        <v>1065</v>
      </c>
      <c r="X554" s="13">
        <v>1</v>
      </c>
      <c r="Y554" s="12"/>
      <c r="Z554" s="11"/>
      <c r="AA554" s="11"/>
      <c r="AB554" s="11"/>
      <c r="AC554" s="11">
        <v>0</v>
      </c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 t="s">
        <v>1019</v>
      </c>
      <c r="AO554" s="11" t="s">
        <v>1651</v>
      </c>
      <c r="AP554" s="11" t="s">
        <v>1021</v>
      </c>
      <c r="AQ554" s="11" t="s">
        <v>1652</v>
      </c>
      <c r="AR554" s="11" t="s">
        <v>1050</v>
      </c>
      <c r="AS554" s="11" t="s">
        <v>1653</v>
      </c>
      <c r="AT554" s="11" t="s">
        <v>1050</v>
      </c>
      <c r="AU554" s="11" t="s">
        <v>1652</v>
      </c>
      <c r="AV554" s="11" t="s">
        <v>1653</v>
      </c>
      <c r="AW554" s="12">
        <v>1</v>
      </c>
      <c r="AX554" s="12">
        <v>1</v>
      </c>
      <c r="AY554" s="12">
        <v>1</v>
      </c>
      <c r="AZ554" s="12">
        <v>1</v>
      </c>
      <c r="BA554" s="12">
        <v>1</v>
      </c>
      <c r="BB554" s="12">
        <v>1</v>
      </c>
      <c r="BC554" s="12">
        <v>1</v>
      </c>
      <c r="BD554" s="11" t="s">
        <v>1026</v>
      </c>
      <c r="BE554" s="11" t="s">
        <v>1103</v>
      </c>
    </row>
    <row r="555" spans="1:57" s="8" customFormat="1" ht="58" x14ac:dyDescent="0.35">
      <c r="A555" s="7" t="s">
        <v>694</v>
      </c>
      <c r="B555" s="7" t="s">
        <v>695</v>
      </c>
      <c r="C555" s="3" t="s">
        <v>914</v>
      </c>
      <c r="D555" s="3" t="s">
        <v>172</v>
      </c>
      <c r="E555" s="3"/>
      <c r="F555" s="3" t="s">
        <v>31</v>
      </c>
      <c r="G555" s="3" t="s">
        <v>50</v>
      </c>
      <c r="H555" s="4">
        <v>508</v>
      </c>
      <c r="I555" s="4">
        <v>90</v>
      </c>
      <c r="J555" s="3" t="s">
        <v>26</v>
      </c>
      <c r="K555" s="4" t="b">
        <v>1</v>
      </c>
      <c r="L555" s="6">
        <v>1</v>
      </c>
      <c r="M555" s="6">
        <v>1</v>
      </c>
      <c r="N555" s="3" t="s">
        <v>173</v>
      </c>
      <c r="O555" s="3"/>
      <c r="P555" s="3" t="s">
        <v>915</v>
      </c>
      <c r="Q555" s="3" t="s">
        <v>2664</v>
      </c>
      <c r="R555" s="3" t="s">
        <v>1029</v>
      </c>
      <c r="S555" s="3" t="s">
        <v>1006</v>
      </c>
      <c r="T555" s="3" t="s">
        <v>1007</v>
      </c>
      <c r="U555" s="11" t="s">
        <v>2665</v>
      </c>
      <c r="V555" s="11" t="s">
        <v>1064</v>
      </c>
      <c r="W555" s="11" t="s">
        <v>1065</v>
      </c>
      <c r="X555" s="13">
        <v>1</v>
      </c>
      <c r="Y555" s="12"/>
      <c r="Z555" s="11"/>
      <c r="AA555" s="11"/>
      <c r="AB555" s="11"/>
      <c r="AC555" s="11">
        <v>0</v>
      </c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 t="s">
        <v>1019</v>
      </c>
      <c r="AO555" s="11" t="s">
        <v>1656</v>
      </c>
      <c r="AP555" s="11" t="s">
        <v>1021</v>
      </c>
      <c r="AQ555" s="11" t="s">
        <v>1657</v>
      </c>
      <c r="AR555" s="11" t="s">
        <v>1048</v>
      </c>
      <c r="AS555" s="11" t="s">
        <v>1658</v>
      </c>
      <c r="AT555" s="11" t="s">
        <v>1050</v>
      </c>
      <c r="AU555" s="11" t="s">
        <v>1659</v>
      </c>
      <c r="AV555" s="11" t="s">
        <v>1658</v>
      </c>
      <c r="AW555" s="12">
        <v>1</v>
      </c>
      <c r="AX555" s="12">
        <v>2</v>
      </c>
      <c r="AY555" s="12">
        <v>1</v>
      </c>
      <c r="AZ555" s="12">
        <v>1</v>
      </c>
      <c r="BA555" s="12">
        <v>2</v>
      </c>
      <c r="BB555" s="12">
        <v>1</v>
      </c>
      <c r="BC555" s="12">
        <v>1</v>
      </c>
      <c r="BD555" s="11" t="s">
        <v>1026</v>
      </c>
      <c r="BE555" s="11" t="s">
        <v>1051</v>
      </c>
    </row>
    <row r="556" spans="1:57" s="8" customFormat="1" ht="87" x14ac:dyDescent="0.35">
      <c r="A556" s="7" t="s">
        <v>694</v>
      </c>
      <c r="B556" s="7" t="s">
        <v>695</v>
      </c>
      <c r="C556" s="3" t="s">
        <v>916</v>
      </c>
      <c r="D556" s="3" t="s">
        <v>45</v>
      </c>
      <c r="E556" s="3"/>
      <c r="F556" s="3" t="s">
        <v>46</v>
      </c>
      <c r="G556" s="3" t="s">
        <v>50</v>
      </c>
      <c r="H556" s="4">
        <v>424</v>
      </c>
      <c r="I556" s="4">
        <v>200</v>
      </c>
      <c r="J556" s="3" t="s">
        <v>26</v>
      </c>
      <c r="K556" s="4" t="b">
        <v>1</v>
      </c>
      <c r="L556" s="6">
        <v>1</v>
      </c>
      <c r="M556" s="6">
        <v>1</v>
      </c>
      <c r="N556" s="3" t="s">
        <v>47</v>
      </c>
      <c r="O556" s="3"/>
      <c r="P556" s="3" t="s">
        <v>917</v>
      </c>
      <c r="Q556" s="3" t="s">
        <v>2666</v>
      </c>
      <c r="R556" s="3" t="s">
        <v>1029</v>
      </c>
      <c r="S556" s="3" t="s">
        <v>1006</v>
      </c>
      <c r="T556" s="3" t="s">
        <v>1007</v>
      </c>
      <c r="U556" s="11" t="s">
        <v>2667</v>
      </c>
      <c r="V556" s="11" t="s">
        <v>1064</v>
      </c>
      <c r="W556" s="11" t="s">
        <v>1065</v>
      </c>
      <c r="X556" s="13">
        <v>1</v>
      </c>
      <c r="Y556" s="12"/>
      <c r="Z556" s="11"/>
      <c r="AA556" s="11"/>
      <c r="AB556" s="11"/>
      <c r="AC556" s="11">
        <v>0</v>
      </c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 t="s">
        <v>1019</v>
      </c>
      <c r="AO556" s="11" t="s">
        <v>1739</v>
      </c>
      <c r="AP556" s="11" t="s">
        <v>1021</v>
      </c>
      <c r="AQ556" s="11" t="s">
        <v>1740</v>
      </c>
      <c r="AR556" s="11" t="s">
        <v>1048</v>
      </c>
      <c r="AS556" s="11" t="s">
        <v>1741</v>
      </c>
      <c r="AT556" s="11" t="s">
        <v>1050</v>
      </c>
      <c r="AU556" s="11" t="s">
        <v>1740</v>
      </c>
      <c r="AV556" s="11" t="s">
        <v>1741</v>
      </c>
      <c r="AW556" s="12">
        <v>1</v>
      </c>
      <c r="AX556" s="12">
        <v>1</v>
      </c>
      <c r="AY556" s="12">
        <v>1</v>
      </c>
      <c r="AZ556" s="12">
        <v>1</v>
      </c>
      <c r="BA556" s="12">
        <v>6</v>
      </c>
      <c r="BB556" s="12">
        <v>1</v>
      </c>
      <c r="BC556" s="12">
        <v>1</v>
      </c>
      <c r="BD556" s="11" t="s">
        <v>1026</v>
      </c>
      <c r="BE556" s="11" t="s">
        <v>1051</v>
      </c>
    </row>
    <row r="557" spans="1:57" s="8" customFormat="1" ht="87" x14ac:dyDescent="0.35">
      <c r="A557" s="7" t="s">
        <v>694</v>
      </c>
      <c r="B557" s="7" t="s">
        <v>695</v>
      </c>
      <c r="C557" s="3" t="s">
        <v>916</v>
      </c>
      <c r="D557" s="3" t="s">
        <v>49</v>
      </c>
      <c r="E557" s="3" t="s">
        <v>49</v>
      </c>
      <c r="F557" s="3" t="s">
        <v>46</v>
      </c>
      <c r="G557" s="3" t="s">
        <v>25</v>
      </c>
      <c r="H557" s="4">
        <v>424</v>
      </c>
      <c r="I557" s="4">
        <v>200</v>
      </c>
      <c r="J557" s="3" t="s">
        <v>26</v>
      </c>
      <c r="K557" s="4" t="b">
        <v>1</v>
      </c>
      <c r="L557" s="6">
        <v>1</v>
      </c>
      <c r="M557" s="6">
        <v>1</v>
      </c>
      <c r="N557" s="3" t="s">
        <v>47</v>
      </c>
      <c r="O557" s="3"/>
      <c r="P557" s="3" t="s">
        <v>917</v>
      </c>
      <c r="Q557" s="3" t="s">
        <v>2666</v>
      </c>
      <c r="R557" s="3" t="s">
        <v>1029</v>
      </c>
      <c r="S557" s="3" t="s">
        <v>1006</v>
      </c>
      <c r="T557" s="3" t="s">
        <v>1007</v>
      </c>
      <c r="U557" s="11" t="s">
        <v>2667</v>
      </c>
      <c r="V557" s="11" t="s">
        <v>1064</v>
      </c>
      <c r="W557" s="11" t="s">
        <v>1065</v>
      </c>
      <c r="X557" s="13">
        <v>1</v>
      </c>
      <c r="Y557" s="12"/>
      <c r="Z557" s="11"/>
      <c r="AA557" s="11"/>
      <c r="AB557" s="11"/>
      <c r="AC557" s="11">
        <v>0</v>
      </c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 t="s">
        <v>1019</v>
      </c>
      <c r="AO557" s="11" t="s">
        <v>1739</v>
      </c>
      <c r="AP557" s="11" t="s">
        <v>1021</v>
      </c>
      <c r="AQ557" s="11" t="s">
        <v>1740</v>
      </c>
      <c r="AR557" s="11" t="s">
        <v>1048</v>
      </c>
      <c r="AS557" s="11" t="s">
        <v>1741</v>
      </c>
      <c r="AT557" s="11" t="s">
        <v>1050</v>
      </c>
      <c r="AU557" s="11" t="s">
        <v>1740</v>
      </c>
      <c r="AV557" s="11" t="s">
        <v>1741</v>
      </c>
      <c r="AW557" s="12">
        <v>1</v>
      </c>
      <c r="AX557" s="12">
        <v>1</v>
      </c>
      <c r="AY557" s="12">
        <v>1</v>
      </c>
      <c r="AZ557" s="12">
        <v>1</v>
      </c>
      <c r="BA557" s="12">
        <v>6</v>
      </c>
      <c r="BB557" s="12">
        <v>1</v>
      </c>
      <c r="BC557" s="12">
        <v>1</v>
      </c>
      <c r="BD557" s="11" t="s">
        <v>1026</v>
      </c>
      <c r="BE557" s="11" t="s">
        <v>1051</v>
      </c>
    </row>
    <row r="558" spans="1:57" s="8" customFormat="1" ht="58" x14ac:dyDescent="0.35">
      <c r="A558" s="7" t="s">
        <v>694</v>
      </c>
      <c r="B558" s="7" t="s">
        <v>695</v>
      </c>
      <c r="C558" s="3" t="s">
        <v>918</v>
      </c>
      <c r="D558" s="3" t="s">
        <v>52</v>
      </c>
      <c r="E558" s="3"/>
      <c r="F558" s="3" t="s">
        <v>53</v>
      </c>
      <c r="G558" s="3" t="s">
        <v>50</v>
      </c>
      <c r="H558" s="4">
        <v>776</v>
      </c>
      <c r="I558" s="4">
        <v>500</v>
      </c>
      <c r="J558" s="3" t="s">
        <v>26</v>
      </c>
      <c r="K558" s="4" t="b">
        <v>0</v>
      </c>
      <c r="L558" s="6">
        <v>0.33333333333333298</v>
      </c>
      <c r="M558" s="6">
        <v>0.33333333333333298</v>
      </c>
      <c r="N558" s="3" t="s">
        <v>54</v>
      </c>
      <c r="O558" s="3" t="s">
        <v>55</v>
      </c>
      <c r="P558" s="3" t="s">
        <v>919</v>
      </c>
      <c r="Q558" s="3" t="s">
        <v>2668</v>
      </c>
      <c r="R558" s="3" t="s">
        <v>1029</v>
      </c>
      <c r="S558" s="3" t="s">
        <v>1006</v>
      </c>
      <c r="T558" s="3" t="s">
        <v>1007</v>
      </c>
      <c r="U558" s="11" t="s">
        <v>2669</v>
      </c>
      <c r="V558" s="11" t="s">
        <v>1064</v>
      </c>
      <c r="W558" s="11" t="s">
        <v>1065</v>
      </c>
      <c r="X558" s="13">
        <v>1</v>
      </c>
      <c r="Y558" s="12"/>
      <c r="Z558" s="11"/>
      <c r="AA558" s="11"/>
      <c r="AB558" s="11"/>
      <c r="AC558" s="11">
        <v>3</v>
      </c>
      <c r="AD558" s="11" t="s">
        <v>1076</v>
      </c>
      <c r="AE558" s="11" t="s">
        <v>2670</v>
      </c>
      <c r="AF558" s="11" t="s">
        <v>1014</v>
      </c>
      <c r="AG558" s="11" t="s">
        <v>1015</v>
      </c>
      <c r="AH558" s="11" t="s">
        <v>1078</v>
      </c>
      <c r="AI558" s="11" t="s">
        <v>1016</v>
      </c>
      <c r="AJ558" s="11"/>
      <c r="AK558" s="11" t="s">
        <v>1079</v>
      </c>
      <c r="AL558" s="11" t="s">
        <v>1017</v>
      </c>
      <c r="AM558" s="11" t="s">
        <v>1080</v>
      </c>
      <c r="AN558" s="11" t="s">
        <v>1019</v>
      </c>
      <c r="AO558" s="11" t="s">
        <v>2671</v>
      </c>
      <c r="AP558" s="11" t="s">
        <v>1021</v>
      </c>
      <c r="AQ558" s="11" t="s">
        <v>2672</v>
      </c>
      <c r="AR558" s="11" t="s">
        <v>1023</v>
      </c>
      <c r="AS558" s="11" t="s">
        <v>2673</v>
      </c>
      <c r="AT558" s="11" t="s">
        <v>1025</v>
      </c>
      <c r="AU558" s="11" t="s">
        <v>2674</v>
      </c>
      <c r="AV558" s="11" t="s">
        <v>2673</v>
      </c>
      <c r="AW558" s="12">
        <v>5</v>
      </c>
      <c r="AX558" s="12">
        <v>9</v>
      </c>
      <c r="AY558" s="12">
        <v>6</v>
      </c>
      <c r="AZ558" s="12">
        <v>3</v>
      </c>
      <c r="BA558" s="12">
        <v>2</v>
      </c>
      <c r="BB558" s="12">
        <v>6</v>
      </c>
      <c r="BC558" s="12">
        <v>1</v>
      </c>
      <c r="BD558" s="11" t="s">
        <v>1026</v>
      </c>
      <c r="BE558" s="11" t="s">
        <v>1027</v>
      </c>
    </row>
    <row r="559" spans="1:57" s="8" customFormat="1" ht="58" x14ac:dyDescent="0.35">
      <c r="A559" s="7" t="s">
        <v>694</v>
      </c>
      <c r="B559" s="7" t="s">
        <v>695</v>
      </c>
      <c r="C559" s="3" t="s">
        <v>918</v>
      </c>
      <c r="D559" s="3" t="s">
        <v>57</v>
      </c>
      <c r="E559" s="3"/>
      <c r="F559" s="3" t="s">
        <v>53</v>
      </c>
      <c r="G559" s="3" t="s">
        <v>50</v>
      </c>
      <c r="H559" s="4">
        <v>776</v>
      </c>
      <c r="I559" s="4">
        <v>300</v>
      </c>
      <c r="J559" s="3" t="s">
        <v>26</v>
      </c>
      <c r="K559" s="4" t="b">
        <v>0</v>
      </c>
      <c r="L559" s="6">
        <v>0.33333333333333298</v>
      </c>
      <c r="M559" s="6">
        <v>0.33333333333333298</v>
      </c>
      <c r="N559" s="3" t="s">
        <v>58</v>
      </c>
      <c r="O559" s="3" t="s">
        <v>59</v>
      </c>
      <c r="P559" s="3" t="s">
        <v>919</v>
      </c>
      <c r="Q559" s="3" t="s">
        <v>2668</v>
      </c>
      <c r="R559" s="3" t="s">
        <v>1029</v>
      </c>
      <c r="S559" s="3" t="s">
        <v>1006</v>
      </c>
      <c r="T559" s="3" t="s">
        <v>1007</v>
      </c>
      <c r="U559" s="11" t="s">
        <v>2669</v>
      </c>
      <c r="V559" s="11" t="s">
        <v>1064</v>
      </c>
      <c r="W559" s="11" t="s">
        <v>1065</v>
      </c>
      <c r="X559" s="13">
        <v>1</v>
      </c>
      <c r="Y559" s="12"/>
      <c r="Z559" s="11"/>
      <c r="AA559" s="11"/>
      <c r="AB559" s="11"/>
      <c r="AC559" s="11">
        <v>0</v>
      </c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 t="s">
        <v>1019</v>
      </c>
      <c r="AO559" s="11" t="s">
        <v>2671</v>
      </c>
      <c r="AP559" s="11" t="s">
        <v>1021</v>
      </c>
      <c r="AQ559" s="11" t="s">
        <v>2672</v>
      </c>
      <c r="AR559" s="11" t="s">
        <v>1023</v>
      </c>
      <c r="AS559" s="11" t="s">
        <v>2673</v>
      </c>
      <c r="AT559" s="11" t="s">
        <v>1025</v>
      </c>
      <c r="AU559" s="11" t="s">
        <v>2674</v>
      </c>
      <c r="AV559" s="11" t="s">
        <v>2673</v>
      </c>
      <c r="AW559" s="12">
        <v>5</v>
      </c>
      <c r="AX559" s="12">
        <v>9</v>
      </c>
      <c r="AY559" s="12">
        <v>6</v>
      </c>
      <c r="AZ559" s="12">
        <v>3</v>
      </c>
      <c r="BA559" s="12">
        <v>2</v>
      </c>
      <c r="BB559" s="12">
        <v>6</v>
      </c>
      <c r="BC559" s="12">
        <v>1</v>
      </c>
      <c r="BD559" s="11" t="s">
        <v>1026</v>
      </c>
      <c r="BE559" s="11" t="s">
        <v>1027</v>
      </c>
    </row>
    <row r="560" spans="1:57" s="8" customFormat="1" ht="58" x14ac:dyDescent="0.35">
      <c r="A560" s="7" t="s">
        <v>694</v>
      </c>
      <c r="B560" s="7" t="s">
        <v>695</v>
      </c>
      <c r="C560" s="3" t="s">
        <v>920</v>
      </c>
      <c r="D560" s="3" t="s">
        <v>30</v>
      </c>
      <c r="E560" s="3" t="s">
        <v>30</v>
      </c>
      <c r="F560" s="3" t="s">
        <v>31</v>
      </c>
      <c r="G560" s="3" t="s">
        <v>25</v>
      </c>
      <c r="H560" s="4">
        <v>376</v>
      </c>
      <c r="I560" s="4">
        <v>250</v>
      </c>
      <c r="J560" s="3" t="s">
        <v>26</v>
      </c>
      <c r="K560" s="4" t="b">
        <v>1</v>
      </c>
      <c r="L560" s="6">
        <v>1</v>
      </c>
      <c r="M560" s="6">
        <v>1</v>
      </c>
      <c r="N560" s="3" t="s">
        <v>32</v>
      </c>
      <c r="O560" s="3"/>
      <c r="P560" s="3" t="s">
        <v>182</v>
      </c>
      <c r="Q560" s="3" t="s">
        <v>1370</v>
      </c>
      <c r="R560" s="3" t="s">
        <v>1074</v>
      </c>
      <c r="S560" s="3" t="s">
        <v>1006</v>
      </c>
      <c r="T560" s="3" t="s">
        <v>1007</v>
      </c>
      <c r="U560" s="11" t="s">
        <v>2675</v>
      </c>
      <c r="V560" s="11" t="s">
        <v>1031</v>
      </c>
      <c r="W560" s="11" t="s">
        <v>1032</v>
      </c>
      <c r="X560" s="13">
        <v>1</v>
      </c>
      <c r="Y560" s="12"/>
      <c r="Z560" s="11"/>
      <c r="AA560" s="11"/>
      <c r="AB560" s="11"/>
      <c r="AC560" s="11">
        <v>0</v>
      </c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 t="s">
        <v>1019</v>
      </c>
      <c r="AO560" s="11" t="s">
        <v>1372</v>
      </c>
      <c r="AP560" s="11" t="s">
        <v>1021</v>
      </c>
      <c r="AQ560" s="11" t="s">
        <v>1373</v>
      </c>
      <c r="AR560" s="11" t="s">
        <v>1023</v>
      </c>
      <c r="AS560" s="11" t="s">
        <v>1374</v>
      </c>
      <c r="AT560" s="11" t="s">
        <v>1023</v>
      </c>
      <c r="AU560" s="11" t="s">
        <v>1373</v>
      </c>
      <c r="AV560" s="11" t="s">
        <v>1374</v>
      </c>
      <c r="AW560" s="12">
        <v>5</v>
      </c>
      <c r="AX560" s="12">
        <v>4</v>
      </c>
      <c r="AY560" s="12">
        <v>6</v>
      </c>
      <c r="AZ560" s="12">
        <v>6</v>
      </c>
      <c r="BA560" s="12">
        <v>5</v>
      </c>
      <c r="BB560" s="12">
        <v>6</v>
      </c>
      <c r="BC560" s="12">
        <v>4</v>
      </c>
      <c r="BD560" s="11" t="s">
        <v>1026</v>
      </c>
      <c r="BE560" s="11" t="s">
        <v>1027</v>
      </c>
    </row>
    <row r="561" spans="1:57" s="8" customFormat="1" ht="58" x14ac:dyDescent="0.35">
      <c r="A561" s="7" t="s">
        <v>694</v>
      </c>
      <c r="B561" s="7" t="s">
        <v>695</v>
      </c>
      <c r="C561" s="3" t="s">
        <v>921</v>
      </c>
      <c r="D561" s="3" t="s">
        <v>83</v>
      </c>
      <c r="E561" s="3" t="s">
        <v>83</v>
      </c>
      <c r="F561" s="3" t="s">
        <v>84</v>
      </c>
      <c r="G561" s="3" t="s">
        <v>25</v>
      </c>
      <c r="H561" s="4">
        <v>1286</v>
      </c>
      <c r="I561" s="4">
        <v>500</v>
      </c>
      <c r="J561" s="3" t="s">
        <v>26</v>
      </c>
      <c r="K561" s="4" t="b">
        <v>1</v>
      </c>
      <c r="L561" s="6">
        <v>1</v>
      </c>
      <c r="M561" s="6">
        <v>1</v>
      </c>
      <c r="N561" s="3" t="s">
        <v>85</v>
      </c>
      <c r="O561" s="3"/>
      <c r="P561" s="3" t="s">
        <v>295</v>
      </c>
      <c r="Q561" s="3" t="s">
        <v>2676</v>
      </c>
      <c r="R561" s="3" t="s">
        <v>1139</v>
      </c>
      <c r="S561" s="3" t="s">
        <v>1679</v>
      </c>
      <c r="T561" s="3" t="s">
        <v>2677</v>
      </c>
      <c r="U561" s="11" t="s">
        <v>2678</v>
      </c>
      <c r="V561" s="11" t="s">
        <v>1096</v>
      </c>
      <c r="W561" s="11" t="s">
        <v>1097</v>
      </c>
      <c r="X561" s="13">
        <v>0.78</v>
      </c>
      <c r="Y561" s="12"/>
      <c r="Z561" s="11" t="s">
        <v>2679</v>
      </c>
      <c r="AA561" s="11"/>
      <c r="AB561" s="11"/>
      <c r="AC561" s="11">
        <v>0</v>
      </c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 t="s">
        <v>1019</v>
      </c>
      <c r="AO561" s="11" t="s">
        <v>1683</v>
      </c>
      <c r="AP561" s="11" t="s">
        <v>1021</v>
      </c>
      <c r="AQ561" s="11" t="s">
        <v>1684</v>
      </c>
      <c r="AR561" s="11" t="s">
        <v>1048</v>
      </c>
      <c r="AS561" s="11" t="s">
        <v>1685</v>
      </c>
      <c r="AT561" s="11" t="s">
        <v>1050</v>
      </c>
      <c r="AU561" s="11" t="s">
        <v>1684</v>
      </c>
      <c r="AV561" s="11" t="s">
        <v>1685</v>
      </c>
      <c r="AW561" s="12">
        <v>1</v>
      </c>
      <c r="AX561" s="12">
        <v>1</v>
      </c>
      <c r="AY561" s="12">
        <v>1</v>
      </c>
      <c r="AZ561" s="12">
        <v>1</v>
      </c>
      <c r="BA561" s="12">
        <v>5</v>
      </c>
      <c r="BB561" s="12">
        <v>1</v>
      </c>
      <c r="BC561" s="12">
        <v>1</v>
      </c>
      <c r="BD561" s="11" t="s">
        <v>1026</v>
      </c>
      <c r="BE561" s="11" t="s">
        <v>1051</v>
      </c>
    </row>
    <row r="562" spans="1:57" s="8" customFormat="1" ht="58" x14ac:dyDescent="0.35">
      <c r="A562" s="7" t="s">
        <v>694</v>
      </c>
      <c r="B562" s="7" t="s">
        <v>695</v>
      </c>
      <c r="C562" s="3" t="s">
        <v>922</v>
      </c>
      <c r="D562" s="3" t="s">
        <v>30</v>
      </c>
      <c r="E562" s="3" t="s">
        <v>30</v>
      </c>
      <c r="F562" s="3" t="s">
        <v>31</v>
      </c>
      <c r="G562" s="3" t="s">
        <v>25</v>
      </c>
      <c r="H562" s="4">
        <v>376</v>
      </c>
      <c r="I562" s="4">
        <v>250</v>
      </c>
      <c r="J562" s="3" t="s">
        <v>26</v>
      </c>
      <c r="K562" s="4" t="b">
        <v>1</v>
      </c>
      <c r="L562" s="6">
        <v>1</v>
      </c>
      <c r="M562" s="6">
        <v>1</v>
      </c>
      <c r="N562" s="3" t="s">
        <v>32</v>
      </c>
      <c r="O562" s="3"/>
      <c r="P562" s="3" t="s">
        <v>182</v>
      </c>
      <c r="Q562" s="3" t="s">
        <v>1370</v>
      </c>
      <c r="R562" s="3" t="s">
        <v>1074</v>
      </c>
      <c r="S562" s="3" t="s">
        <v>1006</v>
      </c>
      <c r="T562" s="3" t="s">
        <v>1007</v>
      </c>
      <c r="U562" s="11" t="s">
        <v>2680</v>
      </c>
      <c r="V562" s="11" t="s">
        <v>1031</v>
      </c>
      <c r="W562" s="11" t="s">
        <v>1032</v>
      </c>
      <c r="X562" s="13">
        <v>1</v>
      </c>
      <c r="Y562" s="12"/>
      <c r="Z562" s="11"/>
      <c r="AA562" s="11"/>
      <c r="AB562" s="11"/>
      <c r="AC562" s="11">
        <v>0</v>
      </c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 t="s">
        <v>1019</v>
      </c>
      <c r="AO562" s="11" t="s">
        <v>1372</v>
      </c>
      <c r="AP562" s="11" t="s">
        <v>1021</v>
      </c>
      <c r="AQ562" s="11" t="s">
        <v>1373</v>
      </c>
      <c r="AR562" s="11" t="s">
        <v>1023</v>
      </c>
      <c r="AS562" s="11" t="s">
        <v>1374</v>
      </c>
      <c r="AT562" s="11" t="s">
        <v>1023</v>
      </c>
      <c r="AU562" s="11" t="s">
        <v>1373</v>
      </c>
      <c r="AV562" s="11" t="s">
        <v>1374</v>
      </c>
      <c r="AW562" s="12">
        <v>5</v>
      </c>
      <c r="AX562" s="12">
        <v>4</v>
      </c>
      <c r="AY562" s="12">
        <v>6</v>
      </c>
      <c r="AZ562" s="12">
        <v>6</v>
      </c>
      <c r="BA562" s="12">
        <v>5</v>
      </c>
      <c r="BB562" s="12">
        <v>6</v>
      </c>
      <c r="BC562" s="12">
        <v>4</v>
      </c>
      <c r="BD562" s="11" t="s">
        <v>1026</v>
      </c>
      <c r="BE562" s="11" t="s">
        <v>1027</v>
      </c>
    </row>
    <row r="563" spans="1:57" s="8" customFormat="1" ht="58" x14ac:dyDescent="0.35">
      <c r="A563" s="7" t="s">
        <v>694</v>
      </c>
      <c r="B563" s="7" t="s">
        <v>695</v>
      </c>
      <c r="C563" s="3" t="s">
        <v>923</v>
      </c>
      <c r="D563" s="3" t="s">
        <v>30</v>
      </c>
      <c r="E563" s="3" t="s">
        <v>30</v>
      </c>
      <c r="F563" s="3" t="s">
        <v>31</v>
      </c>
      <c r="G563" s="3" t="s">
        <v>25</v>
      </c>
      <c r="H563" s="4">
        <v>376</v>
      </c>
      <c r="I563" s="4">
        <v>250</v>
      </c>
      <c r="J563" s="3" t="s">
        <v>26</v>
      </c>
      <c r="K563" s="4" t="b">
        <v>1</v>
      </c>
      <c r="L563" s="6">
        <v>1</v>
      </c>
      <c r="M563" s="6">
        <v>1</v>
      </c>
      <c r="N563" s="3" t="s">
        <v>32</v>
      </c>
      <c r="O563" s="3"/>
      <c r="P563" s="3" t="s">
        <v>182</v>
      </c>
      <c r="Q563" s="3" t="s">
        <v>1370</v>
      </c>
      <c r="R563" s="3" t="s">
        <v>1074</v>
      </c>
      <c r="S563" s="3" t="s">
        <v>1006</v>
      </c>
      <c r="T563" s="3" t="s">
        <v>1007</v>
      </c>
      <c r="U563" s="11" t="s">
        <v>2681</v>
      </c>
      <c r="V563" s="11" t="s">
        <v>1031</v>
      </c>
      <c r="W563" s="11" t="s">
        <v>1032</v>
      </c>
      <c r="X563" s="13">
        <v>1</v>
      </c>
      <c r="Y563" s="12"/>
      <c r="Z563" s="11"/>
      <c r="AA563" s="11"/>
      <c r="AB563" s="11"/>
      <c r="AC563" s="11">
        <v>0</v>
      </c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 t="s">
        <v>1019</v>
      </c>
      <c r="AO563" s="11" t="s">
        <v>1372</v>
      </c>
      <c r="AP563" s="11" t="s">
        <v>1021</v>
      </c>
      <c r="AQ563" s="11" t="s">
        <v>1373</v>
      </c>
      <c r="AR563" s="11" t="s">
        <v>1023</v>
      </c>
      <c r="AS563" s="11" t="s">
        <v>1374</v>
      </c>
      <c r="AT563" s="11" t="s">
        <v>1023</v>
      </c>
      <c r="AU563" s="11" t="s">
        <v>1373</v>
      </c>
      <c r="AV563" s="11" t="s">
        <v>1374</v>
      </c>
      <c r="AW563" s="12">
        <v>5</v>
      </c>
      <c r="AX563" s="12">
        <v>4</v>
      </c>
      <c r="AY563" s="12">
        <v>6</v>
      </c>
      <c r="AZ563" s="12">
        <v>6</v>
      </c>
      <c r="BA563" s="12">
        <v>5</v>
      </c>
      <c r="BB563" s="12">
        <v>6</v>
      </c>
      <c r="BC563" s="12">
        <v>4</v>
      </c>
      <c r="BD563" s="11" t="s">
        <v>1026</v>
      </c>
      <c r="BE563" s="11" t="s">
        <v>1027</v>
      </c>
    </row>
    <row r="564" spans="1:57" s="8" customFormat="1" ht="58" x14ac:dyDescent="0.35">
      <c r="A564" s="7" t="s">
        <v>694</v>
      </c>
      <c r="B564" s="7" t="s">
        <v>695</v>
      </c>
      <c r="C564" s="3" t="s">
        <v>924</v>
      </c>
      <c r="D564" s="3" t="s">
        <v>52</v>
      </c>
      <c r="E564" s="3"/>
      <c r="F564" s="3" t="s">
        <v>53</v>
      </c>
      <c r="G564" s="3" t="s">
        <v>50</v>
      </c>
      <c r="H564" s="4">
        <v>350</v>
      </c>
      <c r="I564" s="4">
        <v>500</v>
      </c>
      <c r="J564" s="3" t="s">
        <v>74</v>
      </c>
      <c r="K564" s="4" t="b">
        <v>0</v>
      </c>
      <c r="L564" s="6">
        <v>0.33333333333333298</v>
      </c>
      <c r="M564" s="6">
        <v>0.33333333333333298</v>
      </c>
      <c r="N564" s="3" t="s">
        <v>54</v>
      </c>
      <c r="O564" s="3" t="s">
        <v>55</v>
      </c>
      <c r="P564" s="3" t="s">
        <v>150</v>
      </c>
      <c r="Q564" s="3" t="s">
        <v>1289</v>
      </c>
      <c r="R564" s="3" t="s">
        <v>1029</v>
      </c>
      <c r="S564" s="3" t="s">
        <v>1006</v>
      </c>
      <c r="T564" s="3" t="s">
        <v>1007</v>
      </c>
      <c r="U564" s="11" t="s">
        <v>2682</v>
      </c>
      <c r="V564" s="11" t="s">
        <v>1031</v>
      </c>
      <c r="W564" s="11" t="s">
        <v>1032</v>
      </c>
      <c r="X564" s="13">
        <v>0.7</v>
      </c>
      <c r="Y564" s="12"/>
      <c r="Z564" s="11"/>
      <c r="AA564" s="11"/>
      <c r="AB564" s="11"/>
      <c r="AC564" s="11">
        <v>3</v>
      </c>
      <c r="AD564" s="11" t="s">
        <v>1076</v>
      </c>
      <c r="AE564" s="11" t="s">
        <v>1291</v>
      </c>
      <c r="AF564" s="11" t="s">
        <v>1014</v>
      </c>
      <c r="AG564" s="11" t="s">
        <v>1015</v>
      </c>
      <c r="AH564" s="11" t="s">
        <v>1078</v>
      </c>
      <c r="AI564" s="11" t="s">
        <v>1016</v>
      </c>
      <c r="AJ564" s="11"/>
      <c r="AK564" s="11" t="s">
        <v>1079</v>
      </c>
      <c r="AL564" s="11" t="s">
        <v>1017</v>
      </c>
      <c r="AM564" s="11" t="s">
        <v>1080</v>
      </c>
      <c r="AN564" s="11" t="s">
        <v>1019</v>
      </c>
      <c r="AO564" s="11" t="s">
        <v>1186</v>
      </c>
      <c r="AP564" s="11" t="s">
        <v>1021</v>
      </c>
      <c r="AQ564" s="11" t="s">
        <v>1187</v>
      </c>
      <c r="AR564" s="11" t="s">
        <v>1023</v>
      </c>
      <c r="AS564" s="11" t="s">
        <v>1188</v>
      </c>
      <c r="AT564" s="11" t="s">
        <v>1025</v>
      </c>
      <c r="AU564" s="11" t="s">
        <v>1187</v>
      </c>
      <c r="AV564" s="11" t="s">
        <v>1188</v>
      </c>
      <c r="AW564" s="12">
        <v>4</v>
      </c>
      <c r="AX564" s="12">
        <v>4</v>
      </c>
      <c r="AY564" s="12">
        <v>5</v>
      </c>
      <c r="AZ564" s="12">
        <v>5</v>
      </c>
      <c r="BA564" s="12">
        <v>3</v>
      </c>
      <c r="BB564" s="12">
        <v>5</v>
      </c>
      <c r="BC564" s="12">
        <v>1</v>
      </c>
      <c r="BD564" s="11" t="s">
        <v>1026</v>
      </c>
      <c r="BE564" s="11" t="s">
        <v>1027</v>
      </c>
    </row>
    <row r="565" spans="1:57" s="8" customFormat="1" ht="58" x14ac:dyDescent="0.35">
      <c r="A565" s="7" t="s">
        <v>694</v>
      </c>
      <c r="B565" s="7" t="s">
        <v>695</v>
      </c>
      <c r="C565" s="3" t="s">
        <v>924</v>
      </c>
      <c r="D565" s="3" t="s">
        <v>57</v>
      </c>
      <c r="E565" s="3"/>
      <c r="F565" s="3" t="s">
        <v>53</v>
      </c>
      <c r="G565" s="3" t="s">
        <v>50</v>
      </c>
      <c r="H565" s="4">
        <v>350</v>
      </c>
      <c r="I565" s="4">
        <v>300</v>
      </c>
      <c r="J565" s="3" t="s">
        <v>26</v>
      </c>
      <c r="K565" s="4" t="b">
        <v>0</v>
      </c>
      <c r="L565" s="6">
        <v>0.33333333333333298</v>
      </c>
      <c r="M565" s="6">
        <v>0.33333333333333298</v>
      </c>
      <c r="N565" s="3" t="s">
        <v>58</v>
      </c>
      <c r="O565" s="3" t="s">
        <v>59</v>
      </c>
      <c r="P565" s="3" t="s">
        <v>150</v>
      </c>
      <c r="Q565" s="3" t="s">
        <v>1289</v>
      </c>
      <c r="R565" s="3" t="s">
        <v>1029</v>
      </c>
      <c r="S565" s="3" t="s">
        <v>1006</v>
      </c>
      <c r="T565" s="3" t="s">
        <v>1007</v>
      </c>
      <c r="U565" s="11" t="s">
        <v>2682</v>
      </c>
      <c r="V565" s="11" t="s">
        <v>1031</v>
      </c>
      <c r="W565" s="11" t="s">
        <v>1032</v>
      </c>
      <c r="X565" s="13">
        <v>0.7</v>
      </c>
      <c r="Y565" s="12"/>
      <c r="Z565" s="11"/>
      <c r="AA565" s="11"/>
      <c r="AB565" s="11"/>
      <c r="AC565" s="11">
        <v>1</v>
      </c>
      <c r="AD565" s="11" t="s">
        <v>1201</v>
      </c>
      <c r="AE565" s="11" t="s">
        <v>1292</v>
      </c>
      <c r="AF565" s="11" t="s">
        <v>1014</v>
      </c>
      <c r="AG565" s="11" t="s">
        <v>1203</v>
      </c>
      <c r="AH565" s="11"/>
      <c r="AI565" s="11" t="s">
        <v>1016</v>
      </c>
      <c r="AJ565" s="11"/>
      <c r="AK565" s="11" t="s">
        <v>1204</v>
      </c>
      <c r="AL565" s="11" t="s">
        <v>1017</v>
      </c>
      <c r="AM565" s="11" t="s">
        <v>1205</v>
      </c>
      <c r="AN565" s="11" t="s">
        <v>1019</v>
      </c>
      <c r="AO565" s="11" t="s">
        <v>1186</v>
      </c>
      <c r="AP565" s="11" t="s">
        <v>1021</v>
      </c>
      <c r="AQ565" s="11" t="s">
        <v>1187</v>
      </c>
      <c r="AR565" s="11" t="s">
        <v>1023</v>
      </c>
      <c r="AS565" s="11" t="s">
        <v>1188</v>
      </c>
      <c r="AT565" s="11" t="s">
        <v>1025</v>
      </c>
      <c r="AU565" s="11" t="s">
        <v>1187</v>
      </c>
      <c r="AV565" s="11" t="s">
        <v>1188</v>
      </c>
      <c r="AW565" s="12">
        <v>4</v>
      </c>
      <c r="AX565" s="12">
        <v>4</v>
      </c>
      <c r="AY565" s="12">
        <v>5</v>
      </c>
      <c r="AZ565" s="12">
        <v>5</v>
      </c>
      <c r="BA565" s="12">
        <v>3</v>
      </c>
      <c r="BB565" s="12">
        <v>5</v>
      </c>
      <c r="BC565" s="12">
        <v>1</v>
      </c>
      <c r="BD565" s="11" t="s">
        <v>1026</v>
      </c>
      <c r="BE565" s="11" t="s">
        <v>1027</v>
      </c>
    </row>
    <row r="566" spans="1:57" s="8" customFormat="1" ht="58" x14ac:dyDescent="0.35">
      <c r="A566" s="7" t="s">
        <v>694</v>
      </c>
      <c r="B566" s="7" t="s">
        <v>695</v>
      </c>
      <c r="C566" s="3" t="s">
        <v>925</v>
      </c>
      <c r="D566" s="3" t="s">
        <v>172</v>
      </c>
      <c r="E566" s="3"/>
      <c r="F566" s="3" t="s">
        <v>31</v>
      </c>
      <c r="G566" s="3" t="s">
        <v>50</v>
      </c>
      <c r="H566" s="4">
        <v>303</v>
      </c>
      <c r="I566" s="4">
        <v>90</v>
      </c>
      <c r="J566" s="3" t="s">
        <v>26</v>
      </c>
      <c r="K566" s="4" t="b">
        <v>1</v>
      </c>
      <c r="L566" s="6">
        <v>1</v>
      </c>
      <c r="M566" s="6">
        <v>1</v>
      </c>
      <c r="N566" s="3" t="s">
        <v>173</v>
      </c>
      <c r="O566" s="3"/>
      <c r="P566" s="3" t="s">
        <v>926</v>
      </c>
      <c r="Q566" s="3" t="s">
        <v>2683</v>
      </c>
      <c r="R566" s="3" t="s">
        <v>1029</v>
      </c>
      <c r="S566" s="3" t="s">
        <v>1006</v>
      </c>
      <c r="T566" s="3" t="s">
        <v>1007</v>
      </c>
      <c r="U566" s="11" t="s">
        <v>2684</v>
      </c>
      <c r="V566" s="11" t="s">
        <v>1031</v>
      </c>
      <c r="W566" s="11" t="s">
        <v>1032</v>
      </c>
      <c r="X566" s="13">
        <v>0.7</v>
      </c>
      <c r="Y566" s="12"/>
      <c r="Z566" s="11"/>
      <c r="AA566" s="11"/>
      <c r="AB566" s="11"/>
      <c r="AC566" s="11">
        <v>0</v>
      </c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 t="s">
        <v>1019</v>
      </c>
      <c r="AO566" s="11" t="s">
        <v>1425</v>
      </c>
      <c r="AP566" s="11" t="s">
        <v>1021</v>
      </c>
      <c r="AQ566" s="11" t="s">
        <v>1426</v>
      </c>
      <c r="AR566" s="11" t="s">
        <v>1048</v>
      </c>
      <c r="AS566" s="11" t="s">
        <v>1427</v>
      </c>
      <c r="AT566" s="11" t="s">
        <v>1050</v>
      </c>
      <c r="AU566" s="11" t="s">
        <v>1426</v>
      </c>
      <c r="AV566" s="11" t="s">
        <v>1427</v>
      </c>
      <c r="AW566" s="12">
        <v>1</v>
      </c>
      <c r="AX566" s="12">
        <v>1</v>
      </c>
      <c r="AY566" s="12">
        <v>1</v>
      </c>
      <c r="AZ566" s="12">
        <v>1</v>
      </c>
      <c r="BA566" s="12">
        <v>2</v>
      </c>
      <c r="BB566" s="12">
        <v>1</v>
      </c>
      <c r="BC566" s="12">
        <v>1</v>
      </c>
      <c r="BD566" s="11" t="s">
        <v>1026</v>
      </c>
      <c r="BE566" s="11" t="s">
        <v>1051</v>
      </c>
    </row>
    <row r="567" spans="1:57" s="8" customFormat="1" ht="58" x14ac:dyDescent="0.35">
      <c r="A567" s="7" t="s">
        <v>694</v>
      </c>
      <c r="B567" s="7" t="s">
        <v>695</v>
      </c>
      <c r="C567" s="3" t="s">
        <v>927</v>
      </c>
      <c r="D567" s="3" t="s">
        <v>98</v>
      </c>
      <c r="E567" s="3"/>
      <c r="F567" s="3" t="s">
        <v>53</v>
      </c>
      <c r="G567" s="3" t="s">
        <v>50</v>
      </c>
      <c r="H567" s="4">
        <v>213</v>
      </c>
      <c r="I567" s="4">
        <v>300</v>
      </c>
      <c r="J567" s="3" t="s">
        <v>74</v>
      </c>
      <c r="K567" s="4" t="b">
        <v>0</v>
      </c>
      <c r="L567" s="6">
        <v>0.5</v>
      </c>
      <c r="M567" s="6">
        <v>0.66666666666666596</v>
      </c>
      <c r="N567" s="3" t="s">
        <v>303</v>
      </c>
      <c r="O567" s="3" t="s">
        <v>304</v>
      </c>
      <c r="P567" s="3" t="s">
        <v>928</v>
      </c>
      <c r="Q567" s="3" t="s">
        <v>2685</v>
      </c>
      <c r="R567" s="3" t="s">
        <v>1029</v>
      </c>
      <c r="S567" s="3" t="s">
        <v>1006</v>
      </c>
      <c r="T567" s="3" t="s">
        <v>1007</v>
      </c>
      <c r="U567" s="11" t="s">
        <v>2686</v>
      </c>
      <c r="V567" s="11" t="s">
        <v>1031</v>
      </c>
      <c r="W567" s="11" t="s">
        <v>1032</v>
      </c>
      <c r="X567" s="13">
        <v>0.7</v>
      </c>
      <c r="Y567" s="12"/>
      <c r="Z567" s="11"/>
      <c r="AA567" s="11"/>
      <c r="AB567" s="11"/>
      <c r="AC567" s="11">
        <v>0</v>
      </c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 t="s">
        <v>1019</v>
      </c>
      <c r="AO567" s="11" t="s">
        <v>2301</v>
      </c>
      <c r="AP567" s="11" t="s">
        <v>1021</v>
      </c>
      <c r="AQ567" s="11" t="s">
        <v>2302</v>
      </c>
      <c r="AR567" s="11" t="s">
        <v>1048</v>
      </c>
      <c r="AS567" s="11"/>
      <c r="AT567" s="11" t="s">
        <v>1034</v>
      </c>
      <c r="AU567" s="11" t="s">
        <v>2302</v>
      </c>
      <c r="AV567" s="11"/>
      <c r="AW567" s="12">
        <v>0</v>
      </c>
      <c r="AX567" s="12">
        <v>1</v>
      </c>
      <c r="AY567" s="12">
        <v>1</v>
      </c>
      <c r="AZ567" s="12">
        <v>1</v>
      </c>
      <c r="BA567" s="12">
        <v>2</v>
      </c>
      <c r="BB567" s="12"/>
      <c r="BC567" s="12"/>
      <c r="BD567" s="11" t="s">
        <v>1093</v>
      </c>
      <c r="BE567" s="11" t="s">
        <v>1037</v>
      </c>
    </row>
    <row r="568" spans="1:57" s="8" customFormat="1" ht="58" x14ac:dyDescent="0.35">
      <c r="A568" s="7" t="s">
        <v>694</v>
      </c>
      <c r="B568" s="7" t="s">
        <v>695</v>
      </c>
      <c r="C568" s="3" t="s">
        <v>929</v>
      </c>
      <c r="D568" s="3" t="s">
        <v>30</v>
      </c>
      <c r="E568" s="3"/>
      <c r="F568" s="3" t="s">
        <v>31</v>
      </c>
      <c r="G568" s="3" t="s">
        <v>50</v>
      </c>
      <c r="H568" s="4">
        <v>612</v>
      </c>
      <c r="I568" s="4">
        <v>250</v>
      </c>
      <c r="J568" s="3" t="s">
        <v>26</v>
      </c>
      <c r="K568" s="4" t="b">
        <v>1</v>
      </c>
      <c r="L568" s="6">
        <v>1</v>
      </c>
      <c r="M568" s="6">
        <v>1</v>
      </c>
      <c r="N568" s="3" t="s">
        <v>32</v>
      </c>
      <c r="O568" s="3"/>
      <c r="P568" s="3" t="s">
        <v>279</v>
      </c>
      <c r="Q568" s="3" t="s">
        <v>2687</v>
      </c>
      <c r="R568" s="3" t="s">
        <v>1074</v>
      </c>
      <c r="S568" s="3" t="s">
        <v>1006</v>
      </c>
      <c r="T568" s="3" t="s">
        <v>1007</v>
      </c>
      <c r="U568" s="11" t="s">
        <v>2688</v>
      </c>
      <c r="V568" s="11" t="s">
        <v>1064</v>
      </c>
      <c r="W568" s="11" t="s">
        <v>1065</v>
      </c>
      <c r="X568" s="13">
        <v>1</v>
      </c>
      <c r="Y568" s="12"/>
      <c r="Z568" s="11"/>
      <c r="AA568" s="11"/>
      <c r="AB568" s="11"/>
      <c r="AC568" s="11">
        <v>0</v>
      </c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 t="s">
        <v>1019</v>
      </c>
      <c r="AO568" s="11" t="s">
        <v>1641</v>
      </c>
      <c r="AP568" s="11" t="s">
        <v>1021</v>
      </c>
      <c r="AQ568" s="11" t="s">
        <v>1642</v>
      </c>
      <c r="AR568" s="11" t="s">
        <v>1050</v>
      </c>
      <c r="AS568" s="11"/>
      <c r="AT568" s="11" t="s">
        <v>1034</v>
      </c>
      <c r="AU568" s="11" t="s">
        <v>1642</v>
      </c>
      <c r="AV568" s="11"/>
      <c r="AW568" s="12">
        <v>1</v>
      </c>
      <c r="AX568" s="12">
        <v>0</v>
      </c>
      <c r="AY568" s="12">
        <v>1</v>
      </c>
      <c r="AZ568" s="12">
        <v>1</v>
      </c>
      <c r="BA568" s="12">
        <v>1</v>
      </c>
      <c r="BB568" s="12"/>
      <c r="BC568" s="12"/>
      <c r="BD568" s="11" t="s">
        <v>1093</v>
      </c>
      <c r="BE568" s="11" t="s">
        <v>1037</v>
      </c>
    </row>
    <row r="569" spans="1:57" s="8" customFormat="1" ht="58" x14ac:dyDescent="0.35">
      <c r="A569" s="7" t="s">
        <v>694</v>
      </c>
      <c r="B569" s="7" t="s">
        <v>695</v>
      </c>
      <c r="C569" s="3" t="s">
        <v>930</v>
      </c>
      <c r="D569" s="3" t="s">
        <v>45</v>
      </c>
      <c r="E569" s="3" t="s">
        <v>45</v>
      </c>
      <c r="F569" s="3" t="s">
        <v>46</v>
      </c>
      <c r="G569" s="3" t="s">
        <v>25</v>
      </c>
      <c r="H569" s="4">
        <v>552</v>
      </c>
      <c r="I569" s="4">
        <v>200</v>
      </c>
      <c r="J569" s="3" t="s">
        <v>26</v>
      </c>
      <c r="K569" s="4" t="b">
        <v>1</v>
      </c>
      <c r="L569" s="6">
        <v>1</v>
      </c>
      <c r="M569" s="6">
        <v>1</v>
      </c>
      <c r="N569" s="3" t="s">
        <v>47</v>
      </c>
      <c r="O569" s="3"/>
      <c r="P569" s="3" t="s">
        <v>931</v>
      </c>
      <c r="Q569" s="3" t="s">
        <v>2689</v>
      </c>
      <c r="R569" s="3" t="s">
        <v>1029</v>
      </c>
      <c r="S569" s="3" t="s">
        <v>1006</v>
      </c>
      <c r="T569" s="3" t="s">
        <v>1007</v>
      </c>
      <c r="U569" s="11" t="s">
        <v>2690</v>
      </c>
      <c r="V569" s="11" t="s">
        <v>1031</v>
      </c>
      <c r="W569" s="11" t="s">
        <v>1032</v>
      </c>
      <c r="X569" s="13">
        <v>0.7</v>
      </c>
      <c r="Y569" s="12"/>
      <c r="Z569" s="11"/>
      <c r="AA569" s="11"/>
      <c r="AB569" s="11"/>
      <c r="AC569" s="11">
        <v>2</v>
      </c>
      <c r="AD569" s="11" t="s">
        <v>1066</v>
      </c>
      <c r="AE569" s="11" t="s">
        <v>2691</v>
      </c>
      <c r="AF569" s="11" t="s">
        <v>1014</v>
      </c>
      <c r="AG569" s="11" t="s">
        <v>1015</v>
      </c>
      <c r="AH569" s="11"/>
      <c r="AI569" s="11" t="s">
        <v>1016</v>
      </c>
      <c r="AJ569" s="11"/>
      <c r="AK569" s="11" t="s">
        <v>1068</v>
      </c>
      <c r="AL569" s="11" t="s">
        <v>1017</v>
      </c>
      <c r="AM569" s="11" t="s">
        <v>1069</v>
      </c>
      <c r="AN569" s="11" t="s">
        <v>1019</v>
      </c>
      <c r="AO569" s="11" t="s">
        <v>1070</v>
      </c>
      <c r="AP569" s="11" t="s">
        <v>1021</v>
      </c>
      <c r="AQ569" s="11" t="s">
        <v>1071</v>
      </c>
      <c r="AR569" s="11" t="s">
        <v>1048</v>
      </c>
      <c r="AS569" s="11" t="s">
        <v>1072</v>
      </c>
      <c r="AT569" s="11" t="s">
        <v>1050</v>
      </c>
      <c r="AU569" s="11" t="s">
        <v>1071</v>
      </c>
      <c r="AV569" s="11" t="s">
        <v>1072</v>
      </c>
      <c r="AW569" s="12">
        <v>1</v>
      </c>
      <c r="AX569" s="12">
        <v>1</v>
      </c>
      <c r="AY569" s="12">
        <v>1</v>
      </c>
      <c r="AZ569" s="12">
        <v>1</v>
      </c>
      <c r="BA569" s="12">
        <v>2</v>
      </c>
      <c r="BB569" s="12">
        <v>1</v>
      </c>
      <c r="BC569" s="12">
        <v>1</v>
      </c>
      <c r="BD569" s="11" t="s">
        <v>1026</v>
      </c>
      <c r="BE569" s="11" t="s">
        <v>1051</v>
      </c>
    </row>
    <row r="570" spans="1:57" s="8" customFormat="1" ht="58" x14ac:dyDescent="0.35">
      <c r="A570" s="7" t="s">
        <v>694</v>
      </c>
      <c r="B570" s="7" t="s">
        <v>695</v>
      </c>
      <c r="C570" s="3" t="s">
        <v>930</v>
      </c>
      <c r="D570" s="3" t="s">
        <v>49</v>
      </c>
      <c r="E570" s="3"/>
      <c r="F570" s="3" t="s">
        <v>46</v>
      </c>
      <c r="G570" s="3" t="s">
        <v>50</v>
      </c>
      <c r="H570" s="4">
        <v>552</v>
      </c>
      <c r="I570" s="4">
        <v>200</v>
      </c>
      <c r="J570" s="3" t="s">
        <v>26</v>
      </c>
      <c r="K570" s="4" t="b">
        <v>1</v>
      </c>
      <c r="L570" s="6">
        <v>1</v>
      </c>
      <c r="M570" s="6">
        <v>1</v>
      </c>
      <c r="N570" s="3" t="s">
        <v>47</v>
      </c>
      <c r="O570" s="3"/>
      <c r="P570" s="3" t="s">
        <v>931</v>
      </c>
      <c r="Q570" s="3" t="s">
        <v>2689</v>
      </c>
      <c r="R570" s="3" t="s">
        <v>1029</v>
      </c>
      <c r="S570" s="3" t="s">
        <v>1006</v>
      </c>
      <c r="T570" s="3" t="s">
        <v>1007</v>
      </c>
      <c r="U570" s="11" t="s">
        <v>2690</v>
      </c>
      <c r="V570" s="11" t="s">
        <v>1031</v>
      </c>
      <c r="W570" s="11" t="s">
        <v>1032</v>
      </c>
      <c r="X570" s="13">
        <v>0.7</v>
      </c>
      <c r="Y570" s="12"/>
      <c r="Z570" s="11"/>
      <c r="AA570" s="11"/>
      <c r="AB570" s="11"/>
      <c r="AC570" s="11">
        <v>0</v>
      </c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 t="s">
        <v>1019</v>
      </c>
      <c r="AO570" s="11" t="s">
        <v>1070</v>
      </c>
      <c r="AP570" s="11" t="s">
        <v>1021</v>
      </c>
      <c r="AQ570" s="11" t="s">
        <v>1071</v>
      </c>
      <c r="AR570" s="11" t="s">
        <v>1048</v>
      </c>
      <c r="AS570" s="11" t="s">
        <v>1072</v>
      </c>
      <c r="AT570" s="11" t="s">
        <v>1050</v>
      </c>
      <c r="AU570" s="11" t="s">
        <v>1071</v>
      </c>
      <c r="AV570" s="11" t="s">
        <v>1072</v>
      </c>
      <c r="AW570" s="12">
        <v>1</v>
      </c>
      <c r="AX570" s="12">
        <v>1</v>
      </c>
      <c r="AY570" s="12">
        <v>1</v>
      </c>
      <c r="AZ570" s="12">
        <v>1</v>
      </c>
      <c r="BA570" s="12">
        <v>2</v>
      </c>
      <c r="BB570" s="12">
        <v>1</v>
      </c>
      <c r="BC570" s="12">
        <v>1</v>
      </c>
      <c r="BD570" s="11" t="s">
        <v>1026</v>
      </c>
      <c r="BE570" s="11" t="s">
        <v>1051</v>
      </c>
    </row>
    <row r="571" spans="1:57" s="8" customFormat="1" ht="116" x14ac:dyDescent="0.35">
      <c r="A571" s="7" t="s">
        <v>694</v>
      </c>
      <c r="B571" s="7" t="s">
        <v>695</v>
      </c>
      <c r="C571" s="3" t="s">
        <v>932</v>
      </c>
      <c r="D571" s="3" t="s">
        <v>231</v>
      </c>
      <c r="E571" s="3"/>
      <c r="F571" s="3" t="s">
        <v>31</v>
      </c>
      <c r="G571" s="3" t="s">
        <v>50</v>
      </c>
      <c r="H571" s="4">
        <v>7271</v>
      </c>
      <c r="I571" s="4">
        <v>400</v>
      </c>
      <c r="J571" s="3" t="s">
        <v>26</v>
      </c>
      <c r="K571" s="4" t="b">
        <v>1</v>
      </c>
      <c r="L571" s="6">
        <v>1</v>
      </c>
      <c r="M571" s="6">
        <v>1</v>
      </c>
      <c r="N571" s="3" t="s">
        <v>232</v>
      </c>
      <c r="O571" s="3"/>
      <c r="P571" s="3" t="s">
        <v>933</v>
      </c>
      <c r="Q571" s="3" t="s">
        <v>2692</v>
      </c>
      <c r="R571" s="3" t="s">
        <v>1029</v>
      </c>
      <c r="S571" s="3" t="s">
        <v>1006</v>
      </c>
      <c r="T571" s="3" t="s">
        <v>1007</v>
      </c>
      <c r="U571" s="11" t="s">
        <v>2693</v>
      </c>
      <c r="V571" s="11" t="s">
        <v>1009</v>
      </c>
      <c r="W571" s="11" t="s">
        <v>1010</v>
      </c>
      <c r="X571" s="13">
        <v>0.57999999999999996</v>
      </c>
      <c r="Y571" s="12"/>
      <c r="Z571" s="11" t="s">
        <v>2694</v>
      </c>
      <c r="AA571" s="11"/>
      <c r="AB571" s="11"/>
      <c r="AC571" s="11">
        <v>0</v>
      </c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 t="s">
        <v>1019</v>
      </c>
      <c r="AO571" s="11" t="s">
        <v>1893</v>
      </c>
      <c r="AP571" s="11" t="s">
        <v>1021</v>
      </c>
      <c r="AQ571" s="11" t="s">
        <v>1894</v>
      </c>
      <c r="AR571" s="11" t="s">
        <v>1048</v>
      </c>
      <c r="AS571" s="11" t="s">
        <v>1895</v>
      </c>
      <c r="AT571" s="11" t="s">
        <v>1048</v>
      </c>
      <c r="AU571" s="11" t="s">
        <v>1894</v>
      </c>
      <c r="AV571" s="11" t="s">
        <v>1895</v>
      </c>
      <c r="AW571" s="12">
        <v>1</v>
      </c>
      <c r="AX571" s="12">
        <v>2</v>
      </c>
      <c r="AY571" s="12">
        <v>1</v>
      </c>
      <c r="AZ571" s="12">
        <v>1</v>
      </c>
      <c r="BA571" s="12">
        <v>5</v>
      </c>
      <c r="BB571" s="12">
        <v>1</v>
      </c>
      <c r="BC571" s="12">
        <v>5</v>
      </c>
      <c r="BD571" s="11" t="s">
        <v>1026</v>
      </c>
      <c r="BE571" s="11" t="s">
        <v>1027</v>
      </c>
    </row>
    <row r="572" spans="1:57" s="8" customFormat="1" ht="232" x14ac:dyDescent="0.35">
      <c r="A572" s="7" t="s">
        <v>694</v>
      </c>
      <c r="B572" s="7" t="s">
        <v>695</v>
      </c>
      <c r="C572" s="3" t="s">
        <v>934</v>
      </c>
      <c r="D572" s="3" t="s">
        <v>221</v>
      </c>
      <c r="E572" s="3" t="s">
        <v>221</v>
      </c>
      <c r="F572" s="3" t="s">
        <v>31</v>
      </c>
      <c r="G572" s="3" t="s">
        <v>25</v>
      </c>
      <c r="H572" s="4">
        <v>2325</v>
      </c>
      <c r="I572" s="4">
        <v>500</v>
      </c>
      <c r="J572" s="3" t="s">
        <v>26</v>
      </c>
      <c r="K572" s="4" t="b">
        <v>1</v>
      </c>
      <c r="L572" s="6">
        <v>1</v>
      </c>
      <c r="M572" s="6">
        <v>1</v>
      </c>
      <c r="N572" s="3" t="s">
        <v>222</v>
      </c>
      <c r="O572" s="3"/>
      <c r="P572" s="3" t="s">
        <v>935</v>
      </c>
      <c r="Q572" s="3" t="s">
        <v>2695</v>
      </c>
      <c r="R572" s="3" t="s">
        <v>1029</v>
      </c>
      <c r="S572" s="3" t="s">
        <v>1006</v>
      </c>
      <c r="T572" s="3" t="s">
        <v>1007</v>
      </c>
      <c r="U572" s="11" t="s">
        <v>2696</v>
      </c>
      <c r="V572" s="11" t="s">
        <v>1009</v>
      </c>
      <c r="W572" s="11" t="s">
        <v>1010</v>
      </c>
      <c r="X572" s="13">
        <v>0.9</v>
      </c>
      <c r="Y572" s="12"/>
      <c r="Z572" s="11" t="s">
        <v>1694</v>
      </c>
      <c r="AA572" s="11"/>
      <c r="AB572" s="11"/>
      <c r="AC572" s="11">
        <v>0</v>
      </c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 t="s">
        <v>1019</v>
      </c>
      <c r="AO572" s="11" t="s">
        <v>1490</v>
      </c>
      <c r="AP572" s="11" t="s">
        <v>1021</v>
      </c>
      <c r="AQ572" s="11" t="s">
        <v>1491</v>
      </c>
      <c r="AR572" s="11" t="s">
        <v>1023</v>
      </c>
      <c r="AS572" s="11" t="s">
        <v>1492</v>
      </c>
      <c r="AT572" s="11" t="s">
        <v>1025</v>
      </c>
      <c r="AU572" s="11" t="s">
        <v>1491</v>
      </c>
      <c r="AV572" s="11" t="s">
        <v>1492</v>
      </c>
      <c r="AW572" s="12">
        <v>2</v>
      </c>
      <c r="AX572" s="12">
        <v>2</v>
      </c>
      <c r="AY572" s="12">
        <v>2</v>
      </c>
      <c r="AZ572" s="12">
        <v>2</v>
      </c>
      <c r="BA572" s="12">
        <v>3</v>
      </c>
      <c r="BB572" s="12">
        <v>2</v>
      </c>
      <c r="BC572" s="12">
        <v>1</v>
      </c>
      <c r="BD572" s="11" t="s">
        <v>1026</v>
      </c>
      <c r="BE572" s="11" t="s">
        <v>1027</v>
      </c>
    </row>
    <row r="573" spans="1:57" s="8" customFormat="1" ht="58" x14ac:dyDescent="0.35">
      <c r="A573" s="7" t="s">
        <v>694</v>
      </c>
      <c r="B573" s="7" t="s">
        <v>695</v>
      </c>
      <c r="C573" s="3" t="s">
        <v>936</v>
      </c>
      <c r="D573" s="3" t="s">
        <v>172</v>
      </c>
      <c r="E573" s="3"/>
      <c r="F573" s="3" t="s">
        <v>31</v>
      </c>
      <c r="G573" s="3" t="s">
        <v>50</v>
      </c>
      <c r="H573" s="4">
        <v>141</v>
      </c>
      <c r="I573" s="4">
        <v>90</v>
      </c>
      <c r="J573" s="3" t="s">
        <v>26</v>
      </c>
      <c r="K573" s="4" t="b">
        <v>1</v>
      </c>
      <c r="L573" s="6">
        <v>1</v>
      </c>
      <c r="M573" s="6">
        <v>1</v>
      </c>
      <c r="N573" s="3" t="s">
        <v>173</v>
      </c>
      <c r="O573" s="3"/>
      <c r="P573" s="3" t="s">
        <v>251</v>
      </c>
      <c r="Q573" s="3" t="s">
        <v>1555</v>
      </c>
      <c r="R573" s="3" t="s">
        <v>1029</v>
      </c>
      <c r="S573" s="3" t="s">
        <v>1006</v>
      </c>
      <c r="T573" s="3" t="s">
        <v>1007</v>
      </c>
      <c r="U573" s="11" t="s">
        <v>2697</v>
      </c>
      <c r="V573" s="11" t="s">
        <v>1064</v>
      </c>
      <c r="W573" s="11" t="s">
        <v>1065</v>
      </c>
      <c r="X573" s="13">
        <v>1</v>
      </c>
      <c r="Y573" s="12"/>
      <c r="Z573" s="11"/>
      <c r="AA573" s="11"/>
      <c r="AB573" s="11"/>
      <c r="AC573" s="11">
        <v>0</v>
      </c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 t="s">
        <v>1019</v>
      </c>
      <c r="AO573" s="11" t="s">
        <v>1557</v>
      </c>
      <c r="AP573" s="11" t="s">
        <v>1021</v>
      </c>
      <c r="AQ573" s="11" t="s">
        <v>1558</v>
      </c>
      <c r="AR573" s="11" t="s">
        <v>1048</v>
      </c>
      <c r="AS573" s="11" t="s">
        <v>1559</v>
      </c>
      <c r="AT573" s="11" t="s">
        <v>1050</v>
      </c>
      <c r="AU573" s="11" t="s">
        <v>1558</v>
      </c>
      <c r="AV573" s="11" t="s">
        <v>1559</v>
      </c>
      <c r="AW573" s="12">
        <v>1</v>
      </c>
      <c r="AX573" s="12">
        <v>0</v>
      </c>
      <c r="AY573" s="12">
        <v>1</v>
      </c>
      <c r="AZ573" s="12">
        <v>1</v>
      </c>
      <c r="BA573" s="12">
        <v>2</v>
      </c>
      <c r="BB573" s="12">
        <v>1</v>
      </c>
      <c r="BC573" s="12">
        <v>1</v>
      </c>
      <c r="BD573" s="11" t="s">
        <v>1026</v>
      </c>
      <c r="BE573" s="11" t="s">
        <v>1051</v>
      </c>
    </row>
    <row r="574" spans="1:57" s="8" customFormat="1" ht="58" x14ac:dyDescent="0.35">
      <c r="A574" s="7" t="s">
        <v>694</v>
      </c>
      <c r="B574" s="7" t="s">
        <v>695</v>
      </c>
      <c r="C574" s="3" t="s">
        <v>937</v>
      </c>
      <c r="D574" s="3" t="s">
        <v>57</v>
      </c>
      <c r="E574" s="3"/>
      <c r="F574" s="3" t="s">
        <v>53</v>
      </c>
      <c r="G574" s="3" t="s">
        <v>50</v>
      </c>
      <c r="H574" s="4">
        <v>321</v>
      </c>
      <c r="I574" s="4">
        <v>300</v>
      </c>
      <c r="J574" s="3" t="s">
        <v>26</v>
      </c>
      <c r="K574" s="4" t="b">
        <v>0</v>
      </c>
      <c r="L574" s="6">
        <v>0.33333333333333298</v>
      </c>
      <c r="M574" s="6">
        <v>0.33333333333333298</v>
      </c>
      <c r="N574" s="3" t="s">
        <v>58</v>
      </c>
      <c r="O574" s="3" t="s">
        <v>59</v>
      </c>
      <c r="P574" s="3" t="s">
        <v>938</v>
      </c>
      <c r="Q574" s="3" t="s">
        <v>2698</v>
      </c>
      <c r="R574" s="3" t="s">
        <v>1029</v>
      </c>
      <c r="S574" s="3" t="s">
        <v>1006</v>
      </c>
      <c r="T574" s="3" t="s">
        <v>1007</v>
      </c>
      <c r="U574" s="11" t="s">
        <v>2699</v>
      </c>
      <c r="V574" s="11" t="s">
        <v>1064</v>
      </c>
      <c r="W574" s="11" t="s">
        <v>1065</v>
      </c>
      <c r="X574" s="13">
        <v>1</v>
      </c>
      <c r="Y574" s="12"/>
      <c r="Z574" s="11"/>
      <c r="AA574" s="11"/>
      <c r="AB574" s="11"/>
      <c r="AC574" s="11">
        <v>0</v>
      </c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 t="s">
        <v>1019</v>
      </c>
      <c r="AO574" s="11" t="s">
        <v>1837</v>
      </c>
      <c r="AP574" s="11" t="s">
        <v>1021</v>
      </c>
      <c r="AQ574" s="11" t="s">
        <v>1838</v>
      </c>
      <c r="AR574" s="11" t="s">
        <v>1023</v>
      </c>
      <c r="AS574" s="11" t="s">
        <v>1839</v>
      </c>
      <c r="AT574" s="11" t="s">
        <v>1023</v>
      </c>
      <c r="AU574" s="11" t="s">
        <v>1838</v>
      </c>
      <c r="AV574" s="11" t="s">
        <v>1839</v>
      </c>
      <c r="AW574" s="12">
        <v>1</v>
      </c>
      <c r="AX574" s="12">
        <v>1</v>
      </c>
      <c r="AY574" s="12">
        <v>3</v>
      </c>
      <c r="AZ574" s="12">
        <v>3</v>
      </c>
      <c r="BA574" s="12">
        <v>2</v>
      </c>
      <c r="BB574" s="12">
        <v>3</v>
      </c>
      <c r="BC574" s="12">
        <v>3</v>
      </c>
      <c r="BD574" s="11" t="s">
        <v>1026</v>
      </c>
      <c r="BE574" s="11" t="s">
        <v>1027</v>
      </c>
    </row>
    <row r="575" spans="1:57" s="8" customFormat="1" ht="58" x14ac:dyDescent="0.35">
      <c r="A575" s="7" t="s">
        <v>694</v>
      </c>
      <c r="B575" s="7" t="s">
        <v>695</v>
      </c>
      <c r="C575" s="3" t="s">
        <v>937</v>
      </c>
      <c r="D575" s="3" t="s">
        <v>98</v>
      </c>
      <c r="E575" s="3"/>
      <c r="F575" s="3" t="s">
        <v>53</v>
      </c>
      <c r="G575" s="3" t="s">
        <v>50</v>
      </c>
      <c r="H575" s="4">
        <v>321</v>
      </c>
      <c r="I575" s="4">
        <v>300</v>
      </c>
      <c r="J575" s="3" t="s">
        <v>26</v>
      </c>
      <c r="K575" s="4" t="b">
        <v>0</v>
      </c>
      <c r="L575" s="6">
        <v>0.5</v>
      </c>
      <c r="M575" s="6">
        <v>0.5</v>
      </c>
      <c r="N575" s="3" t="s">
        <v>58</v>
      </c>
      <c r="O575" s="3" t="s">
        <v>99</v>
      </c>
      <c r="P575" s="3" t="s">
        <v>938</v>
      </c>
      <c r="Q575" s="3" t="s">
        <v>2698</v>
      </c>
      <c r="R575" s="3" t="s">
        <v>1029</v>
      </c>
      <c r="S575" s="3" t="s">
        <v>1006</v>
      </c>
      <c r="T575" s="3" t="s">
        <v>1007</v>
      </c>
      <c r="U575" s="11" t="s">
        <v>2699</v>
      </c>
      <c r="V575" s="11" t="s">
        <v>1064</v>
      </c>
      <c r="W575" s="11" t="s">
        <v>1065</v>
      </c>
      <c r="X575" s="13">
        <v>1</v>
      </c>
      <c r="Y575" s="12"/>
      <c r="Z575" s="11"/>
      <c r="AA575" s="11"/>
      <c r="AB575" s="11"/>
      <c r="AC575" s="11">
        <v>0</v>
      </c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 t="s">
        <v>1019</v>
      </c>
      <c r="AO575" s="11" t="s">
        <v>1837</v>
      </c>
      <c r="AP575" s="11" t="s">
        <v>1021</v>
      </c>
      <c r="AQ575" s="11" t="s">
        <v>1838</v>
      </c>
      <c r="AR575" s="11" t="s">
        <v>1023</v>
      </c>
      <c r="AS575" s="11" t="s">
        <v>1839</v>
      </c>
      <c r="AT575" s="11" t="s">
        <v>1023</v>
      </c>
      <c r="AU575" s="11" t="s">
        <v>1838</v>
      </c>
      <c r="AV575" s="11" t="s">
        <v>1839</v>
      </c>
      <c r="AW575" s="12">
        <v>1</v>
      </c>
      <c r="AX575" s="12">
        <v>1</v>
      </c>
      <c r="AY575" s="12">
        <v>3</v>
      </c>
      <c r="AZ575" s="12">
        <v>3</v>
      </c>
      <c r="BA575" s="12">
        <v>2</v>
      </c>
      <c r="BB575" s="12">
        <v>3</v>
      </c>
      <c r="BC575" s="12">
        <v>3</v>
      </c>
      <c r="BD575" s="11" t="s">
        <v>1026</v>
      </c>
      <c r="BE575" s="11" t="s">
        <v>1027</v>
      </c>
    </row>
    <row r="576" spans="1:57" s="8" customFormat="1" ht="58" x14ac:dyDescent="0.35">
      <c r="A576" s="7" t="s">
        <v>694</v>
      </c>
      <c r="B576" s="7" t="s">
        <v>695</v>
      </c>
      <c r="C576" s="3" t="s">
        <v>939</v>
      </c>
      <c r="D576" s="3" t="s">
        <v>57</v>
      </c>
      <c r="E576" s="3"/>
      <c r="F576" s="3" t="s">
        <v>53</v>
      </c>
      <c r="G576" s="3" t="s">
        <v>50</v>
      </c>
      <c r="H576" s="4">
        <v>1249</v>
      </c>
      <c r="I576" s="4">
        <v>300</v>
      </c>
      <c r="J576" s="3" t="s">
        <v>26</v>
      </c>
      <c r="K576" s="4" t="b">
        <v>0</v>
      </c>
      <c r="L576" s="6">
        <v>0.66666666666666596</v>
      </c>
      <c r="M576" s="6">
        <v>0.66666666666666596</v>
      </c>
      <c r="N576" s="3" t="s">
        <v>136</v>
      </c>
      <c r="O576" s="3" t="s">
        <v>137</v>
      </c>
      <c r="P576" s="3" t="s">
        <v>940</v>
      </c>
      <c r="Q576" s="3" t="s">
        <v>2700</v>
      </c>
      <c r="R576" s="3" t="s">
        <v>1029</v>
      </c>
      <c r="S576" s="3" t="s">
        <v>1006</v>
      </c>
      <c r="T576" s="3" t="s">
        <v>1007</v>
      </c>
      <c r="U576" s="11" t="s">
        <v>2701</v>
      </c>
      <c r="V576" s="11" t="s">
        <v>1096</v>
      </c>
      <c r="W576" s="11" t="s">
        <v>1097</v>
      </c>
      <c r="X576" s="13">
        <v>0.9</v>
      </c>
      <c r="Y576" s="12"/>
      <c r="Z576" s="11" t="s">
        <v>2702</v>
      </c>
      <c r="AA576" s="11"/>
      <c r="AB576" s="11"/>
      <c r="AC576" s="11">
        <v>0</v>
      </c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 t="s">
        <v>1019</v>
      </c>
      <c r="AO576" s="11" t="s">
        <v>1837</v>
      </c>
      <c r="AP576" s="11" t="s">
        <v>1021</v>
      </c>
      <c r="AQ576" s="11" t="s">
        <v>1838</v>
      </c>
      <c r="AR576" s="11" t="s">
        <v>1023</v>
      </c>
      <c r="AS576" s="11" t="s">
        <v>1839</v>
      </c>
      <c r="AT576" s="11" t="s">
        <v>1023</v>
      </c>
      <c r="AU576" s="11" t="s">
        <v>1838</v>
      </c>
      <c r="AV576" s="11" t="s">
        <v>1839</v>
      </c>
      <c r="AW576" s="12">
        <v>1</v>
      </c>
      <c r="AX576" s="12">
        <v>1</v>
      </c>
      <c r="AY576" s="12">
        <v>3</v>
      </c>
      <c r="AZ576" s="12">
        <v>3</v>
      </c>
      <c r="BA576" s="12">
        <v>2</v>
      </c>
      <c r="BB576" s="12">
        <v>3</v>
      </c>
      <c r="BC576" s="12">
        <v>3</v>
      </c>
      <c r="BD576" s="11" t="s">
        <v>1026</v>
      </c>
      <c r="BE576" s="11" t="s">
        <v>1027</v>
      </c>
    </row>
    <row r="577" spans="1:57" s="8" customFormat="1" ht="87" x14ac:dyDescent="0.35">
      <c r="A577" s="7" t="s">
        <v>694</v>
      </c>
      <c r="B577" s="7" t="s">
        <v>695</v>
      </c>
      <c r="C577" s="3" t="s">
        <v>941</v>
      </c>
      <c r="D577" s="3" t="s">
        <v>231</v>
      </c>
      <c r="E577" s="3"/>
      <c r="F577" s="3" t="s">
        <v>31</v>
      </c>
      <c r="G577" s="3" t="s">
        <v>50</v>
      </c>
      <c r="H577" s="4">
        <v>3474</v>
      </c>
      <c r="I577" s="4">
        <v>400</v>
      </c>
      <c r="J577" s="3" t="s">
        <v>26</v>
      </c>
      <c r="K577" s="4" t="b">
        <v>1</v>
      </c>
      <c r="L577" s="6">
        <v>1</v>
      </c>
      <c r="M577" s="6">
        <v>1</v>
      </c>
      <c r="N577" s="3" t="s">
        <v>232</v>
      </c>
      <c r="O577" s="3"/>
      <c r="P577" s="3" t="s">
        <v>942</v>
      </c>
      <c r="Q577" s="3" t="s">
        <v>2703</v>
      </c>
      <c r="R577" s="3" t="s">
        <v>1029</v>
      </c>
      <c r="S577" s="3" t="s">
        <v>1006</v>
      </c>
      <c r="T577" s="3" t="s">
        <v>1007</v>
      </c>
      <c r="U577" s="11" t="s">
        <v>2704</v>
      </c>
      <c r="V577" s="11" t="s">
        <v>1009</v>
      </c>
      <c r="W577" s="11" t="s">
        <v>1010</v>
      </c>
      <c r="X577" s="13">
        <v>0.78</v>
      </c>
      <c r="Y577" s="12"/>
      <c r="Z577" s="11" t="s">
        <v>2705</v>
      </c>
      <c r="AA577" s="11"/>
      <c r="AB577" s="11"/>
      <c r="AC577" s="11">
        <v>1</v>
      </c>
      <c r="AD577" s="11" t="s">
        <v>1012</v>
      </c>
      <c r="AE577" s="11" t="s">
        <v>2706</v>
      </c>
      <c r="AF577" s="11" t="s">
        <v>1014</v>
      </c>
      <c r="AG577" s="11" t="s">
        <v>1015</v>
      </c>
      <c r="AH577" s="11"/>
      <c r="AI577" s="11" t="s">
        <v>1016</v>
      </c>
      <c r="AJ577" s="11"/>
      <c r="AK577" s="11" t="s">
        <v>262</v>
      </c>
      <c r="AL577" s="11" t="s">
        <v>1017</v>
      </c>
      <c r="AM577" s="11" t="s">
        <v>2707</v>
      </c>
      <c r="AN577" s="11" t="s">
        <v>1019</v>
      </c>
      <c r="AO577" s="11" t="s">
        <v>2708</v>
      </c>
      <c r="AP577" s="11" t="s">
        <v>1114</v>
      </c>
      <c r="AQ577" s="11"/>
      <c r="AR577" s="11" t="s">
        <v>1034</v>
      </c>
      <c r="AS577" s="11"/>
      <c r="AT577" s="11" t="s">
        <v>1034</v>
      </c>
      <c r="AU577" s="11"/>
      <c r="AV577" s="11"/>
      <c r="AW577" s="12">
        <v>4</v>
      </c>
      <c r="AX577" s="12">
        <v>15</v>
      </c>
      <c r="AY577" s="12">
        <v>1</v>
      </c>
      <c r="AZ577" s="12"/>
      <c r="BA577" s="12"/>
      <c r="BB577" s="12"/>
      <c r="BC577" s="12"/>
      <c r="BD577" s="11" t="s">
        <v>1115</v>
      </c>
      <c r="BE577" s="11" t="s">
        <v>1116</v>
      </c>
    </row>
    <row r="578" spans="1:57" s="8" customFormat="1" ht="58" x14ac:dyDescent="0.35">
      <c r="A578" s="7" t="s">
        <v>694</v>
      </c>
      <c r="B578" s="7" t="s">
        <v>695</v>
      </c>
      <c r="C578" s="3" t="s">
        <v>943</v>
      </c>
      <c r="D578" s="3" t="s">
        <v>52</v>
      </c>
      <c r="E578" s="3"/>
      <c r="F578" s="3" t="s">
        <v>53</v>
      </c>
      <c r="G578" s="3" t="s">
        <v>50</v>
      </c>
      <c r="H578" s="4">
        <v>621</v>
      </c>
      <c r="I578" s="4">
        <v>500</v>
      </c>
      <c r="J578" s="3" t="s">
        <v>26</v>
      </c>
      <c r="K578" s="4" t="b">
        <v>0</v>
      </c>
      <c r="L578" s="6">
        <v>0.33333333333333298</v>
      </c>
      <c r="M578" s="6">
        <v>0.33333333333333298</v>
      </c>
      <c r="N578" s="3" t="s">
        <v>54</v>
      </c>
      <c r="O578" s="3" t="s">
        <v>55</v>
      </c>
      <c r="P578" s="3" t="s">
        <v>184</v>
      </c>
      <c r="Q578" s="3" t="s">
        <v>2709</v>
      </c>
      <c r="R578" s="3" t="s">
        <v>1029</v>
      </c>
      <c r="S578" s="3" t="s">
        <v>1006</v>
      </c>
      <c r="T578" s="3" t="s">
        <v>1007</v>
      </c>
      <c r="U578" s="11" t="s">
        <v>2710</v>
      </c>
      <c r="V578" s="11" t="s">
        <v>1064</v>
      </c>
      <c r="W578" s="11" t="s">
        <v>1065</v>
      </c>
      <c r="X578" s="13">
        <v>1</v>
      </c>
      <c r="Y578" s="12"/>
      <c r="Z578" s="11"/>
      <c r="AA578" s="11"/>
      <c r="AB578" s="11"/>
      <c r="AC578" s="11">
        <v>1</v>
      </c>
      <c r="AD578" s="11" t="s">
        <v>1076</v>
      </c>
      <c r="AE578" s="11" t="s">
        <v>2711</v>
      </c>
      <c r="AF578" s="11" t="s">
        <v>1014</v>
      </c>
      <c r="AG578" s="11" t="s">
        <v>1015</v>
      </c>
      <c r="AH578" s="11"/>
      <c r="AI578" s="11" t="s">
        <v>1016</v>
      </c>
      <c r="AJ578" s="11"/>
      <c r="AK578" s="11" t="s">
        <v>1079</v>
      </c>
      <c r="AL578" s="11" t="s">
        <v>1017</v>
      </c>
      <c r="AM578" s="11" t="s">
        <v>1080</v>
      </c>
      <c r="AN578" s="11" t="s">
        <v>1019</v>
      </c>
      <c r="AO578" s="11" t="s">
        <v>1378</v>
      </c>
      <c r="AP578" s="11" t="s">
        <v>1021</v>
      </c>
      <c r="AQ578" s="11" t="s">
        <v>1379</v>
      </c>
      <c r="AR578" s="11" t="s">
        <v>1048</v>
      </c>
      <c r="AS578" s="11" t="s">
        <v>1380</v>
      </c>
      <c r="AT578" s="11" t="s">
        <v>1048</v>
      </c>
      <c r="AU578" s="11" t="s">
        <v>1379</v>
      </c>
      <c r="AV578" s="11" t="s">
        <v>1380</v>
      </c>
      <c r="AW578" s="12">
        <v>1</v>
      </c>
      <c r="AX578" s="12">
        <v>1</v>
      </c>
      <c r="AY578" s="12">
        <v>1</v>
      </c>
      <c r="AZ578" s="12">
        <v>1</v>
      </c>
      <c r="BA578" s="12">
        <v>2</v>
      </c>
      <c r="BB578" s="12">
        <v>1</v>
      </c>
      <c r="BC578" s="12">
        <v>2</v>
      </c>
      <c r="BD578" s="11" t="s">
        <v>1026</v>
      </c>
      <c r="BE578" s="11" t="s">
        <v>1027</v>
      </c>
    </row>
    <row r="579" spans="1:57" s="8" customFormat="1" ht="58" x14ac:dyDescent="0.35">
      <c r="A579" s="7" t="s">
        <v>694</v>
      </c>
      <c r="B579" s="7" t="s">
        <v>695</v>
      </c>
      <c r="C579" s="3" t="s">
        <v>943</v>
      </c>
      <c r="D579" s="3" t="s">
        <v>57</v>
      </c>
      <c r="E579" s="3"/>
      <c r="F579" s="3" t="s">
        <v>53</v>
      </c>
      <c r="G579" s="3" t="s">
        <v>50</v>
      </c>
      <c r="H579" s="4">
        <v>621</v>
      </c>
      <c r="I579" s="4">
        <v>300</v>
      </c>
      <c r="J579" s="3" t="s">
        <v>26</v>
      </c>
      <c r="K579" s="4" t="b">
        <v>0</v>
      </c>
      <c r="L579" s="6">
        <v>0.33333333333333298</v>
      </c>
      <c r="M579" s="6">
        <v>0.33333333333333298</v>
      </c>
      <c r="N579" s="3" t="s">
        <v>58</v>
      </c>
      <c r="O579" s="3" t="s">
        <v>59</v>
      </c>
      <c r="P579" s="3" t="s">
        <v>184</v>
      </c>
      <c r="Q579" s="3" t="s">
        <v>2709</v>
      </c>
      <c r="R579" s="3" t="s">
        <v>1029</v>
      </c>
      <c r="S579" s="3" t="s">
        <v>1006</v>
      </c>
      <c r="T579" s="3" t="s">
        <v>1007</v>
      </c>
      <c r="U579" s="11" t="s">
        <v>2710</v>
      </c>
      <c r="V579" s="11" t="s">
        <v>1064</v>
      </c>
      <c r="W579" s="11" t="s">
        <v>1065</v>
      </c>
      <c r="X579" s="13">
        <v>1</v>
      </c>
      <c r="Y579" s="12"/>
      <c r="Z579" s="11"/>
      <c r="AA579" s="11"/>
      <c r="AB579" s="11"/>
      <c r="AC579" s="11">
        <v>0</v>
      </c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 t="s">
        <v>1019</v>
      </c>
      <c r="AO579" s="11" t="s">
        <v>1378</v>
      </c>
      <c r="AP579" s="11" t="s">
        <v>1021</v>
      </c>
      <c r="AQ579" s="11" t="s">
        <v>1379</v>
      </c>
      <c r="AR579" s="11" t="s">
        <v>1048</v>
      </c>
      <c r="AS579" s="11" t="s">
        <v>1380</v>
      </c>
      <c r="AT579" s="11" t="s">
        <v>1048</v>
      </c>
      <c r="AU579" s="11" t="s">
        <v>1379</v>
      </c>
      <c r="AV579" s="11" t="s">
        <v>1380</v>
      </c>
      <c r="AW579" s="12">
        <v>1</v>
      </c>
      <c r="AX579" s="12">
        <v>1</v>
      </c>
      <c r="AY579" s="12">
        <v>1</v>
      </c>
      <c r="AZ579" s="12">
        <v>1</v>
      </c>
      <c r="BA579" s="12">
        <v>2</v>
      </c>
      <c r="BB579" s="12">
        <v>1</v>
      </c>
      <c r="BC579" s="12">
        <v>2</v>
      </c>
      <c r="BD579" s="11" t="s">
        <v>1026</v>
      </c>
      <c r="BE579" s="11" t="s">
        <v>1027</v>
      </c>
    </row>
    <row r="580" spans="1:57" s="8" customFormat="1" ht="72.5" x14ac:dyDescent="0.35">
      <c r="A580" s="7" t="s">
        <v>694</v>
      </c>
      <c r="B580" s="7" t="s">
        <v>695</v>
      </c>
      <c r="C580" s="3" t="s">
        <v>944</v>
      </c>
      <c r="D580" s="3" t="s">
        <v>221</v>
      </c>
      <c r="E580" s="3"/>
      <c r="F580" s="3" t="s">
        <v>31</v>
      </c>
      <c r="G580" s="3" t="s">
        <v>50</v>
      </c>
      <c r="H580" s="4">
        <v>684</v>
      </c>
      <c r="I580" s="4">
        <v>500</v>
      </c>
      <c r="J580" s="3" t="s">
        <v>26</v>
      </c>
      <c r="K580" s="4" t="b">
        <v>0</v>
      </c>
      <c r="L580" s="6">
        <v>0.5</v>
      </c>
      <c r="M580" s="6">
        <v>0.33333333333333298</v>
      </c>
      <c r="N580" s="3" t="s">
        <v>243</v>
      </c>
      <c r="O580" s="3" t="s">
        <v>244</v>
      </c>
      <c r="P580" s="3" t="s">
        <v>297</v>
      </c>
      <c r="Q580" s="3" t="s">
        <v>1686</v>
      </c>
      <c r="R580" s="3" t="s">
        <v>1029</v>
      </c>
      <c r="S580" s="3" t="s">
        <v>1006</v>
      </c>
      <c r="T580" s="3" t="s">
        <v>1007</v>
      </c>
      <c r="U580" s="11" t="s">
        <v>2712</v>
      </c>
      <c r="V580" s="11" t="s">
        <v>1031</v>
      </c>
      <c r="W580" s="11" t="s">
        <v>1032</v>
      </c>
      <c r="X580" s="13">
        <v>0.7</v>
      </c>
      <c r="Y580" s="12"/>
      <c r="Z580" s="11"/>
      <c r="AA580" s="11"/>
      <c r="AB580" s="11"/>
      <c r="AC580" s="11">
        <v>0</v>
      </c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 t="s">
        <v>1019</v>
      </c>
      <c r="AO580" s="11" t="s">
        <v>1688</v>
      </c>
      <c r="AP580" s="11" t="s">
        <v>1021</v>
      </c>
      <c r="AQ580" s="11" t="s">
        <v>1689</v>
      </c>
      <c r="AR580" s="11" t="s">
        <v>1048</v>
      </c>
      <c r="AS580" s="11" t="s">
        <v>1690</v>
      </c>
      <c r="AT580" s="11" t="s">
        <v>1025</v>
      </c>
      <c r="AU580" s="11" t="s">
        <v>1691</v>
      </c>
      <c r="AV580" s="11" t="s">
        <v>1690</v>
      </c>
      <c r="AW580" s="12">
        <v>2</v>
      </c>
      <c r="AX580" s="12">
        <v>3</v>
      </c>
      <c r="AY580" s="12">
        <v>2</v>
      </c>
      <c r="AZ580" s="12">
        <v>1</v>
      </c>
      <c r="BA580" s="12">
        <v>3</v>
      </c>
      <c r="BB580" s="12">
        <v>2</v>
      </c>
      <c r="BC580" s="12">
        <v>1</v>
      </c>
      <c r="BD580" s="11" t="s">
        <v>1026</v>
      </c>
      <c r="BE580" s="11" t="s">
        <v>1027</v>
      </c>
    </row>
    <row r="581" spans="1:57" s="8" customFormat="1" ht="58" x14ac:dyDescent="0.35">
      <c r="A581" s="7" t="s">
        <v>694</v>
      </c>
      <c r="B581" s="7" t="s">
        <v>695</v>
      </c>
      <c r="C581" s="3" t="s">
        <v>945</v>
      </c>
      <c r="D581" s="3" t="s">
        <v>57</v>
      </c>
      <c r="E581" s="3"/>
      <c r="F581" s="3" t="s">
        <v>53</v>
      </c>
      <c r="G581" s="3" t="s">
        <v>50</v>
      </c>
      <c r="H581" s="4">
        <v>811</v>
      </c>
      <c r="I581" s="4">
        <v>300</v>
      </c>
      <c r="J581" s="3" t="s">
        <v>26</v>
      </c>
      <c r="K581" s="4" t="b">
        <v>0</v>
      </c>
      <c r="L581" s="6">
        <v>0.33333333333333298</v>
      </c>
      <c r="M581" s="6">
        <v>0.33333333333333298</v>
      </c>
      <c r="N581" s="3" t="s">
        <v>58</v>
      </c>
      <c r="O581" s="3" t="s">
        <v>59</v>
      </c>
      <c r="P581" s="3" t="s">
        <v>946</v>
      </c>
      <c r="Q581" s="3" t="s">
        <v>1615</v>
      </c>
      <c r="R581" s="3" t="s">
        <v>1139</v>
      </c>
      <c r="S581" s="3" t="s">
        <v>2713</v>
      </c>
      <c r="T581" s="3" t="s">
        <v>2227</v>
      </c>
      <c r="U581" s="11" t="s">
        <v>2714</v>
      </c>
      <c r="V581" s="11" t="s">
        <v>1009</v>
      </c>
      <c r="W581" s="11" t="s">
        <v>1010</v>
      </c>
      <c r="X581" s="13">
        <v>0.77</v>
      </c>
      <c r="Y581" s="12"/>
      <c r="Z581" s="11" t="s">
        <v>2715</v>
      </c>
      <c r="AA581" s="11"/>
      <c r="AB581" s="11"/>
      <c r="AC581" s="11">
        <v>1</v>
      </c>
      <c r="AD581" s="11" t="s">
        <v>1227</v>
      </c>
      <c r="AE581" s="11" t="s">
        <v>2716</v>
      </c>
      <c r="AF581" s="11" t="s">
        <v>1014</v>
      </c>
      <c r="AG581" s="11" t="s">
        <v>1015</v>
      </c>
      <c r="AH581" s="11"/>
      <c r="AI581" s="11" t="s">
        <v>1016</v>
      </c>
      <c r="AJ581" s="11"/>
      <c r="AK581" s="11" t="s">
        <v>1229</v>
      </c>
      <c r="AL581" s="11" t="s">
        <v>1017</v>
      </c>
      <c r="AM581" s="11" t="s">
        <v>1230</v>
      </c>
      <c r="AN581" s="11" t="s">
        <v>1019</v>
      </c>
      <c r="AO581" s="11" t="s">
        <v>1621</v>
      </c>
      <c r="AP581" s="11" t="s">
        <v>1021</v>
      </c>
      <c r="AQ581" s="11" t="s">
        <v>1622</v>
      </c>
      <c r="AR581" s="11" t="s">
        <v>1048</v>
      </c>
      <c r="AS581" s="11" t="s">
        <v>1623</v>
      </c>
      <c r="AT581" s="11" t="s">
        <v>1050</v>
      </c>
      <c r="AU581" s="11" t="s">
        <v>1622</v>
      </c>
      <c r="AV581" s="11" t="s">
        <v>1623</v>
      </c>
      <c r="AW581" s="12">
        <v>1</v>
      </c>
      <c r="AX581" s="12">
        <v>1</v>
      </c>
      <c r="AY581" s="12">
        <v>1</v>
      </c>
      <c r="AZ581" s="12">
        <v>1</v>
      </c>
      <c r="BA581" s="12">
        <v>4</v>
      </c>
      <c r="BB581" s="12">
        <v>1</v>
      </c>
      <c r="BC581" s="12">
        <v>1</v>
      </c>
      <c r="BD581" s="11" t="s">
        <v>1026</v>
      </c>
      <c r="BE581" s="11" t="s">
        <v>1051</v>
      </c>
    </row>
    <row r="582" spans="1:57" s="8" customFormat="1" ht="58" x14ac:dyDescent="0.35">
      <c r="A582" s="7" t="s">
        <v>694</v>
      </c>
      <c r="B582" s="7" t="s">
        <v>695</v>
      </c>
      <c r="C582" s="3" t="s">
        <v>947</v>
      </c>
      <c r="D582" s="3" t="s">
        <v>57</v>
      </c>
      <c r="E582" s="3"/>
      <c r="F582" s="3" t="s">
        <v>53</v>
      </c>
      <c r="G582" s="3" t="s">
        <v>50</v>
      </c>
      <c r="H582" s="4">
        <v>218</v>
      </c>
      <c r="I582" s="4">
        <v>300</v>
      </c>
      <c r="J582" s="3" t="s">
        <v>74</v>
      </c>
      <c r="K582" s="4" t="b">
        <v>0</v>
      </c>
      <c r="L582" s="6">
        <v>0.33333333333333298</v>
      </c>
      <c r="M582" s="6">
        <v>0.33333333333333298</v>
      </c>
      <c r="N582" s="3" t="s">
        <v>58</v>
      </c>
      <c r="O582" s="3" t="s">
        <v>59</v>
      </c>
      <c r="P582" s="3" t="s">
        <v>948</v>
      </c>
      <c r="Q582" s="3" t="s">
        <v>2717</v>
      </c>
      <c r="R582" s="3" t="s">
        <v>1074</v>
      </c>
      <c r="S582" s="3" t="s">
        <v>1006</v>
      </c>
      <c r="T582" s="3" t="s">
        <v>1007</v>
      </c>
      <c r="U582" s="11" t="s">
        <v>2718</v>
      </c>
      <c r="V582" s="11" t="s">
        <v>1031</v>
      </c>
      <c r="W582" s="11" t="s">
        <v>1032</v>
      </c>
      <c r="X582" s="13">
        <v>0.7</v>
      </c>
      <c r="Y582" s="12"/>
      <c r="Z582" s="11"/>
      <c r="AA582" s="11"/>
      <c r="AB582" s="11"/>
      <c r="AC582" s="11">
        <v>0</v>
      </c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 t="s">
        <v>1019</v>
      </c>
      <c r="AO582" s="11" t="s">
        <v>1318</v>
      </c>
      <c r="AP582" s="11" t="s">
        <v>1021</v>
      </c>
      <c r="AQ582" s="11" t="s">
        <v>1319</v>
      </c>
      <c r="AR582" s="11" t="s">
        <v>1048</v>
      </c>
      <c r="AS582" s="11" t="s">
        <v>1320</v>
      </c>
      <c r="AT582" s="11" t="s">
        <v>1050</v>
      </c>
      <c r="AU582" s="11" t="s">
        <v>1319</v>
      </c>
      <c r="AV582" s="11" t="s">
        <v>1320</v>
      </c>
      <c r="AW582" s="12">
        <v>1</v>
      </c>
      <c r="AX582" s="12">
        <v>1</v>
      </c>
      <c r="AY582" s="12">
        <v>1</v>
      </c>
      <c r="AZ582" s="12">
        <v>1</v>
      </c>
      <c r="BA582" s="12">
        <v>3</v>
      </c>
      <c r="BB582" s="12">
        <v>1</v>
      </c>
      <c r="BC582" s="12">
        <v>1</v>
      </c>
      <c r="BD582" s="11" t="s">
        <v>1026</v>
      </c>
      <c r="BE582" s="11" t="s">
        <v>1051</v>
      </c>
    </row>
    <row r="583" spans="1:57" s="8" customFormat="1" ht="58" x14ac:dyDescent="0.35">
      <c r="A583" s="7" t="s">
        <v>694</v>
      </c>
      <c r="B583" s="7" t="s">
        <v>695</v>
      </c>
      <c r="C583" s="3" t="s">
        <v>949</v>
      </c>
      <c r="D583" s="3" t="s">
        <v>57</v>
      </c>
      <c r="E583" s="3"/>
      <c r="F583" s="3" t="s">
        <v>53</v>
      </c>
      <c r="G583" s="3" t="s">
        <v>50</v>
      </c>
      <c r="H583" s="4">
        <v>326</v>
      </c>
      <c r="I583" s="4">
        <v>300</v>
      </c>
      <c r="J583" s="3" t="s">
        <v>26</v>
      </c>
      <c r="K583" s="4" t="b">
        <v>0</v>
      </c>
      <c r="L583" s="6">
        <v>0.33333333333333298</v>
      </c>
      <c r="M583" s="6">
        <v>0.33333333333333298</v>
      </c>
      <c r="N583" s="3" t="s">
        <v>58</v>
      </c>
      <c r="O583" s="3" t="s">
        <v>59</v>
      </c>
      <c r="P583" s="3" t="s">
        <v>950</v>
      </c>
      <c r="Q583" s="3" t="s">
        <v>2719</v>
      </c>
      <c r="R583" s="3" t="s">
        <v>1029</v>
      </c>
      <c r="S583" s="3" t="s">
        <v>1006</v>
      </c>
      <c r="T583" s="3" t="s">
        <v>1007</v>
      </c>
      <c r="U583" s="11" t="s">
        <v>2720</v>
      </c>
      <c r="V583" s="11" t="s">
        <v>1031</v>
      </c>
      <c r="W583" s="11" t="s">
        <v>1032</v>
      </c>
      <c r="X583" s="13">
        <v>0.7</v>
      </c>
      <c r="Y583" s="12"/>
      <c r="Z583" s="11"/>
      <c r="AA583" s="11"/>
      <c r="AB583" s="11"/>
      <c r="AC583" s="11">
        <v>0</v>
      </c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 t="s">
        <v>1019</v>
      </c>
      <c r="AO583" s="11" t="s">
        <v>1837</v>
      </c>
      <c r="AP583" s="11" t="s">
        <v>1021</v>
      </c>
      <c r="AQ583" s="11" t="s">
        <v>1838</v>
      </c>
      <c r="AR583" s="11" t="s">
        <v>1023</v>
      </c>
      <c r="AS583" s="11" t="s">
        <v>1839</v>
      </c>
      <c r="AT583" s="11" t="s">
        <v>1023</v>
      </c>
      <c r="AU583" s="11" t="s">
        <v>1838</v>
      </c>
      <c r="AV583" s="11" t="s">
        <v>1839</v>
      </c>
      <c r="AW583" s="12">
        <v>1</v>
      </c>
      <c r="AX583" s="12">
        <v>1</v>
      </c>
      <c r="AY583" s="12">
        <v>3</v>
      </c>
      <c r="AZ583" s="12">
        <v>3</v>
      </c>
      <c r="BA583" s="12">
        <v>2</v>
      </c>
      <c r="BB583" s="12">
        <v>3</v>
      </c>
      <c r="BC583" s="12">
        <v>3</v>
      </c>
      <c r="BD583" s="11" t="s">
        <v>1026</v>
      </c>
      <c r="BE583" s="11" t="s">
        <v>1027</v>
      </c>
    </row>
    <row r="584" spans="1:57" s="8" customFormat="1" ht="58" x14ac:dyDescent="0.35">
      <c r="A584" s="7" t="s">
        <v>694</v>
      </c>
      <c r="B584" s="7" t="s">
        <v>695</v>
      </c>
      <c r="C584" s="3" t="s">
        <v>949</v>
      </c>
      <c r="D584" s="3" t="s">
        <v>98</v>
      </c>
      <c r="E584" s="3"/>
      <c r="F584" s="3" t="s">
        <v>53</v>
      </c>
      <c r="G584" s="3" t="s">
        <v>50</v>
      </c>
      <c r="H584" s="4">
        <v>326</v>
      </c>
      <c r="I584" s="4">
        <v>300</v>
      </c>
      <c r="J584" s="3" t="s">
        <v>26</v>
      </c>
      <c r="K584" s="4" t="b">
        <v>0</v>
      </c>
      <c r="L584" s="6">
        <v>0.5</v>
      </c>
      <c r="M584" s="6">
        <v>0.5</v>
      </c>
      <c r="N584" s="3" t="s">
        <v>58</v>
      </c>
      <c r="O584" s="3" t="s">
        <v>99</v>
      </c>
      <c r="P584" s="3" t="s">
        <v>950</v>
      </c>
      <c r="Q584" s="3" t="s">
        <v>2719</v>
      </c>
      <c r="R584" s="3" t="s">
        <v>1029</v>
      </c>
      <c r="S584" s="3" t="s">
        <v>1006</v>
      </c>
      <c r="T584" s="3" t="s">
        <v>1007</v>
      </c>
      <c r="U584" s="11" t="s">
        <v>2720</v>
      </c>
      <c r="V584" s="11" t="s">
        <v>1031</v>
      </c>
      <c r="W584" s="11" t="s">
        <v>1032</v>
      </c>
      <c r="X584" s="13">
        <v>0.7</v>
      </c>
      <c r="Y584" s="12"/>
      <c r="Z584" s="11"/>
      <c r="AA584" s="11"/>
      <c r="AB584" s="11"/>
      <c r="AC584" s="11">
        <v>0</v>
      </c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 t="s">
        <v>1019</v>
      </c>
      <c r="AO584" s="11" t="s">
        <v>1837</v>
      </c>
      <c r="AP584" s="11" t="s">
        <v>1021</v>
      </c>
      <c r="AQ584" s="11" t="s">
        <v>1838</v>
      </c>
      <c r="AR584" s="11" t="s">
        <v>1023</v>
      </c>
      <c r="AS584" s="11" t="s">
        <v>1839</v>
      </c>
      <c r="AT584" s="11" t="s">
        <v>1023</v>
      </c>
      <c r="AU584" s="11" t="s">
        <v>1838</v>
      </c>
      <c r="AV584" s="11" t="s">
        <v>1839</v>
      </c>
      <c r="AW584" s="12">
        <v>1</v>
      </c>
      <c r="AX584" s="12">
        <v>1</v>
      </c>
      <c r="AY584" s="12">
        <v>3</v>
      </c>
      <c r="AZ584" s="12">
        <v>3</v>
      </c>
      <c r="BA584" s="12">
        <v>2</v>
      </c>
      <c r="BB584" s="12">
        <v>3</v>
      </c>
      <c r="BC584" s="12">
        <v>3</v>
      </c>
      <c r="BD584" s="11" t="s">
        <v>1026</v>
      </c>
      <c r="BE584" s="11" t="s">
        <v>1027</v>
      </c>
    </row>
    <row r="585" spans="1:57" s="8" customFormat="1" ht="101.5" x14ac:dyDescent="0.35">
      <c r="A585" s="7" t="s">
        <v>694</v>
      </c>
      <c r="B585" s="7" t="s">
        <v>695</v>
      </c>
      <c r="C585" s="3" t="s">
        <v>951</v>
      </c>
      <c r="D585" s="3" t="s">
        <v>57</v>
      </c>
      <c r="E585" s="3"/>
      <c r="F585" s="3" t="s">
        <v>53</v>
      </c>
      <c r="G585" s="3" t="s">
        <v>50</v>
      </c>
      <c r="H585" s="4">
        <v>465</v>
      </c>
      <c r="I585" s="4">
        <v>300</v>
      </c>
      <c r="J585" s="3" t="s">
        <v>26</v>
      </c>
      <c r="K585" s="4" t="b">
        <v>0</v>
      </c>
      <c r="L585" s="6">
        <v>0.33333333333333298</v>
      </c>
      <c r="M585" s="6">
        <v>0.33333333333333298</v>
      </c>
      <c r="N585" s="3" t="s">
        <v>58</v>
      </c>
      <c r="O585" s="3" t="s">
        <v>59</v>
      </c>
      <c r="P585" s="3" t="s">
        <v>952</v>
      </c>
      <c r="Q585" s="3" t="s">
        <v>1206</v>
      </c>
      <c r="R585" s="3" t="s">
        <v>1029</v>
      </c>
      <c r="S585" s="3" t="s">
        <v>1006</v>
      </c>
      <c r="T585" s="3" t="s">
        <v>1007</v>
      </c>
      <c r="U585" s="11" t="s">
        <v>2721</v>
      </c>
      <c r="V585" s="11" t="s">
        <v>1064</v>
      </c>
      <c r="W585" s="11" t="s">
        <v>1065</v>
      </c>
      <c r="X585" s="13">
        <v>1</v>
      </c>
      <c r="Y585" s="12"/>
      <c r="Z585" s="11"/>
      <c r="AA585" s="11"/>
      <c r="AB585" s="11"/>
      <c r="AC585" s="11">
        <v>0</v>
      </c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 t="s">
        <v>1019</v>
      </c>
      <c r="AO585" s="11" t="s">
        <v>1208</v>
      </c>
      <c r="AP585" s="11" t="s">
        <v>1021</v>
      </c>
      <c r="AQ585" s="11" t="s">
        <v>1209</v>
      </c>
      <c r="AR585" s="11" t="s">
        <v>1048</v>
      </c>
      <c r="AS585" s="11" t="s">
        <v>1210</v>
      </c>
      <c r="AT585" s="11" t="s">
        <v>1050</v>
      </c>
      <c r="AU585" s="11" t="s">
        <v>1209</v>
      </c>
      <c r="AV585" s="11" t="s">
        <v>1210</v>
      </c>
      <c r="AW585" s="12">
        <v>1</v>
      </c>
      <c r="AX585" s="12">
        <v>1</v>
      </c>
      <c r="AY585" s="12">
        <v>1</v>
      </c>
      <c r="AZ585" s="12">
        <v>1</v>
      </c>
      <c r="BA585" s="12">
        <v>7</v>
      </c>
      <c r="BB585" s="12">
        <v>1</v>
      </c>
      <c r="BC585" s="12">
        <v>1</v>
      </c>
      <c r="BD585" s="11" t="s">
        <v>1026</v>
      </c>
      <c r="BE585" s="11" t="s">
        <v>1051</v>
      </c>
    </row>
    <row r="586" spans="1:57" s="8" customFormat="1" ht="72.5" x14ac:dyDescent="0.35">
      <c r="A586" s="7" t="s">
        <v>694</v>
      </c>
      <c r="B586" s="7" t="s">
        <v>695</v>
      </c>
      <c r="C586" s="3" t="s">
        <v>953</v>
      </c>
      <c r="D586" s="3" t="s">
        <v>57</v>
      </c>
      <c r="E586" s="3"/>
      <c r="F586" s="3" t="s">
        <v>53</v>
      </c>
      <c r="G586" s="3" t="s">
        <v>50</v>
      </c>
      <c r="H586" s="4">
        <v>806</v>
      </c>
      <c r="I586" s="4">
        <v>300</v>
      </c>
      <c r="J586" s="3" t="s">
        <v>26</v>
      </c>
      <c r="K586" s="4" t="b">
        <v>0</v>
      </c>
      <c r="L586" s="6">
        <v>0.33333333333333298</v>
      </c>
      <c r="M586" s="6">
        <v>0.33333333333333298</v>
      </c>
      <c r="N586" s="3" t="s">
        <v>58</v>
      </c>
      <c r="O586" s="3" t="s">
        <v>59</v>
      </c>
      <c r="P586" s="3" t="s">
        <v>954</v>
      </c>
      <c r="Q586" s="3" t="s">
        <v>2722</v>
      </c>
      <c r="R586" s="3" t="s">
        <v>1029</v>
      </c>
      <c r="S586" s="3" t="s">
        <v>1006</v>
      </c>
      <c r="T586" s="3" t="s">
        <v>1007</v>
      </c>
      <c r="U586" s="11" t="s">
        <v>2723</v>
      </c>
      <c r="V586" s="11" t="s">
        <v>1031</v>
      </c>
      <c r="W586" s="11" t="s">
        <v>1032</v>
      </c>
      <c r="X586" s="13">
        <v>0.7</v>
      </c>
      <c r="Y586" s="12"/>
      <c r="Z586" s="11"/>
      <c r="AA586" s="11"/>
      <c r="AB586" s="11"/>
      <c r="AC586" s="11">
        <v>0</v>
      </c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 t="s">
        <v>1019</v>
      </c>
      <c r="AO586" s="11" t="s">
        <v>1886</v>
      </c>
      <c r="AP586" s="11" t="s">
        <v>1114</v>
      </c>
      <c r="AQ586" s="11"/>
      <c r="AR586" s="11" t="s">
        <v>1034</v>
      </c>
      <c r="AS586" s="11"/>
      <c r="AT586" s="11" t="s">
        <v>1034</v>
      </c>
      <c r="AU586" s="11"/>
      <c r="AV586" s="11"/>
      <c r="AW586" s="12">
        <v>1</v>
      </c>
      <c r="AX586" s="12">
        <v>1</v>
      </c>
      <c r="AY586" s="12">
        <v>1</v>
      </c>
      <c r="AZ586" s="12"/>
      <c r="BA586" s="12"/>
      <c r="BB586" s="12"/>
      <c r="BC586" s="12"/>
      <c r="BD586" s="11" t="s">
        <v>1115</v>
      </c>
      <c r="BE586" s="11" t="s">
        <v>1116</v>
      </c>
    </row>
    <row r="587" spans="1:57" s="8" customFormat="1" ht="72.5" x14ac:dyDescent="0.35">
      <c r="A587" s="7" t="s">
        <v>694</v>
      </c>
      <c r="B587" s="7" t="s">
        <v>695</v>
      </c>
      <c r="C587" s="3" t="s">
        <v>955</v>
      </c>
      <c r="D587" s="3" t="s">
        <v>52</v>
      </c>
      <c r="E587" s="3"/>
      <c r="F587" s="3" t="s">
        <v>53</v>
      </c>
      <c r="G587" s="3" t="s">
        <v>50</v>
      </c>
      <c r="H587" s="4">
        <v>751</v>
      </c>
      <c r="I587" s="4">
        <v>500</v>
      </c>
      <c r="J587" s="3" t="s">
        <v>26</v>
      </c>
      <c r="K587" s="4" t="b">
        <v>0</v>
      </c>
      <c r="L587" s="6">
        <v>0.33333333333333298</v>
      </c>
      <c r="M587" s="6">
        <v>0.33333333333333298</v>
      </c>
      <c r="N587" s="3" t="s">
        <v>54</v>
      </c>
      <c r="O587" s="3" t="s">
        <v>55</v>
      </c>
      <c r="P587" s="3" t="s">
        <v>956</v>
      </c>
      <c r="Q587" s="3" t="s">
        <v>2724</v>
      </c>
      <c r="R587" s="3" t="s">
        <v>1005</v>
      </c>
      <c r="S587" s="3" t="s">
        <v>1006</v>
      </c>
      <c r="T587" s="3" t="s">
        <v>1007</v>
      </c>
      <c r="U587" s="11" t="s">
        <v>2725</v>
      </c>
      <c r="V587" s="11" t="s">
        <v>1009</v>
      </c>
      <c r="W587" s="11" t="s">
        <v>1010</v>
      </c>
      <c r="X587" s="13">
        <v>0.71</v>
      </c>
      <c r="Y587" s="12"/>
      <c r="Z587" s="11" t="s">
        <v>2726</v>
      </c>
      <c r="AA587" s="11"/>
      <c r="AB587" s="11"/>
      <c r="AC587" s="11">
        <v>3</v>
      </c>
      <c r="AD587" s="11" t="s">
        <v>1076</v>
      </c>
      <c r="AE587" s="11" t="s">
        <v>2727</v>
      </c>
      <c r="AF587" s="11" t="s">
        <v>1014</v>
      </c>
      <c r="AG587" s="11" t="s">
        <v>1015</v>
      </c>
      <c r="AH587" s="11" t="s">
        <v>54</v>
      </c>
      <c r="AI587" s="11" t="s">
        <v>1016</v>
      </c>
      <c r="AJ587" s="11"/>
      <c r="AK587" s="11" t="s">
        <v>1079</v>
      </c>
      <c r="AL587" s="11" t="s">
        <v>1017</v>
      </c>
      <c r="AM587" s="11" t="s">
        <v>1080</v>
      </c>
      <c r="AN587" s="11" t="s">
        <v>1019</v>
      </c>
      <c r="AO587" s="11" t="s">
        <v>1265</v>
      </c>
      <c r="AP587" s="11" t="s">
        <v>1114</v>
      </c>
      <c r="AQ587" s="11"/>
      <c r="AR587" s="11" t="s">
        <v>1034</v>
      </c>
      <c r="AS587" s="11"/>
      <c r="AT587" s="11" t="s">
        <v>1034</v>
      </c>
      <c r="AU587" s="11"/>
      <c r="AV587" s="11"/>
      <c r="AW587" s="12">
        <v>1</v>
      </c>
      <c r="AX587" s="12">
        <v>1</v>
      </c>
      <c r="AY587" s="12">
        <v>1</v>
      </c>
      <c r="AZ587" s="12"/>
      <c r="BA587" s="12"/>
      <c r="BB587" s="12"/>
      <c r="BC587" s="12"/>
      <c r="BD587" s="11" t="s">
        <v>1115</v>
      </c>
      <c r="BE587" s="11" t="s">
        <v>1116</v>
      </c>
    </row>
    <row r="588" spans="1:57" s="8" customFormat="1" ht="72.5" x14ac:dyDescent="0.35">
      <c r="A588" s="7" t="s">
        <v>694</v>
      </c>
      <c r="B588" s="7" t="s">
        <v>695</v>
      </c>
      <c r="C588" s="3" t="s">
        <v>955</v>
      </c>
      <c r="D588" s="3" t="s">
        <v>57</v>
      </c>
      <c r="E588" s="3"/>
      <c r="F588" s="3" t="s">
        <v>53</v>
      </c>
      <c r="G588" s="3" t="s">
        <v>50</v>
      </c>
      <c r="H588" s="4">
        <v>751</v>
      </c>
      <c r="I588" s="4">
        <v>300</v>
      </c>
      <c r="J588" s="3" t="s">
        <v>26</v>
      </c>
      <c r="K588" s="4" t="b">
        <v>0</v>
      </c>
      <c r="L588" s="6">
        <v>0.66666666666666596</v>
      </c>
      <c r="M588" s="6">
        <v>0.66666666666666596</v>
      </c>
      <c r="N588" s="3" t="s">
        <v>136</v>
      </c>
      <c r="O588" s="3" t="s">
        <v>137</v>
      </c>
      <c r="P588" s="3" t="s">
        <v>956</v>
      </c>
      <c r="Q588" s="3" t="s">
        <v>2724</v>
      </c>
      <c r="R588" s="3" t="s">
        <v>1005</v>
      </c>
      <c r="S588" s="3" t="s">
        <v>1006</v>
      </c>
      <c r="T588" s="3" t="s">
        <v>1007</v>
      </c>
      <c r="U588" s="11" t="s">
        <v>2725</v>
      </c>
      <c r="V588" s="11" t="s">
        <v>1009</v>
      </c>
      <c r="W588" s="11" t="s">
        <v>1010</v>
      </c>
      <c r="X588" s="13">
        <v>0.71</v>
      </c>
      <c r="Y588" s="12"/>
      <c r="Z588" s="11" t="s">
        <v>2726</v>
      </c>
      <c r="AA588" s="11"/>
      <c r="AB588" s="11"/>
      <c r="AC588" s="11">
        <v>0</v>
      </c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 t="s">
        <v>1019</v>
      </c>
      <c r="AO588" s="11" t="s">
        <v>1265</v>
      </c>
      <c r="AP588" s="11" t="s">
        <v>1114</v>
      </c>
      <c r="AQ588" s="11"/>
      <c r="AR588" s="11" t="s">
        <v>1034</v>
      </c>
      <c r="AS588" s="11"/>
      <c r="AT588" s="11" t="s">
        <v>1034</v>
      </c>
      <c r="AU588" s="11"/>
      <c r="AV588" s="11"/>
      <c r="AW588" s="12">
        <v>1</v>
      </c>
      <c r="AX588" s="12">
        <v>1</v>
      </c>
      <c r="AY588" s="12">
        <v>1</v>
      </c>
      <c r="AZ588" s="12"/>
      <c r="BA588" s="12"/>
      <c r="BB588" s="12"/>
      <c r="BC588" s="12"/>
      <c r="BD588" s="11" t="s">
        <v>1115</v>
      </c>
      <c r="BE588" s="11" t="s">
        <v>1116</v>
      </c>
    </row>
    <row r="589" spans="1:57" s="8" customFormat="1" ht="72.5" x14ac:dyDescent="0.35">
      <c r="A589" s="7" t="s">
        <v>694</v>
      </c>
      <c r="B589" s="7" t="s">
        <v>695</v>
      </c>
      <c r="C589" s="3" t="s">
        <v>955</v>
      </c>
      <c r="D589" s="3" t="s">
        <v>98</v>
      </c>
      <c r="E589" s="3"/>
      <c r="F589" s="3" t="s">
        <v>53</v>
      </c>
      <c r="G589" s="3" t="s">
        <v>50</v>
      </c>
      <c r="H589" s="4">
        <v>751</v>
      </c>
      <c r="I589" s="4">
        <v>300</v>
      </c>
      <c r="J589" s="3" t="s">
        <v>26</v>
      </c>
      <c r="K589" s="4" t="b">
        <v>0</v>
      </c>
      <c r="L589" s="6">
        <v>0.5</v>
      </c>
      <c r="M589" s="6">
        <v>0.5</v>
      </c>
      <c r="N589" s="3" t="s">
        <v>58</v>
      </c>
      <c r="O589" s="3" t="s">
        <v>99</v>
      </c>
      <c r="P589" s="3" t="s">
        <v>956</v>
      </c>
      <c r="Q589" s="3" t="s">
        <v>2724</v>
      </c>
      <c r="R589" s="3" t="s">
        <v>1005</v>
      </c>
      <c r="S589" s="3" t="s">
        <v>1006</v>
      </c>
      <c r="T589" s="3" t="s">
        <v>1007</v>
      </c>
      <c r="U589" s="11" t="s">
        <v>2725</v>
      </c>
      <c r="V589" s="11" t="s">
        <v>1009</v>
      </c>
      <c r="W589" s="11" t="s">
        <v>1010</v>
      </c>
      <c r="X589" s="13">
        <v>0.71</v>
      </c>
      <c r="Y589" s="12"/>
      <c r="Z589" s="11" t="s">
        <v>2726</v>
      </c>
      <c r="AA589" s="11"/>
      <c r="AB589" s="11"/>
      <c r="AC589" s="11">
        <v>0</v>
      </c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 t="s">
        <v>1019</v>
      </c>
      <c r="AO589" s="11" t="s">
        <v>1265</v>
      </c>
      <c r="AP589" s="11" t="s">
        <v>1114</v>
      </c>
      <c r="AQ589" s="11"/>
      <c r="AR589" s="11" t="s">
        <v>1034</v>
      </c>
      <c r="AS589" s="11"/>
      <c r="AT589" s="11" t="s">
        <v>1034</v>
      </c>
      <c r="AU589" s="11"/>
      <c r="AV589" s="11"/>
      <c r="AW589" s="12">
        <v>1</v>
      </c>
      <c r="AX589" s="12">
        <v>1</v>
      </c>
      <c r="AY589" s="12">
        <v>1</v>
      </c>
      <c r="AZ589" s="12"/>
      <c r="BA589" s="12"/>
      <c r="BB589" s="12"/>
      <c r="BC589" s="12"/>
      <c r="BD589" s="11" t="s">
        <v>1115</v>
      </c>
      <c r="BE589" s="11" t="s">
        <v>1116</v>
      </c>
    </row>
    <row r="590" spans="1:57" s="8" customFormat="1" ht="159.5" x14ac:dyDescent="0.35">
      <c r="A590" s="7" t="s">
        <v>694</v>
      </c>
      <c r="B590" s="7" t="s">
        <v>695</v>
      </c>
      <c r="C590" s="3" t="s">
        <v>957</v>
      </c>
      <c r="D590" s="3" t="s">
        <v>23</v>
      </c>
      <c r="E590" s="3" t="s">
        <v>23</v>
      </c>
      <c r="F590" s="3" t="s">
        <v>24</v>
      </c>
      <c r="G590" s="3" t="s">
        <v>25</v>
      </c>
      <c r="H590" s="4">
        <v>2917</v>
      </c>
      <c r="I590" s="4">
        <v>800</v>
      </c>
      <c r="J590" s="3" t="s">
        <v>26</v>
      </c>
      <c r="K590" s="4" t="b">
        <v>1</v>
      </c>
      <c r="L590" s="6">
        <v>1</v>
      </c>
      <c r="M590" s="6">
        <v>1</v>
      </c>
      <c r="N590" s="3" t="s">
        <v>27</v>
      </c>
      <c r="O590" s="3"/>
      <c r="P590" s="3" t="s">
        <v>958</v>
      </c>
      <c r="Q590" s="3" t="s">
        <v>2728</v>
      </c>
      <c r="R590" s="3" t="s">
        <v>1005</v>
      </c>
      <c r="S590" s="3" t="s">
        <v>1006</v>
      </c>
      <c r="T590" s="3" t="s">
        <v>1007</v>
      </c>
      <c r="U590" s="11" t="s">
        <v>2729</v>
      </c>
      <c r="V590" s="11" t="s">
        <v>1031</v>
      </c>
      <c r="W590" s="11" t="s">
        <v>1032</v>
      </c>
      <c r="X590" s="13">
        <v>0.7</v>
      </c>
      <c r="Y590" s="12"/>
      <c r="Z590" s="11"/>
      <c r="AA590" s="11"/>
      <c r="AB590" s="11"/>
      <c r="AC590" s="11">
        <v>6</v>
      </c>
      <c r="AD590" s="11" t="s">
        <v>1012</v>
      </c>
      <c r="AE590" s="11" t="s">
        <v>2730</v>
      </c>
      <c r="AF590" s="11" t="s">
        <v>1014</v>
      </c>
      <c r="AG590" s="11" t="s">
        <v>1015</v>
      </c>
      <c r="AH590" s="11"/>
      <c r="AI590" s="11" t="s">
        <v>1016</v>
      </c>
      <c r="AJ590" s="11"/>
      <c r="AK590" s="11" t="s">
        <v>262</v>
      </c>
      <c r="AL590" s="11" t="s">
        <v>1017</v>
      </c>
      <c r="AM590" s="11" t="s">
        <v>1018</v>
      </c>
      <c r="AN590" s="11" t="s">
        <v>1019</v>
      </c>
      <c r="AO590" s="11" t="s">
        <v>1020</v>
      </c>
      <c r="AP590" s="11" t="s">
        <v>1021</v>
      </c>
      <c r="AQ590" s="11" t="s">
        <v>1022</v>
      </c>
      <c r="AR590" s="11" t="s">
        <v>1023</v>
      </c>
      <c r="AS590" s="11" t="s">
        <v>1024</v>
      </c>
      <c r="AT590" s="11" t="s">
        <v>1025</v>
      </c>
      <c r="AU590" s="11" t="s">
        <v>1022</v>
      </c>
      <c r="AV590" s="11" t="s">
        <v>1024</v>
      </c>
      <c r="AW590" s="12">
        <v>2</v>
      </c>
      <c r="AX590" s="12">
        <v>2</v>
      </c>
      <c r="AY590" s="12">
        <v>2</v>
      </c>
      <c r="AZ590" s="12">
        <v>2</v>
      </c>
      <c r="BA590" s="12">
        <v>3</v>
      </c>
      <c r="BB590" s="12">
        <v>2</v>
      </c>
      <c r="BC590" s="12">
        <v>1</v>
      </c>
      <c r="BD590" s="11" t="s">
        <v>1026</v>
      </c>
      <c r="BE590" s="11" t="s">
        <v>1027</v>
      </c>
    </row>
    <row r="591" spans="1:57" s="8" customFormat="1" ht="275.5" x14ac:dyDescent="0.35">
      <c r="A591" s="7" t="s">
        <v>694</v>
      </c>
      <c r="B591" s="7" t="s">
        <v>695</v>
      </c>
      <c r="C591" s="3" t="s">
        <v>959</v>
      </c>
      <c r="D591" s="3" t="s">
        <v>35</v>
      </c>
      <c r="E591" s="3" t="s">
        <v>35</v>
      </c>
      <c r="F591" s="3" t="s">
        <v>36</v>
      </c>
      <c r="G591" s="3" t="s">
        <v>25</v>
      </c>
      <c r="H591" s="4">
        <v>3681</v>
      </c>
      <c r="I591" s="4">
        <v>400</v>
      </c>
      <c r="J591" s="3" t="s">
        <v>26</v>
      </c>
      <c r="K591" s="4" t="b">
        <v>1</v>
      </c>
      <c r="L591" s="6">
        <v>1</v>
      </c>
      <c r="M591" s="6">
        <v>1</v>
      </c>
      <c r="N591" s="3" t="s">
        <v>345</v>
      </c>
      <c r="O591" s="3"/>
      <c r="P591" s="3" t="s">
        <v>960</v>
      </c>
      <c r="Q591" s="3" t="s">
        <v>2731</v>
      </c>
      <c r="R591" s="3" t="s">
        <v>1139</v>
      </c>
      <c r="S591" s="3" t="s">
        <v>1791</v>
      </c>
      <c r="T591" s="3" t="s">
        <v>2732</v>
      </c>
      <c r="U591" s="11" t="s">
        <v>2733</v>
      </c>
      <c r="V591" s="11" t="s">
        <v>1009</v>
      </c>
      <c r="W591" s="11" t="s">
        <v>1010</v>
      </c>
      <c r="X591" s="13">
        <v>0.78</v>
      </c>
      <c r="Y591" s="12" t="s">
        <v>1794</v>
      </c>
      <c r="Z591" s="11" t="s">
        <v>2734</v>
      </c>
      <c r="AA591" s="11"/>
      <c r="AB591" s="11"/>
      <c r="AC591" s="11">
        <v>0</v>
      </c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 t="s">
        <v>1019</v>
      </c>
      <c r="AO591" s="11" t="s">
        <v>1795</v>
      </c>
      <c r="AP591" s="11" t="s">
        <v>1021</v>
      </c>
      <c r="AQ591" s="11" t="s">
        <v>1796</v>
      </c>
      <c r="AR591" s="11" t="s">
        <v>1048</v>
      </c>
      <c r="AS591" s="11" t="s">
        <v>1797</v>
      </c>
      <c r="AT591" s="11" t="s">
        <v>1050</v>
      </c>
      <c r="AU591" s="11" t="s">
        <v>1796</v>
      </c>
      <c r="AV591" s="11" t="s">
        <v>1797</v>
      </c>
      <c r="AW591" s="12">
        <v>3</v>
      </c>
      <c r="AX591" s="12">
        <v>1</v>
      </c>
      <c r="AY591" s="12">
        <v>1</v>
      </c>
      <c r="AZ591" s="12">
        <v>1</v>
      </c>
      <c r="BA591" s="12">
        <v>2</v>
      </c>
      <c r="BB591" s="12">
        <v>1</v>
      </c>
      <c r="BC591" s="12">
        <v>1</v>
      </c>
      <c r="BD591" s="11" t="s">
        <v>1026</v>
      </c>
      <c r="BE591" s="11" t="s">
        <v>1051</v>
      </c>
    </row>
    <row r="592" spans="1:57" s="8" customFormat="1" ht="58" x14ac:dyDescent="0.35">
      <c r="A592" s="7" t="s">
        <v>694</v>
      </c>
      <c r="B592" s="7" t="s">
        <v>695</v>
      </c>
      <c r="C592" s="3" t="s">
        <v>961</v>
      </c>
      <c r="D592" s="3" t="s">
        <v>41</v>
      </c>
      <c r="E592" s="3" t="s">
        <v>41</v>
      </c>
      <c r="F592" s="3" t="s">
        <v>36</v>
      </c>
      <c r="G592" s="3" t="s">
        <v>25</v>
      </c>
      <c r="H592" s="4">
        <v>1329</v>
      </c>
      <c r="I592" s="4">
        <v>150</v>
      </c>
      <c r="J592" s="3" t="s">
        <v>26</v>
      </c>
      <c r="K592" s="4" t="b">
        <v>1</v>
      </c>
      <c r="L592" s="6">
        <v>1</v>
      </c>
      <c r="M592" s="6">
        <v>1</v>
      </c>
      <c r="N592" s="3" t="s">
        <v>42</v>
      </c>
      <c r="O592" s="3"/>
      <c r="P592" s="3" t="s">
        <v>962</v>
      </c>
      <c r="Q592" s="3" t="s">
        <v>2735</v>
      </c>
      <c r="R592" s="3" t="s">
        <v>1039</v>
      </c>
      <c r="S592" s="3" t="s">
        <v>1634</v>
      </c>
      <c r="T592" s="3" t="s">
        <v>2736</v>
      </c>
      <c r="U592" s="11" t="s">
        <v>2737</v>
      </c>
      <c r="V592" s="11" t="s">
        <v>1009</v>
      </c>
      <c r="W592" s="11" t="s">
        <v>1010</v>
      </c>
      <c r="X592" s="13">
        <v>0.95</v>
      </c>
      <c r="Y592" s="12"/>
      <c r="Z592" s="11" t="s">
        <v>2738</v>
      </c>
      <c r="AA592" s="11"/>
      <c r="AB592" s="11"/>
      <c r="AC592" s="11">
        <v>2</v>
      </c>
      <c r="AD592" s="11" t="s">
        <v>1148</v>
      </c>
      <c r="AE592" s="11" t="s">
        <v>2739</v>
      </c>
      <c r="AF592" s="11" t="s">
        <v>1014</v>
      </c>
      <c r="AG592" s="11" t="s">
        <v>1150</v>
      </c>
      <c r="AH592" s="11"/>
      <c r="AI592" s="11" t="s">
        <v>1016</v>
      </c>
      <c r="AJ592" s="11"/>
      <c r="AK592" s="11" t="s">
        <v>1151</v>
      </c>
      <c r="AL592" s="11" t="s">
        <v>1017</v>
      </c>
      <c r="AM592" s="11" t="s">
        <v>1152</v>
      </c>
      <c r="AN592" s="11" t="s">
        <v>1019</v>
      </c>
      <c r="AO592" s="11" t="s">
        <v>1480</v>
      </c>
      <c r="AP592" s="11" t="s">
        <v>1021</v>
      </c>
      <c r="AQ592" s="11" t="s">
        <v>1481</v>
      </c>
      <c r="AR592" s="11" t="s">
        <v>1023</v>
      </c>
      <c r="AS592" s="11"/>
      <c r="AT592" s="11" t="s">
        <v>1034</v>
      </c>
      <c r="AU592" s="11" t="s">
        <v>1481</v>
      </c>
      <c r="AV592" s="11"/>
      <c r="AW592" s="12">
        <v>3</v>
      </c>
      <c r="AX592" s="12">
        <v>3</v>
      </c>
      <c r="AY592" s="12">
        <v>3</v>
      </c>
      <c r="AZ592" s="12">
        <v>3</v>
      </c>
      <c r="BA592" s="12">
        <v>5</v>
      </c>
      <c r="BB592" s="12"/>
      <c r="BC592" s="12"/>
      <c r="BD592" s="11" t="s">
        <v>1093</v>
      </c>
      <c r="BE592" s="11" t="s">
        <v>1037</v>
      </c>
    </row>
    <row r="593" spans="1:57" s="8" customFormat="1" ht="43.5" x14ac:dyDescent="0.35">
      <c r="A593" s="7" t="s">
        <v>694</v>
      </c>
      <c r="B593" s="7" t="s">
        <v>695</v>
      </c>
      <c r="C593" s="3" t="s">
        <v>963</v>
      </c>
      <c r="D593" s="3" t="s">
        <v>52</v>
      </c>
      <c r="E593" s="3"/>
      <c r="F593" s="3" t="s">
        <v>53</v>
      </c>
      <c r="G593" s="3" t="s">
        <v>50</v>
      </c>
      <c r="H593" s="4">
        <v>489</v>
      </c>
      <c r="I593" s="4">
        <v>500</v>
      </c>
      <c r="J593" s="3" t="s">
        <v>74</v>
      </c>
      <c r="K593" s="4" t="b">
        <v>0</v>
      </c>
      <c r="L593" s="6">
        <v>0.33333333333333298</v>
      </c>
      <c r="M593" s="6">
        <v>0.33333333333333298</v>
      </c>
      <c r="N593" s="3" t="s">
        <v>54</v>
      </c>
      <c r="O593" s="3" t="s">
        <v>55</v>
      </c>
      <c r="P593" s="3" t="s">
        <v>964</v>
      </c>
      <c r="Q593" s="3" t="s">
        <v>2740</v>
      </c>
      <c r="R593" s="3" t="s">
        <v>1005</v>
      </c>
      <c r="S593" s="3" t="s">
        <v>1006</v>
      </c>
      <c r="T593" s="3" t="s">
        <v>1007</v>
      </c>
      <c r="U593" s="11" t="s">
        <v>2741</v>
      </c>
      <c r="V593" s="11" t="s">
        <v>1031</v>
      </c>
      <c r="W593" s="11" t="s">
        <v>1032</v>
      </c>
      <c r="X593" s="13">
        <v>0.7</v>
      </c>
      <c r="Y593" s="12"/>
      <c r="Z593" s="11"/>
      <c r="AA593" s="11"/>
      <c r="AB593" s="11"/>
      <c r="AC593" s="11">
        <v>1</v>
      </c>
      <c r="AD593" s="11" t="s">
        <v>1076</v>
      </c>
      <c r="AE593" s="11" t="s">
        <v>2742</v>
      </c>
      <c r="AF593" s="11" t="s">
        <v>1014</v>
      </c>
      <c r="AG593" s="11" t="s">
        <v>1015</v>
      </c>
      <c r="AH593" s="11" t="s">
        <v>1078</v>
      </c>
      <c r="AI593" s="11" t="s">
        <v>1016</v>
      </c>
      <c r="AJ593" s="11"/>
      <c r="AK593" s="11" t="s">
        <v>1079</v>
      </c>
      <c r="AL593" s="11" t="s">
        <v>1017</v>
      </c>
      <c r="AM593" s="11" t="s">
        <v>1080</v>
      </c>
      <c r="AN593" s="11" t="s">
        <v>1019</v>
      </c>
      <c r="AO593" s="11" t="s">
        <v>1547</v>
      </c>
      <c r="AP593" s="11" t="s">
        <v>1021</v>
      </c>
      <c r="AQ593" s="11" t="s">
        <v>1548</v>
      </c>
      <c r="AR593" s="11" t="s">
        <v>1050</v>
      </c>
      <c r="AS593" s="11" t="s">
        <v>1549</v>
      </c>
      <c r="AT593" s="11" t="s">
        <v>1050</v>
      </c>
      <c r="AU593" s="11" t="s">
        <v>1548</v>
      </c>
      <c r="AV593" s="11" t="s">
        <v>1549</v>
      </c>
      <c r="AW593" s="12">
        <v>1</v>
      </c>
      <c r="AX593" s="12">
        <v>1</v>
      </c>
      <c r="AY593" s="12">
        <v>1</v>
      </c>
      <c r="AZ593" s="12">
        <v>1</v>
      </c>
      <c r="BA593" s="12">
        <v>1</v>
      </c>
      <c r="BB593" s="12">
        <v>1</v>
      </c>
      <c r="BC593" s="12">
        <v>1</v>
      </c>
      <c r="BD593" s="11" t="s">
        <v>1026</v>
      </c>
      <c r="BE593" s="11" t="s">
        <v>1103</v>
      </c>
    </row>
    <row r="594" spans="1:57" s="8" customFormat="1" ht="43.5" x14ac:dyDescent="0.35">
      <c r="A594" s="7" t="s">
        <v>694</v>
      </c>
      <c r="B594" s="7" t="s">
        <v>695</v>
      </c>
      <c r="C594" s="3" t="s">
        <v>963</v>
      </c>
      <c r="D594" s="3" t="s">
        <v>57</v>
      </c>
      <c r="E594" s="3"/>
      <c r="F594" s="3" t="s">
        <v>53</v>
      </c>
      <c r="G594" s="3" t="s">
        <v>50</v>
      </c>
      <c r="H594" s="4">
        <v>489</v>
      </c>
      <c r="I594" s="4">
        <v>300</v>
      </c>
      <c r="J594" s="3" t="s">
        <v>26</v>
      </c>
      <c r="K594" s="4" t="b">
        <v>0</v>
      </c>
      <c r="L594" s="6">
        <v>0.33333333333333298</v>
      </c>
      <c r="M594" s="6">
        <v>0.33333333333333298</v>
      </c>
      <c r="N594" s="3" t="s">
        <v>58</v>
      </c>
      <c r="O594" s="3" t="s">
        <v>59</v>
      </c>
      <c r="P594" s="3" t="s">
        <v>964</v>
      </c>
      <c r="Q594" s="3" t="s">
        <v>2740</v>
      </c>
      <c r="R594" s="3" t="s">
        <v>1005</v>
      </c>
      <c r="S594" s="3" t="s">
        <v>1006</v>
      </c>
      <c r="T594" s="3" t="s">
        <v>1007</v>
      </c>
      <c r="U594" s="11" t="s">
        <v>2741</v>
      </c>
      <c r="V594" s="11" t="s">
        <v>1031</v>
      </c>
      <c r="W594" s="11" t="s">
        <v>1032</v>
      </c>
      <c r="X594" s="13">
        <v>0.7</v>
      </c>
      <c r="Y594" s="12"/>
      <c r="Z594" s="11"/>
      <c r="AA594" s="11"/>
      <c r="AB594" s="11"/>
      <c r="AC594" s="11">
        <v>0</v>
      </c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 t="s">
        <v>1019</v>
      </c>
      <c r="AO594" s="11" t="s">
        <v>1547</v>
      </c>
      <c r="AP594" s="11" t="s">
        <v>1021</v>
      </c>
      <c r="AQ594" s="11" t="s">
        <v>1548</v>
      </c>
      <c r="AR594" s="11" t="s">
        <v>1050</v>
      </c>
      <c r="AS594" s="11" t="s">
        <v>1549</v>
      </c>
      <c r="AT594" s="11" t="s">
        <v>1050</v>
      </c>
      <c r="AU594" s="11" t="s">
        <v>1548</v>
      </c>
      <c r="AV594" s="11" t="s">
        <v>1549</v>
      </c>
      <c r="AW594" s="12">
        <v>1</v>
      </c>
      <c r="AX594" s="12">
        <v>1</v>
      </c>
      <c r="AY594" s="12">
        <v>1</v>
      </c>
      <c r="AZ594" s="12">
        <v>1</v>
      </c>
      <c r="BA594" s="12">
        <v>1</v>
      </c>
      <c r="BB594" s="12">
        <v>1</v>
      </c>
      <c r="BC594" s="12">
        <v>1</v>
      </c>
      <c r="BD594" s="11" t="s">
        <v>1026</v>
      </c>
      <c r="BE594" s="11" t="s">
        <v>1103</v>
      </c>
    </row>
    <row r="595" spans="1:57" s="8" customFormat="1" ht="43.5" x14ac:dyDescent="0.35">
      <c r="A595" s="7" t="s">
        <v>694</v>
      </c>
      <c r="B595" s="7" t="s">
        <v>695</v>
      </c>
      <c r="C595" s="3" t="s">
        <v>963</v>
      </c>
      <c r="D595" s="3" t="s">
        <v>98</v>
      </c>
      <c r="E595" s="3"/>
      <c r="F595" s="3" t="s">
        <v>53</v>
      </c>
      <c r="G595" s="3" t="s">
        <v>50</v>
      </c>
      <c r="H595" s="4">
        <v>489</v>
      </c>
      <c r="I595" s="4">
        <v>300</v>
      </c>
      <c r="J595" s="3" t="s">
        <v>26</v>
      </c>
      <c r="K595" s="4" t="b">
        <v>0</v>
      </c>
      <c r="L595" s="6">
        <v>0.5</v>
      </c>
      <c r="M595" s="6">
        <v>0.5</v>
      </c>
      <c r="N595" s="3" t="s">
        <v>58</v>
      </c>
      <c r="O595" s="3" t="s">
        <v>99</v>
      </c>
      <c r="P595" s="3" t="s">
        <v>964</v>
      </c>
      <c r="Q595" s="3" t="s">
        <v>2740</v>
      </c>
      <c r="R595" s="3" t="s">
        <v>1005</v>
      </c>
      <c r="S595" s="3" t="s">
        <v>1006</v>
      </c>
      <c r="T595" s="3" t="s">
        <v>1007</v>
      </c>
      <c r="U595" s="11" t="s">
        <v>2741</v>
      </c>
      <c r="V595" s="11" t="s">
        <v>1031</v>
      </c>
      <c r="W595" s="11" t="s">
        <v>1032</v>
      </c>
      <c r="X595" s="13">
        <v>0.7</v>
      </c>
      <c r="Y595" s="12"/>
      <c r="Z595" s="11"/>
      <c r="AA595" s="11"/>
      <c r="AB595" s="11"/>
      <c r="AC595" s="11">
        <v>0</v>
      </c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 t="s">
        <v>1019</v>
      </c>
      <c r="AO595" s="11" t="s">
        <v>1547</v>
      </c>
      <c r="AP595" s="11" t="s">
        <v>1021</v>
      </c>
      <c r="AQ595" s="11" t="s">
        <v>1548</v>
      </c>
      <c r="AR595" s="11" t="s">
        <v>1050</v>
      </c>
      <c r="AS595" s="11" t="s">
        <v>1549</v>
      </c>
      <c r="AT595" s="11" t="s">
        <v>1050</v>
      </c>
      <c r="AU595" s="11" t="s">
        <v>1548</v>
      </c>
      <c r="AV595" s="11" t="s">
        <v>1549</v>
      </c>
      <c r="AW595" s="12">
        <v>1</v>
      </c>
      <c r="AX595" s="12">
        <v>1</v>
      </c>
      <c r="AY595" s="12">
        <v>1</v>
      </c>
      <c r="AZ595" s="12">
        <v>1</v>
      </c>
      <c r="BA595" s="12">
        <v>1</v>
      </c>
      <c r="BB595" s="12">
        <v>1</v>
      </c>
      <c r="BC595" s="12">
        <v>1</v>
      </c>
      <c r="BD595" s="11" t="s">
        <v>1026</v>
      </c>
      <c r="BE595" s="11" t="s">
        <v>1103</v>
      </c>
    </row>
    <row r="596" spans="1:57" s="8" customFormat="1" ht="72.5" x14ac:dyDescent="0.35">
      <c r="A596" s="7" t="s">
        <v>694</v>
      </c>
      <c r="B596" s="7" t="s">
        <v>695</v>
      </c>
      <c r="C596" s="3" t="s">
        <v>965</v>
      </c>
      <c r="D596" s="3" t="s">
        <v>52</v>
      </c>
      <c r="E596" s="3"/>
      <c r="F596" s="3" t="s">
        <v>53</v>
      </c>
      <c r="G596" s="3" t="s">
        <v>50</v>
      </c>
      <c r="H596" s="4">
        <v>565</v>
      </c>
      <c r="I596" s="4">
        <v>500</v>
      </c>
      <c r="J596" s="3" t="s">
        <v>26</v>
      </c>
      <c r="K596" s="4" t="b">
        <v>0</v>
      </c>
      <c r="L596" s="6">
        <v>0.33333333333333298</v>
      </c>
      <c r="M596" s="6">
        <v>0.33333333333333298</v>
      </c>
      <c r="N596" s="3" t="s">
        <v>54</v>
      </c>
      <c r="O596" s="3" t="s">
        <v>55</v>
      </c>
      <c r="P596" s="3" t="s">
        <v>966</v>
      </c>
      <c r="Q596" s="3" t="s">
        <v>2743</v>
      </c>
      <c r="R596" s="3" t="s">
        <v>1139</v>
      </c>
      <c r="S596" s="3" t="s">
        <v>1006</v>
      </c>
      <c r="T596" s="3" t="s">
        <v>1361</v>
      </c>
      <c r="U596" s="11" t="s">
        <v>2744</v>
      </c>
      <c r="V596" s="11" t="s">
        <v>1031</v>
      </c>
      <c r="W596" s="11" t="s">
        <v>1032</v>
      </c>
      <c r="X596" s="13">
        <v>0.77</v>
      </c>
      <c r="Y596" s="12"/>
      <c r="Z596" s="11"/>
      <c r="AA596" s="11"/>
      <c r="AB596" s="11"/>
      <c r="AC596" s="11">
        <v>4</v>
      </c>
      <c r="AD596" s="11" t="s">
        <v>1076</v>
      </c>
      <c r="AE596" s="11" t="s">
        <v>2745</v>
      </c>
      <c r="AF596" s="11" t="s">
        <v>1014</v>
      </c>
      <c r="AG596" s="11" t="s">
        <v>1015</v>
      </c>
      <c r="AH596" s="11" t="s">
        <v>1199</v>
      </c>
      <c r="AI596" s="11" t="s">
        <v>1016</v>
      </c>
      <c r="AJ596" s="11"/>
      <c r="AK596" s="11" t="s">
        <v>1079</v>
      </c>
      <c r="AL596" s="11" t="s">
        <v>1017</v>
      </c>
      <c r="AM596" s="11" t="s">
        <v>1080</v>
      </c>
      <c r="AN596" s="11" t="s">
        <v>1019</v>
      </c>
      <c r="AO596" s="11" t="s">
        <v>1200</v>
      </c>
      <c r="AP596" s="11" t="s">
        <v>1114</v>
      </c>
      <c r="AQ596" s="11"/>
      <c r="AR596" s="11" t="s">
        <v>1034</v>
      </c>
      <c r="AS596" s="11"/>
      <c r="AT596" s="11" t="s">
        <v>1034</v>
      </c>
      <c r="AU596" s="11"/>
      <c r="AV596" s="11"/>
      <c r="AW596" s="12">
        <v>1</v>
      </c>
      <c r="AX596" s="12">
        <v>1</v>
      </c>
      <c r="AY596" s="12">
        <v>2</v>
      </c>
      <c r="AZ596" s="12"/>
      <c r="BA596" s="12"/>
      <c r="BB596" s="12"/>
      <c r="BC596" s="12"/>
      <c r="BD596" s="11" t="s">
        <v>1115</v>
      </c>
      <c r="BE596" s="11" t="s">
        <v>1116</v>
      </c>
    </row>
    <row r="597" spans="1:57" s="8" customFormat="1" ht="72.5" x14ac:dyDescent="0.35">
      <c r="A597" s="7" t="s">
        <v>694</v>
      </c>
      <c r="B597" s="7" t="s">
        <v>695</v>
      </c>
      <c r="C597" s="3" t="s">
        <v>965</v>
      </c>
      <c r="D597" s="3" t="s">
        <v>57</v>
      </c>
      <c r="E597" s="3" t="s">
        <v>57</v>
      </c>
      <c r="F597" s="3" t="s">
        <v>53</v>
      </c>
      <c r="G597" s="3" t="s">
        <v>25</v>
      </c>
      <c r="H597" s="4">
        <v>565</v>
      </c>
      <c r="I597" s="4">
        <v>300</v>
      </c>
      <c r="J597" s="3" t="s">
        <v>26</v>
      </c>
      <c r="K597" s="4" t="b">
        <v>1</v>
      </c>
      <c r="L597" s="6">
        <v>1</v>
      </c>
      <c r="M597" s="6">
        <v>1</v>
      </c>
      <c r="N597" s="3" t="s">
        <v>62</v>
      </c>
      <c r="O597" s="3"/>
      <c r="P597" s="3" t="s">
        <v>966</v>
      </c>
      <c r="Q597" s="3" t="s">
        <v>2743</v>
      </c>
      <c r="R597" s="3" t="s">
        <v>1139</v>
      </c>
      <c r="S597" s="3" t="s">
        <v>1006</v>
      </c>
      <c r="T597" s="3" t="s">
        <v>1361</v>
      </c>
      <c r="U597" s="11" t="s">
        <v>2744</v>
      </c>
      <c r="V597" s="11" t="s">
        <v>1031</v>
      </c>
      <c r="W597" s="11" t="s">
        <v>1032</v>
      </c>
      <c r="X597" s="13">
        <v>0.77</v>
      </c>
      <c r="Y597" s="12"/>
      <c r="Z597" s="11"/>
      <c r="AA597" s="11"/>
      <c r="AB597" s="11"/>
      <c r="AC597" s="11">
        <v>1</v>
      </c>
      <c r="AD597" s="11" t="s">
        <v>1201</v>
      </c>
      <c r="AE597" s="11" t="s">
        <v>1202</v>
      </c>
      <c r="AF597" s="11" t="s">
        <v>1014</v>
      </c>
      <c r="AG597" s="11" t="s">
        <v>1203</v>
      </c>
      <c r="AH597" s="11"/>
      <c r="AI597" s="11" t="s">
        <v>1016</v>
      </c>
      <c r="AJ597" s="11"/>
      <c r="AK597" s="11" t="s">
        <v>1204</v>
      </c>
      <c r="AL597" s="11" t="s">
        <v>1017</v>
      </c>
      <c r="AM597" s="11" t="s">
        <v>1205</v>
      </c>
      <c r="AN597" s="11" t="s">
        <v>1019</v>
      </c>
      <c r="AO597" s="11" t="s">
        <v>1200</v>
      </c>
      <c r="AP597" s="11" t="s">
        <v>1114</v>
      </c>
      <c r="AQ597" s="11"/>
      <c r="AR597" s="11" t="s">
        <v>1034</v>
      </c>
      <c r="AS597" s="11"/>
      <c r="AT597" s="11" t="s">
        <v>1034</v>
      </c>
      <c r="AU597" s="11"/>
      <c r="AV597" s="11"/>
      <c r="AW597" s="12">
        <v>1</v>
      </c>
      <c r="AX597" s="12">
        <v>1</v>
      </c>
      <c r="AY597" s="12">
        <v>2</v>
      </c>
      <c r="AZ597" s="12"/>
      <c r="BA597" s="12"/>
      <c r="BB597" s="12"/>
      <c r="BC597" s="12"/>
      <c r="BD597" s="11" t="s">
        <v>1115</v>
      </c>
      <c r="BE597" s="11" t="s">
        <v>1116</v>
      </c>
    </row>
    <row r="598" spans="1:57" s="8" customFormat="1" ht="72.5" x14ac:dyDescent="0.35">
      <c r="A598" s="7" t="s">
        <v>694</v>
      </c>
      <c r="B598" s="7" t="s">
        <v>695</v>
      </c>
      <c r="C598" s="3" t="s">
        <v>965</v>
      </c>
      <c r="D598" s="3" t="s">
        <v>98</v>
      </c>
      <c r="E598" s="3"/>
      <c r="F598" s="3" t="s">
        <v>53</v>
      </c>
      <c r="G598" s="3" t="s">
        <v>50</v>
      </c>
      <c r="H598" s="4">
        <v>565</v>
      </c>
      <c r="I598" s="4">
        <v>300</v>
      </c>
      <c r="J598" s="3" t="s">
        <v>26</v>
      </c>
      <c r="K598" s="4" t="b">
        <v>0</v>
      </c>
      <c r="L598" s="6">
        <v>0.5</v>
      </c>
      <c r="M598" s="6">
        <v>0.5</v>
      </c>
      <c r="N598" s="3" t="s">
        <v>58</v>
      </c>
      <c r="O598" s="3" t="s">
        <v>99</v>
      </c>
      <c r="P598" s="3" t="s">
        <v>966</v>
      </c>
      <c r="Q598" s="3" t="s">
        <v>2743</v>
      </c>
      <c r="R598" s="3" t="s">
        <v>1139</v>
      </c>
      <c r="S598" s="3" t="s">
        <v>1006</v>
      </c>
      <c r="T598" s="3" t="s">
        <v>1361</v>
      </c>
      <c r="U598" s="11" t="s">
        <v>2744</v>
      </c>
      <c r="V598" s="11" t="s">
        <v>1031</v>
      </c>
      <c r="W598" s="11" t="s">
        <v>1032</v>
      </c>
      <c r="X598" s="13">
        <v>0.77</v>
      </c>
      <c r="Y598" s="12"/>
      <c r="Z598" s="11"/>
      <c r="AA598" s="11"/>
      <c r="AB598" s="11"/>
      <c r="AC598" s="11">
        <v>0</v>
      </c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 t="s">
        <v>1019</v>
      </c>
      <c r="AO598" s="11" t="s">
        <v>1200</v>
      </c>
      <c r="AP598" s="11" t="s">
        <v>1114</v>
      </c>
      <c r="AQ598" s="11"/>
      <c r="AR598" s="11" t="s">
        <v>1034</v>
      </c>
      <c r="AS598" s="11"/>
      <c r="AT598" s="11" t="s">
        <v>1034</v>
      </c>
      <c r="AU598" s="11"/>
      <c r="AV598" s="11"/>
      <c r="AW598" s="12">
        <v>1</v>
      </c>
      <c r="AX598" s="12">
        <v>1</v>
      </c>
      <c r="AY598" s="12">
        <v>2</v>
      </c>
      <c r="AZ598" s="12"/>
      <c r="BA598" s="12"/>
      <c r="BB598" s="12"/>
      <c r="BC598" s="12"/>
      <c r="BD598" s="11" t="s">
        <v>1115</v>
      </c>
      <c r="BE598" s="11" t="s">
        <v>1116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1"/>
  <sheetViews>
    <sheetView workbookViewId="0"/>
  </sheetViews>
  <sheetFormatPr defaultRowHeight="14.5" x14ac:dyDescent="0.35"/>
  <cols>
    <col min="1" max="1" width="18" customWidth="1"/>
    <col min="2" max="3" width="28" customWidth="1"/>
    <col min="4" max="5" width="9" customWidth="1"/>
    <col min="6" max="6" width="20" customWidth="1"/>
    <col min="7" max="7" width="14" customWidth="1"/>
    <col min="8" max="8" width="24" customWidth="1"/>
    <col min="9" max="9" width="26" customWidth="1"/>
    <col min="10" max="10" width="20" customWidth="1"/>
    <col min="11" max="11" width="28" customWidth="1"/>
    <col min="12" max="12" width="30" customWidth="1"/>
    <col min="13" max="13" width="24" customWidth="1"/>
    <col min="14" max="14" width="48" customWidth="1"/>
  </cols>
  <sheetData>
    <row r="1" spans="1:14" x14ac:dyDescent="0.35">
      <c r="A1" s="15" t="s">
        <v>3</v>
      </c>
      <c r="B1" s="15" t="s">
        <v>2746</v>
      </c>
      <c r="C1" s="15" t="s">
        <v>2747</v>
      </c>
      <c r="D1" s="15" t="s">
        <v>2748</v>
      </c>
      <c r="E1" s="15" t="s">
        <v>2749</v>
      </c>
      <c r="F1" s="15" t="s">
        <v>2750</v>
      </c>
      <c r="G1" s="15" t="s">
        <v>2751</v>
      </c>
      <c r="H1" s="15" t="s">
        <v>2752</v>
      </c>
      <c r="I1" s="15" t="s">
        <v>2753</v>
      </c>
      <c r="J1" s="15" t="s">
        <v>2754</v>
      </c>
      <c r="K1" s="15" t="s">
        <v>2755</v>
      </c>
      <c r="L1" s="15" t="s">
        <v>2756</v>
      </c>
      <c r="M1" s="15" t="s">
        <v>2757</v>
      </c>
      <c r="N1" s="15" t="s">
        <v>2758</v>
      </c>
    </row>
    <row r="2" spans="1:14" ht="29" x14ac:dyDescent="0.35">
      <c r="A2" s="14" t="s">
        <v>231</v>
      </c>
      <c r="B2" s="14" t="s">
        <v>2704</v>
      </c>
      <c r="C2" s="14" t="s">
        <v>1012</v>
      </c>
      <c r="D2" s="14" t="s">
        <v>2759</v>
      </c>
      <c r="E2" s="14" t="s">
        <v>2760</v>
      </c>
      <c r="F2" s="14" t="s">
        <v>2761</v>
      </c>
      <c r="G2" s="14" t="s">
        <v>1014</v>
      </c>
      <c r="H2" s="14" t="s">
        <v>1015</v>
      </c>
      <c r="I2" s="14"/>
      <c r="J2" s="14" t="s">
        <v>1016</v>
      </c>
      <c r="K2" s="14"/>
      <c r="L2" s="14" t="s">
        <v>262</v>
      </c>
      <c r="M2" s="14" t="s">
        <v>1017</v>
      </c>
      <c r="N2" s="14" t="s">
        <v>2707</v>
      </c>
    </row>
    <row r="3" spans="1:14" ht="29" x14ac:dyDescent="0.35">
      <c r="A3" s="14" t="s">
        <v>41</v>
      </c>
      <c r="B3" s="14" t="s">
        <v>1146</v>
      </c>
      <c r="C3" s="14" t="s">
        <v>1148</v>
      </c>
      <c r="D3" s="14" t="s">
        <v>2762</v>
      </c>
      <c r="E3" s="14" t="s">
        <v>2763</v>
      </c>
      <c r="F3" s="14" t="s">
        <v>2764</v>
      </c>
      <c r="G3" s="14" t="s">
        <v>1014</v>
      </c>
      <c r="H3" s="14" t="s">
        <v>1150</v>
      </c>
      <c r="I3" s="14"/>
      <c r="J3" s="14" t="s">
        <v>1016</v>
      </c>
      <c r="K3" s="14"/>
      <c r="L3" s="14" t="s">
        <v>1151</v>
      </c>
      <c r="M3" s="14" t="s">
        <v>1017</v>
      </c>
      <c r="N3" s="14" t="s">
        <v>1152</v>
      </c>
    </row>
    <row r="4" spans="1:14" ht="29" x14ac:dyDescent="0.35">
      <c r="A4" s="14" t="s">
        <v>41</v>
      </c>
      <c r="B4" s="14" t="s">
        <v>1636</v>
      </c>
      <c r="C4" s="14" t="s">
        <v>1148</v>
      </c>
      <c r="D4" s="14" t="s">
        <v>2765</v>
      </c>
      <c r="E4" s="14" t="s">
        <v>2766</v>
      </c>
      <c r="F4" s="14" t="s">
        <v>2767</v>
      </c>
      <c r="G4" s="14" t="s">
        <v>1014</v>
      </c>
      <c r="H4" s="14" t="s">
        <v>1150</v>
      </c>
      <c r="I4" s="14"/>
      <c r="J4" s="14" t="s">
        <v>1016</v>
      </c>
      <c r="K4" s="14"/>
      <c r="L4" s="14" t="s">
        <v>1151</v>
      </c>
      <c r="M4" s="14" t="s">
        <v>1017</v>
      </c>
      <c r="N4" s="14" t="s">
        <v>1152</v>
      </c>
    </row>
    <row r="5" spans="1:14" ht="29" x14ac:dyDescent="0.35">
      <c r="A5" s="14" t="s">
        <v>41</v>
      </c>
      <c r="B5" s="14" t="s">
        <v>1676</v>
      </c>
      <c r="C5" s="14" t="s">
        <v>1148</v>
      </c>
      <c r="D5" s="14" t="s">
        <v>2768</v>
      </c>
      <c r="E5" s="14" t="s">
        <v>2769</v>
      </c>
      <c r="F5" s="14" t="s">
        <v>2770</v>
      </c>
      <c r="G5" s="14" t="s">
        <v>1014</v>
      </c>
      <c r="H5" s="14" t="s">
        <v>1150</v>
      </c>
      <c r="I5" s="14"/>
      <c r="J5" s="14" t="s">
        <v>1016</v>
      </c>
      <c r="K5" s="14"/>
      <c r="L5" s="14" t="s">
        <v>1151</v>
      </c>
      <c r="M5" s="14" t="s">
        <v>1017</v>
      </c>
      <c r="N5" s="14" t="s">
        <v>1152</v>
      </c>
    </row>
    <row r="6" spans="1:14" ht="29" x14ac:dyDescent="0.35">
      <c r="A6" s="14" t="s">
        <v>41</v>
      </c>
      <c r="B6" s="14" t="s">
        <v>1676</v>
      </c>
      <c r="C6" s="14" t="s">
        <v>1148</v>
      </c>
      <c r="D6" s="14" t="s">
        <v>2771</v>
      </c>
      <c r="E6" s="14" t="s">
        <v>2772</v>
      </c>
      <c r="F6" s="14" t="s">
        <v>2770</v>
      </c>
      <c r="G6" s="14" t="s">
        <v>1014</v>
      </c>
      <c r="H6" s="14" t="s">
        <v>1150</v>
      </c>
      <c r="I6" s="14"/>
      <c r="J6" s="14" t="s">
        <v>1016</v>
      </c>
      <c r="K6" s="14"/>
      <c r="L6" s="14" t="s">
        <v>1151</v>
      </c>
      <c r="M6" s="14" t="s">
        <v>1017</v>
      </c>
      <c r="N6" s="14" t="s">
        <v>1152</v>
      </c>
    </row>
    <row r="7" spans="1:14" ht="29" x14ac:dyDescent="0.35">
      <c r="A7" s="14" t="s">
        <v>41</v>
      </c>
      <c r="B7" s="14" t="s">
        <v>1865</v>
      </c>
      <c r="C7" s="14" t="s">
        <v>1148</v>
      </c>
      <c r="D7" s="14" t="s">
        <v>2773</v>
      </c>
      <c r="E7" s="14" t="s">
        <v>2774</v>
      </c>
      <c r="F7" s="14" t="s">
        <v>2767</v>
      </c>
      <c r="G7" s="14" t="s">
        <v>1014</v>
      </c>
      <c r="H7" s="14" t="s">
        <v>1150</v>
      </c>
      <c r="I7" s="14"/>
      <c r="J7" s="14" t="s">
        <v>1016</v>
      </c>
      <c r="K7" s="14"/>
      <c r="L7" s="14" t="s">
        <v>1151</v>
      </c>
      <c r="M7" s="14" t="s">
        <v>1017</v>
      </c>
      <c r="N7" s="14" t="s">
        <v>1152</v>
      </c>
    </row>
    <row r="8" spans="1:14" ht="29" x14ac:dyDescent="0.35">
      <c r="A8" s="14" t="s">
        <v>41</v>
      </c>
      <c r="B8" s="14" t="s">
        <v>1871</v>
      </c>
      <c r="C8" s="14" t="s">
        <v>1148</v>
      </c>
      <c r="D8" s="14" t="s">
        <v>2775</v>
      </c>
      <c r="E8" s="14" t="s">
        <v>2776</v>
      </c>
      <c r="F8" s="14" t="s">
        <v>2777</v>
      </c>
      <c r="G8" s="14" t="s">
        <v>1014</v>
      </c>
      <c r="H8" s="14" t="s">
        <v>1873</v>
      </c>
      <c r="I8" s="14" t="s">
        <v>42</v>
      </c>
      <c r="J8" s="14" t="s">
        <v>1016</v>
      </c>
      <c r="K8" s="14"/>
      <c r="L8" s="14" t="s">
        <v>1151</v>
      </c>
      <c r="M8" s="14" t="s">
        <v>1017</v>
      </c>
      <c r="N8" s="14" t="s">
        <v>1152</v>
      </c>
    </row>
    <row r="9" spans="1:14" ht="29" x14ac:dyDescent="0.35">
      <c r="A9" s="14" t="s">
        <v>41</v>
      </c>
      <c r="B9" s="14" t="s">
        <v>2148</v>
      </c>
      <c r="C9" s="14" t="s">
        <v>1148</v>
      </c>
      <c r="D9" s="14" t="s">
        <v>2775</v>
      </c>
      <c r="E9" s="14" t="s">
        <v>2776</v>
      </c>
      <c r="F9" s="14" t="s">
        <v>2777</v>
      </c>
      <c r="G9" s="14" t="s">
        <v>1014</v>
      </c>
      <c r="H9" s="14" t="s">
        <v>1873</v>
      </c>
      <c r="I9" s="14" t="s">
        <v>42</v>
      </c>
      <c r="J9" s="14" t="s">
        <v>1016</v>
      </c>
      <c r="K9" s="14"/>
      <c r="L9" s="14" t="s">
        <v>1151</v>
      </c>
      <c r="M9" s="14" t="s">
        <v>1017</v>
      </c>
      <c r="N9" s="14" t="s">
        <v>1152</v>
      </c>
    </row>
    <row r="10" spans="1:14" ht="29" x14ac:dyDescent="0.35">
      <c r="A10" s="14" t="s">
        <v>41</v>
      </c>
      <c r="B10" s="14" t="s">
        <v>2148</v>
      </c>
      <c r="C10" s="14" t="s">
        <v>1148</v>
      </c>
      <c r="D10" s="14" t="s">
        <v>2778</v>
      </c>
      <c r="E10" s="14" t="s">
        <v>2779</v>
      </c>
      <c r="F10" s="14" t="s">
        <v>2777</v>
      </c>
      <c r="G10" s="14" t="s">
        <v>1014</v>
      </c>
      <c r="H10" s="14" t="s">
        <v>1873</v>
      </c>
      <c r="I10" s="14" t="s">
        <v>42</v>
      </c>
      <c r="J10" s="14" t="s">
        <v>1016</v>
      </c>
      <c r="K10" s="14"/>
      <c r="L10" s="14" t="s">
        <v>1151</v>
      </c>
      <c r="M10" s="14" t="s">
        <v>1017</v>
      </c>
      <c r="N10" s="14" t="s">
        <v>1152</v>
      </c>
    </row>
    <row r="11" spans="1:14" ht="29" x14ac:dyDescent="0.35">
      <c r="A11" s="14" t="s">
        <v>41</v>
      </c>
      <c r="B11" s="14" t="s">
        <v>2152</v>
      </c>
      <c r="C11" s="14" t="s">
        <v>1148</v>
      </c>
      <c r="D11" s="14" t="s">
        <v>2762</v>
      </c>
      <c r="E11" s="14" t="s">
        <v>2763</v>
      </c>
      <c r="F11" s="14" t="s">
        <v>2764</v>
      </c>
      <c r="G11" s="14" t="s">
        <v>1014</v>
      </c>
      <c r="H11" s="14" t="s">
        <v>1150</v>
      </c>
      <c r="I11" s="14" t="s">
        <v>42</v>
      </c>
      <c r="J11" s="14" t="s">
        <v>1016</v>
      </c>
      <c r="K11" s="14"/>
      <c r="L11" s="14" t="s">
        <v>1151</v>
      </c>
      <c r="M11" s="14" t="s">
        <v>1017</v>
      </c>
      <c r="N11" s="14" t="s">
        <v>1152</v>
      </c>
    </row>
    <row r="12" spans="1:14" ht="29" x14ac:dyDescent="0.35">
      <c r="A12" s="14" t="s">
        <v>41</v>
      </c>
      <c r="B12" s="14" t="s">
        <v>2154</v>
      </c>
      <c r="C12" s="14" t="s">
        <v>1148</v>
      </c>
      <c r="D12" s="14" t="s">
        <v>2780</v>
      </c>
      <c r="E12" s="14" t="s">
        <v>2781</v>
      </c>
      <c r="F12" s="14" t="s">
        <v>2767</v>
      </c>
      <c r="G12" s="14" t="s">
        <v>1014</v>
      </c>
      <c r="H12" s="14" t="s">
        <v>1873</v>
      </c>
      <c r="I12" s="14" t="s">
        <v>42</v>
      </c>
      <c r="J12" s="14" t="s">
        <v>1016</v>
      </c>
      <c r="K12" s="14"/>
      <c r="L12" s="14" t="s">
        <v>1151</v>
      </c>
      <c r="M12" s="14" t="s">
        <v>1017</v>
      </c>
      <c r="N12" s="14" t="s">
        <v>1152</v>
      </c>
    </row>
    <row r="13" spans="1:14" ht="29" x14ac:dyDescent="0.35">
      <c r="A13" s="14" t="s">
        <v>41</v>
      </c>
      <c r="B13" s="14" t="s">
        <v>2154</v>
      </c>
      <c r="C13" s="14" t="s">
        <v>1148</v>
      </c>
      <c r="D13" s="14" t="s">
        <v>2782</v>
      </c>
      <c r="E13" s="14" t="s">
        <v>2783</v>
      </c>
      <c r="F13" s="14" t="s">
        <v>2777</v>
      </c>
      <c r="G13" s="14" t="s">
        <v>1014</v>
      </c>
      <c r="H13" s="14" t="s">
        <v>1873</v>
      </c>
      <c r="I13" s="14" t="s">
        <v>42</v>
      </c>
      <c r="J13" s="14" t="s">
        <v>1016</v>
      </c>
      <c r="K13" s="14"/>
      <c r="L13" s="14" t="s">
        <v>1151</v>
      </c>
      <c r="M13" s="14" t="s">
        <v>1017</v>
      </c>
      <c r="N13" s="14" t="s">
        <v>1152</v>
      </c>
    </row>
    <row r="14" spans="1:14" ht="29" x14ac:dyDescent="0.35">
      <c r="A14" s="14" t="s">
        <v>41</v>
      </c>
      <c r="B14" s="14" t="s">
        <v>2201</v>
      </c>
      <c r="C14" s="14" t="s">
        <v>1148</v>
      </c>
      <c r="D14" s="14" t="s">
        <v>2784</v>
      </c>
      <c r="E14" s="14" t="s">
        <v>2785</v>
      </c>
      <c r="F14" s="14" t="s">
        <v>2767</v>
      </c>
      <c r="G14" s="14" t="s">
        <v>1014</v>
      </c>
      <c r="H14" s="14" t="s">
        <v>1150</v>
      </c>
      <c r="I14" s="14"/>
      <c r="J14" s="14" t="s">
        <v>1016</v>
      </c>
      <c r="K14" s="14"/>
      <c r="L14" s="14" t="s">
        <v>1151</v>
      </c>
      <c r="M14" s="14" t="s">
        <v>1017</v>
      </c>
      <c r="N14" s="14" t="s">
        <v>1152</v>
      </c>
    </row>
    <row r="15" spans="1:14" ht="29" x14ac:dyDescent="0.35">
      <c r="A15" s="14" t="s">
        <v>41</v>
      </c>
      <c r="B15" s="14" t="s">
        <v>2258</v>
      </c>
      <c r="C15" s="14" t="s">
        <v>1148</v>
      </c>
      <c r="D15" s="14" t="s">
        <v>2786</v>
      </c>
      <c r="E15" s="14" t="s">
        <v>2787</v>
      </c>
      <c r="F15" s="14" t="s">
        <v>2770</v>
      </c>
      <c r="G15" s="14" t="s">
        <v>1014</v>
      </c>
      <c r="H15" s="14" t="s">
        <v>1150</v>
      </c>
      <c r="I15" s="14"/>
      <c r="J15" s="14" t="s">
        <v>1016</v>
      </c>
      <c r="K15" s="14"/>
      <c r="L15" s="14" t="s">
        <v>1151</v>
      </c>
      <c r="M15" s="14" t="s">
        <v>1017</v>
      </c>
      <c r="N15" s="14" t="s">
        <v>1152</v>
      </c>
    </row>
    <row r="16" spans="1:14" ht="29" x14ac:dyDescent="0.35">
      <c r="A16" s="14" t="s">
        <v>41</v>
      </c>
      <c r="B16" s="14" t="s">
        <v>2258</v>
      </c>
      <c r="C16" s="14" t="s">
        <v>1148</v>
      </c>
      <c r="D16" s="14" t="s">
        <v>2788</v>
      </c>
      <c r="E16" s="14" t="s">
        <v>2789</v>
      </c>
      <c r="F16" s="14" t="s">
        <v>2770</v>
      </c>
      <c r="G16" s="14" t="s">
        <v>1014</v>
      </c>
      <c r="H16" s="14" t="s">
        <v>1150</v>
      </c>
      <c r="I16" s="14"/>
      <c r="J16" s="14" t="s">
        <v>1016</v>
      </c>
      <c r="K16" s="14"/>
      <c r="L16" s="14" t="s">
        <v>1151</v>
      </c>
      <c r="M16" s="14" t="s">
        <v>1017</v>
      </c>
      <c r="N16" s="14" t="s">
        <v>1152</v>
      </c>
    </row>
    <row r="17" spans="1:14" ht="29" x14ac:dyDescent="0.35">
      <c r="A17" s="14" t="s">
        <v>41</v>
      </c>
      <c r="B17" s="14" t="s">
        <v>2519</v>
      </c>
      <c r="C17" s="14" t="s">
        <v>1148</v>
      </c>
      <c r="D17" s="14" t="s">
        <v>2790</v>
      </c>
      <c r="E17" s="14" t="s">
        <v>2791</v>
      </c>
      <c r="F17" s="14" t="s">
        <v>2770</v>
      </c>
      <c r="G17" s="14" t="s">
        <v>1014</v>
      </c>
      <c r="H17" s="14" t="s">
        <v>1150</v>
      </c>
      <c r="I17" s="14"/>
      <c r="J17" s="14" t="s">
        <v>1016</v>
      </c>
      <c r="K17" s="14"/>
      <c r="L17" s="14" t="s">
        <v>1151</v>
      </c>
      <c r="M17" s="14" t="s">
        <v>1017</v>
      </c>
      <c r="N17" s="14" t="s">
        <v>1152</v>
      </c>
    </row>
    <row r="18" spans="1:14" ht="29" x14ac:dyDescent="0.35">
      <c r="A18" s="14" t="s">
        <v>41</v>
      </c>
      <c r="B18" s="14" t="s">
        <v>2519</v>
      </c>
      <c r="C18" s="14" t="s">
        <v>1148</v>
      </c>
      <c r="D18" s="14" t="s">
        <v>2792</v>
      </c>
      <c r="E18" s="14" t="s">
        <v>2793</v>
      </c>
      <c r="F18" s="14" t="s">
        <v>2770</v>
      </c>
      <c r="G18" s="14" t="s">
        <v>1014</v>
      </c>
      <c r="H18" s="14" t="s">
        <v>1150</v>
      </c>
      <c r="I18" s="14"/>
      <c r="J18" s="14" t="s">
        <v>1016</v>
      </c>
      <c r="K18" s="14"/>
      <c r="L18" s="14" t="s">
        <v>1151</v>
      </c>
      <c r="M18" s="14" t="s">
        <v>1017</v>
      </c>
      <c r="N18" s="14" t="s">
        <v>1152</v>
      </c>
    </row>
    <row r="19" spans="1:14" ht="29" x14ac:dyDescent="0.35">
      <c r="A19" s="14" t="s">
        <v>41</v>
      </c>
      <c r="B19" s="14" t="s">
        <v>2600</v>
      </c>
      <c r="C19" s="14" t="s">
        <v>1148</v>
      </c>
      <c r="D19" s="14" t="s">
        <v>2775</v>
      </c>
      <c r="E19" s="14" t="s">
        <v>2776</v>
      </c>
      <c r="F19" s="14" t="s">
        <v>2777</v>
      </c>
      <c r="G19" s="14" t="s">
        <v>1014</v>
      </c>
      <c r="H19" s="14" t="s">
        <v>1873</v>
      </c>
      <c r="I19" s="14" t="s">
        <v>42</v>
      </c>
      <c r="J19" s="14" t="s">
        <v>1016</v>
      </c>
      <c r="K19" s="14"/>
      <c r="L19" s="14" t="s">
        <v>1151</v>
      </c>
      <c r="M19" s="14" t="s">
        <v>1017</v>
      </c>
      <c r="N19" s="14" t="s">
        <v>1152</v>
      </c>
    </row>
    <row r="20" spans="1:14" ht="29" x14ac:dyDescent="0.35">
      <c r="A20" s="14" t="s">
        <v>41</v>
      </c>
      <c r="B20" s="14" t="s">
        <v>2645</v>
      </c>
      <c r="C20" s="14" t="s">
        <v>1148</v>
      </c>
      <c r="D20" s="14" t="s">
        <v>2794</v>
      </c>
      <c r="E20" s="14" t="s">
        <v>2795</v>
      </c>
      <c r="F20" s="14" t="s">
        <v>2796</v>
      </c>
      <c r="G20" s="14" t="s">
        <v>1014</v>
      </c>
      <c r="H20" s="14" t="s">
        <v>1873</v>
      </c>
      <c r="I20" s="14" t="s">
        <v>42</v>
      </c>
      <c r="J20" s="14" t="s">
        <v>1016</v>
      </c>
      <c r="K20" s="14"/>
      <c r="L20" s="14" t="s">
        <v>1151</v>
      </c>
      <c r="M20" s="14" t="s">
        <v>1017</v>
      </c>
      <c r="N20" s="14" t="s">
        <v>1152</v>
      </c>
    </row>
    <row r="21" spans="1:14" ht="29" x14ac:dyDescent="0.35">
      <c r="A21" s="14" t="s">
        <v>41</v>
      </c>
      <c r="B21" s="14" t="s">
        <v>2649</v>
      </c>
      <c r="C21" s="14" t="s">
        <v>1148</v>
      </c>
      <c r="D21" s="14" t="s">
        <v>2762</v>
      </c>
      <c r="E21" s="14" t="s">
        <v>2763</v>
      </c>
      <c r="F21" s="14" t="s">
        <v>2764</v>
      </c>
      <c r="G21" s="14" t="s">
        <v>1014</v>
      </c>
      <c r="H21" s="14" t="s">
        <v>1873</v>
      </c>
      <c r="I21" s="14" t="s">
        <v>42</v>
      </c>
      <c r="J21" s="14" t="s">
        <v>1016</v>
      </c>
      <c r="K21" s="14"/>
      <c r="L21" s="14" t="s">
        <v>1151</v>
      </c>
      <c r="M21" s="14" t="s">
        <v>1017</v>
      </c>
      <c r="N21" s="14" t="s">
        <v>1152</v>
      </c>
    </row>
    <row r="22" spans="1:14" ht="29" x14ac:dyDescent="0.35">
      <c r="A22" s="14" t="s">
        <v>41</v>
      </c>
      <c r="B22" s="14" t="s">
        <v>2737</v>
      </c>
      <c r="C22" s="14" t="s">
        <v>1148</v>
      </c>
      <c r="D22" s="14" t="s">
        <v>2797</v>
      </c>
      <c r="E22" s="14" t="s">
        <v>2798</v>
      </c>
      <c r="F22" s="14" t="s">
        <v>2799</v>
      </c>
      <c r="G22" s="14" t="s">
        <v>1014</v>
      </c>
      <c r="H22" s="14" t="s">
        <v>1150</v>
      </c>
      <c r="I22" s="14"/>
      <c r="J22" s="14" t="s">
        <v>1016</v>
      </c>
      <c r="K22" s="14"/>
      <c r="L22" s="14" t="s">
        <v>1151</v>
      </c>
      <c r="M22" s="14" t="s">
        <v>1017</v>
      </c>
      <c r="N22" s="14" t="s">
        <v>1152</v>
      </c>
    </row>
    <row r="23" spans="1:14" ht="29" x14ac:dyDescent="0.35">
      <c r="A23" s="14" t="s">
        <v>41</v>
      </c>
      <c r="B23" s="14" t="s">
        <v>2737</v>
      </c>
      <c r="C23" s="14" t="s">
        <v>1148</v>
      </c>
      <c r="D23" s="14" t="s">
        <v>2765</v>
      </c>
      <c r="E23" s="14" t="s">
        <v>2766</v>
      </c>
      <c r="F23" s="14" t="s">
        <v>2767</v>
      </c>
      <c r="G23" s="14" t="s">
        <v>1014</v>
      </c>
      <c r="H23" s="14" t="s">
        <v>1150</v>
      </c>
      <c r="I23" s="14"/>
      <c r="J23" s="14" t="s">
        <v>1016</v>
      </c>
      <c r="K23" s="14"/>
      <c r="L23" s="14" t="s">
        <v>1151</v>
      </c>
      <c r="M23" s="14" t="s">
        <v>1017</v>
      </c>
      <c r="N23" s="14" t="s">
        <v>1152</v>
      </c>
    </row>
    <row r="24" spans="1:14" ht="43.5" x14ac:dyDescent="0.35">
      <c r="A24" s="14" t="s">
        <v>52</v>
      </c>
      <c r="B24" s="14" t="s">
        <v>1075</v>
      </c>
      <c r="C24" s="14" t="s">
        <v>1076</v>
      </c>
      <c r="D24" s="14" t="s">
        <v>2800</v>
      </c>
      <c r="E24" s="14" t="s">
        <v>2801</v>
      </c>
      <c r="F24" s="14" t="s">
        <v>2802</v>
      </c>
      <c r="G24" s="14" t="s">
        <v>1014</v>
      </c>
      <c r="H24" s="14" t="s">
        <v>1015</v>
      </c>
      <c r="I24" s="14" t="s">
        <v>1078</v>
      </c>
      <c r="J24" s="14" t="s">
        <v>1016</v>
      </c>
      <c r="K24" s="14"/>
      <c r="L24" s="14" t="s">
        <v>1079</v>
      </c>
      <c r="M24" s="14" t="s">
        <v>1017</v>
      </c>
      <c r="N24" s="14" t="s">
        <v>1080</v>
      </c>
    </row>
    <row r="25" spans="1:14" ht="43.5" x14ac:dyDescent="0.35">
      <c r="A25" s="14" t="s">
        <v>52</v>
      </c>
      <c r="B25" s="14" t="s">
        <v>1075</v>
      </c>
      <c r="C25" s="14" t="s">
        <v>1076</v>
      </c>
      <c r="D25" s="14" t="s">
        <v>2803</v>
      </c>
      <c r="E25" s="14" t="s">
        <v>2804</v>
      </c>
      <c r="F25" s="14" t="s">
        <v>2805</v>
      </c>
      <c r="G25" s="14" t="s">
        <v>1014</v>
      </c>
      <c r="H25" s="14" t="s">
        <v>1015</v>
      </c>
      <c r="I25" s="14" t="s">
        <v>1078</v>
      </c>
      <c r="J25" s="14" t="s">
        <v>1016</v>
      </c>
      <c r="K25" s="14"/>
      <c r="L25" s="14" t="s">
        <v>1079</v>
      </c>
      <c r="M25" s="14" t="s">
        <v>1017</v>
      </c>
      <c r="N25" s="14" t="s">
        <v>1080</v>
      </c>
    </row>
    <row r="26" spans="1:14" ht="43.5" x14ac:dyDescent="0.35">
      <c r="A26" s="14" t="s">
        <v>52</v>
      </c>
      <c r="B26" s="14" t="s">
        <v>1075</v>
      </c>
      <c r="C26" s="14" t="s">
        <v>1076</v>
      </c>
      <c r="D26" s="14" t="s">
        <v>2806</v>
      </c>
      <c r="E26" s="14" t="s">
        <v>2807</v>
      </c>
      <c r="F26" s="14" t="s">
        <v>2808</v>
      </c>
      <c r="G26" s="14" t="s">
        <v>1014</v>
      </c>
      <c r="H26" s="14" t="s">
        <v>1015</v>
      </c>
      <c r="I26" s="14" t="s">
        <v>1078</v>
      </c>
      <c r="J26" s="14" t="s">
        <v>1016</v>
      </c>
      <c r="K26" s="14"/>
      <c r="L26" s="14" t="s">
        <v>1079</v>
      </c>
      <c r="M26" s="14" t="s">
        <v>1017</v>
      </c>
      <c r="N26" s="14" t="s">
        <v>1080</v>
      </c>
    </row>
    <row r="27" spans="1:14" ht="43.5" x14ac:dyDescent="0.35">
      <c r="A27" s="14" t="s">
        <v>52</v>
      </c>
      <c r="B27" s="14" t="s">
        <v>1075</v>
      </c>
      <c r="C27" s="14" t="s">
        <v>1076</v>
      </c>
      <c r="D27" s="14" t="s">
        <v>2809</v>
      </c>
      <c r="E27" s="14" t="s">
        <v>2810</v>
      </c>
      <c r="F27" s="14" t="s">
        <v>2811</v>
      </c>
      <c r="G27" s="14" t="s">
        <v>1014</v>
      </c>
      <c r="H27" s="14" t="s">
        <v>1015</v>
      </c>
      <c r="I27" s="14"/>
      <c r="J27" s="14" t="s">
        <v>1016</v>
      </c>
      <c r="K27" s="14"/>
      <c r="L27" s="14" t="s">
        <v>1079</v>
      </c>
      <c r="M27" s="14" t="s">
        <v>1017</v>
      </c>
      <c r="N27" s="14" t="s">
        <v>1080</v>
      </c>
    </row>
    <row r="28" spans="1:14" ht="43.5" x14ac:dyDescent="0.35">
      <c r="A28" s="14" t="s">
        <v>52</v>
      </c>
      <c r="B28" s="14" t="s">
        <v>1085</v>
      </c>
      <c r="C28" s="14" t="s">
        <v>1076</v>
      </c>
      <c r="D28" s="14" t="s">
        <v>2812</v>
      </c>
      <c r="E28" s="14" t="s">
        <v>2813</v>
      </c>
      <c r="F28" s="14" t="s">
        <v>2814</v>
      </c>
      <c r="G28" s="14" t="s">
        <v>1014</v>
      </c>
      <c r="H28" s="14" t="s">
        <v>1015</v>
      </c>
      <c r="I28" s="14" t="s">
        <v>2815</v>
      </c>
      <c r="J28" s="14" t="s">
        <v>1016</v>
      </c>
      <c r="K28" s="14"/>
      <c r="L28" s="14" t="s">
        <v>1079</v>
      </c>
      <c r="M28" s="14" t="s">
        <v>1017</v>
      </c>
      <c r="N28" s="14" t="s">
        <v>1080</v>
      </c>
    </row>
    <row r="29" spans="1:14" ht="43.5" x14ac:dyDescent="0.35">
      <c r="A29" s="14" t="s">
        <v>52</v>
      </c>
      <c r="B29" s="14" t="s">
        <v>1085</v>
      </c>
      <c r="C29" s="14" t="s">
        <v>1076</v>
      </c>
      <c r="D29" s="14" t="s">
        <v>2816</v>
      </c>
      <c r="E29" s="14" t="s">
        <v>2817</v>
      </c>
      <c r="F29" s="14" t="s">
        <v>2818</v>
      </c>
      <c r="G29" s="14" t="s">
        <v>1014</v>
      </c>
      <c r="H29" s="14" t="s">
        <v>1015</v>
      </c>
      <c r="I29" s="14" t="s">
        <v>1229</v>
      </c>
      <c r="J29" s="14" t="s">
        <v>1016</v>
      </c>
      <c r="K29" s="14"/>
      <c r="L29" s="14" t="s">
        <v>1079</v>
      </c>
      <c r="M29" s="14" t="s">
        <v>1017</v>
      </c>
      <c r="N29" s="14" t="s">
        <v>1080</v>
      </c>
    </row>
    <row r="30" spans="1:14" ht="43.5" x14ac:dyDescent="0.35">
      <c r="A30" s="14" t="s">
        <v>52</v>
      </c>
      <c r="B30" s="14" t="s">
        <v>1085</v>
      </c>
      <c r="C30" s="14" t="s">
        <v>1076</v>
      </c>
      <c r="D30" s="14" t="s">
        <v>2819</v>
      </c>
      <c r="E30" s="14" t="s">
        <v>2820</v>
      </c>
      <c r="F30" s="14" t="s">
        <v>2821</v>
      </c>
      <c r="G30" s="14" t="s">
        <v>1014</v>
      </c>
      <c r="H30" s="14" t="s">
        <v>1015</v>
      </c>
      <c r="I30" s="14" t="s">
        <v>1078</v>
      </c>
      <c r="J30" s="14" t="s">
        <v>1016</v>
      </c>
      <c r="K30" s="14"/>
      <c r="L30" s="14" t="s">
        <v>1079</v>
      </c>
      <c r="M30" s="14" t="s">
        <v>1017</v>
      </c>
      <c r="N30" s="14" t="s">
        <v>1080</v>
      </c>
    </row>
    <row r="31" spans="1:14" ht="43.5" x14ac:dyDescent="0.35">
      <c r="A31" s="14" t="s">
        <v>52</v>
      </c>
      <c r="B31" s="14" t="s">
        <v>1085</v>
      </c>
      <c r="C31" s="14" t="s">
        <v>1076</v>
      </c>
      <c r="D31" s="14" t="s">
        <v>2822</v>
      </c>
      <c r="E31" s="14" t="s">
        <v>2823</v>
      </c>
      <c r="F31" s="14" t="s">
        <v>2824</v>
      </c>
      <c r="G31" s="14" t="s">
        <v>1014</v>
      </c>
      <c r="H31" s="14" t="s">
        <v>1015</v>
      </c>
      <c r="I31" s="14" t="s">
        <v>1078</v>
      </c>
      <c r="J31" s="14" t="s">
        <v>1016</v>
      </c>
      <c r="K31" s="14"/>
      <c r="L31" s="14" t="s">
        <v>1079</v>
      </c>
      <c r="M31" s="14" t="s">
        <v>1017</v>
      </c>
      <c r="N31" s="14" t="s">
        <v>1080</v>
      </c>
    </row>
    <row r="32" spans="1:14" ht="29" x14ac:dyDescent="0.35">
      <c r="A32" s="14" t="s">
        <v>52</v>
      </c>
      <c r="B32" s="14" t="s">
        <v>1085</v>
      </c>
      <c r="C32" s="14" t="s">
        <v>2825</v>
      </c>
      <c r="D32" s="14" t="s">
        <v>2826</v>
      </c>
      <c r="E32" s="14" t="s">
        <v>2827</v>
      </c>
      <c r="F32" s="14" t="s">
        <v>2828</v>
      </c>
      <c r="G32" s="14" t="s">
        <v>1014</v>
      </c>
      <c r="H32" s="14" t="s">
        <v>1015</v>
      </c>
      <c r="I32" s="14" t="s">
        <v>2829</v>
      </c>
      <c r="J32" s="14" t="s">
        <v>1016</v>
      </c>
      <c r="K32" s="14"/>
      <c r="L32" s="14" t="s">
        <v>2830</v>
      </c>
      <c r="M32" s="14" t="s">
        <v>1017</v>
      </c>
      <c r="N32" s="14" t="s">
        <v>2831</v>
      </c>
    </row>
    <row r="33" spans="1:14" ht="43.5" x14ac:dyDescent="0.35">
      <c r="A33" s="14" t="s">
        <v>52</v>
      </c>
      <c r="B33" s="14" t="s">
        <v>1095</v>
      </c>
      <c r="C33" s="14" t="s">
        <v>1076</v>
      </c>
      <c r="D33" s="14" t="s">
        <v>2832</v>
      </c>
      <c r="E33" s="14" t="s">
        <v>2833</v>
      </c>
      <c r="F33" s="14" t="s">
        <v>2834</v>
      </c>
      <c r="G33" s="14" t="s">
        <v>1014</v>
      </c>
      <c r="H33" s="14" t="s">
        <v>1015</v>
      </c>
      <c r="I33" s="14"/>
      <c r="J33" s="14" t="s">
        <v>1016</v>
      </c>
      <c r="K33" s="14"/>
      <c r="L33" s="14" t="s">
        <v>1079</v>
      </c>
      <c r="M33" s="14" t="s">
        <v>1017</v>
      </c>
      <c r="N33" s="14" t="s">
        <v>1080</v>
      </c>
    </row>
    <row r="34" spans="1:14" ht="43.5" x14ac:dyDescent="0.35">
      <c r="A34" s="14" t="s">
        <v>52</v>
      </c>
      <c r="B34" s="14" t="s">
        <v>1095</v>
      </c>
      <c r="C34" s="14" t="s">
        <v>1076</v>
      </c>
      <c r="D34" s="14" t="s">
        <v>2835</v>
      </c>
      <c r="E34" s="14" t="s">
        <v>2836</v>
      </c>
      <c r="F34" s="14" t="s">
        <v>2837</v>
      </c>
      <c r="G34" s="14" t="s">
        <v>1014</v>
      </c>
      <c r="H34" s="14" t="s">
        <v>1015</v>
      </c>
      <c r="I34" s="14"/>
      <c r="J34" s="14" t="s">
        <v>1016</v>
      </c>
      <c r="K34" s="14"/>
      <c r="L34" s="14" t="s">
        <v>1079</v>
      </c>
      <c r="M34" s="14" t="s">
        <v>1017</v>
      </c>
      <c r="N34" s="14" t="s">
        <v>1080</v>
      </c>
    </row>
    <row r="35" spans="1:14" ht="43.5" x14ac:dyDescent="0.35">
      <c r="A35" s="14" t="s">
        <v>52</v>
      </c>
      <c r="B35" s="14" t="s">
        <v>1095</v>
      </c>
      <c r="C35" s="14" t="s">
        <v>1076</v>
      </c>
      <c r="D35" s="14" t="s">
        <v>2812</v>
      </c>
      <c r="E35" s="14" t="s">
        <v>2838</v>
      </c>
      <c r="F35" s="14" t="s">
        <v>2839</v>
      </c>
      <c r="G35" s="14" t="s">
        <v>1014</v>
      </c>
      <c r="H35" s="14" t="s">
        <v>1015</v>
      </c>
      <c r="I35" s="14"/>
      <c r="J35" s="14" t="s">
        <v>1016</v>
      </c>
      <c r="K35" s="14"/>
      <c r="L35" s="14" t="s">
        <v>1079</v>
      </c>
      <c r="M35" s="14" t="s">
        <v>1017</v>
      </c>
      <c r="N35" s="14" t="s">
        <v>1080</v>
      </c>
    </row>
    <row r="36" spans="1:14" ht="43.5" x14ac:dyDescent="0.35">
      <c r="A36" s="14" t="s">
        <v>52</v>
      </c>
      <c r="B36" s="14" t="s">
        <v>1095</v>
      </c>
      <c r="C36" s="14" t="s">
        <v>1076</v>
      </c>
      <c r="D36" s="14" t="s">
        <v>2840</v>
      </c>
      <c r="E36" s="14" t="s">
        <v>2841</v>
      </c>
      <c r="F36" s="14" t="s">
        <v>2842</v>
      </c>
      <c r="G36" s="14" t="s">
        <v>1014</v>
      </c>
      <c r="H36" s="14" t="s">
        <v>1015</v>
      </c>
      <c r="I36" s="14"/>
      <c r="J36" s="14" t="s">
        <v>1016</v>
      </c>
      <c r="K36" s="14"/>
      <c r="L36" s="14" t="s">
        <v>1079</v>
      </c>
      <c r="M36" s="14" t="s">
        <v>1017</v>
      </c>
      <c r="N36" s="14" t="s">
        <v>1080</v>
      </c>
    </row>
    <row r="37" spans="1:14" ht="43.5" x14ac:dyDescent="0.35">
      <c r="A37" s="14" t="s">
        <v>52</v>
      </c>
      <c r="B37" s="14" t="s">
        <v>1095</v>
      </c>
      <c r="C37" s="14" t="s">
        <v>1076</v>
      </c>
      <c r="D37" s="14" t="s">
        <v>2843</v>
      </c>
      <c r="E37" s="14" t="s">
        <v>2844</v>
      </c>
      <c r="F37" s="14" t="s">
        <v>2845</v>
      </c>
      <c r="G37" s="14" t="s">
        <v>1014</v>
      </c>
      <c r="H37" s="14" t="s">
        <v>1015</v>
      </c>
      <c r="I37" s="14"/>
      <c r="J37" s="14" t="s">
        <v>1016</v>
      </c>
      <c r="K37" s="14"/>
      <c r="L37" s="14" t="s">
        <v>1079</v>
      </c>
      <c r="M37" s="14" t="s">
        <v>1017</v>
      </c>
      <c r="N37" s="14" t="s">
        <v>1080</v>
      </c>
    </row>
    <row r="38" spans="1:14" ht="43.5" x14ac:dyDescent="0.35">
      <c r="A38" s="14" t="s">
        <v>52</v>
      </c>
      <c r="B38" s="14" t="s">
        <v>1095</v>
      </c>
      <c r="C38" s="14" t="s">
        <v>1076</v>
      </c>
      <c r="D38" s="14" t="s">
        <v>2846</v>
      </c>
      <c r="E38" s="14" t="s">
        <v>2847</v>
      </c>
      <c r="F38" s="14" t="s">
        <v>2848</v>
      </c>
      <c r="G38" s="14" t="s">
        <v>1014</v>
      </c>
      <c r="H38" s="14" t="s">
        <v>1015</v>
      </c>
      <c r="I38" s="14" t="s">
        <v>1078</v>
      </c>
      <c r="J38" s="14" t="s">
        <v>1016</v>
      </c>
      <c r="K38" s="14"/>
      <c r="L38" s="14" t="s">
        <v>1079</v>
      </c>
      <c r="M38" s="14" t="s">
        <v>1017</v>
      </c>
      <c r="N38" s="14" t="s">
        <v>1080</v>
      </c>
    </row>
    <row r="39" spans="1:14" ht="43.5" x14ac:dyDescent="0.35">
      <c r="A39" s="14" t="s">
        <v>52</v>
      </c>
      <c r="B39" s="14" t="s">
        <v>1095</v>
      </c>
      <c r="C39" s="14" t="s">
        <v>1076</v>
      </c>
      <c r="D39" s="14" t="s">
        <v>2849</v>
      </c>
      <c r="E39" s="14" t="s">
        <v>2850</v>
      </c>
      <c r="F39" s="14" t="s">
        <v>2851</v>
      </c>
      <c r="G39" s="14" t="s">
        <v>1014</v>
      </c>
      <c r="H39" s="14" t="s">
        <v>1015</v>
      </c>
      <c r="I39" s="14" t="s">
        <v>1078</v>
      </c>
      <c r="J39" s="14" t="s">
        <v>1016</v>
      </c>
      <c r="K39" s="14"/>
      <c r="L39" s="14" t="s">
        <v>1079</v>
      </c>
      <c r="M39" s="14" t="s">
        <v>1017</v>
      </c>
      <c r="N39" s="14" t="s">
        <v>1080</v>
      </c>
    </row>
    <row r="40" spans="1:14" ht="43.5" x14ac:dyDescent="0.35">
      <c r="A40" s="14" t="s">
        <v>52</v>
      </c>
      <c r="B40" s="14" t="s">
        <v>1095</v>
      </c>
      <c r="C40" s="14" t="s">
        <v>1076</v>
      </c>
      <c r="D40" s="14" t="s">
        <v>2852</v>
      </c>
      <c r="E40" s="14" t="s">
        <v>2853</v>
      </c>
      <c r="F40" s="14" t="s">
        <v>2854</v>
      </c>
      <c r="G40" s="14" t="s">
        <v>1014</v>
      </c>
      <c r="H40" s="14" t="s">
        <v>1015</v>
      </c>
      <c r="I40" s="14" t="s">
        <v>1078</v>
      </c>
      <c r="J40" s="14" t="s">
        <v>1016</v>
      </c>
      <c r="K40" s="14"/>
      <c r="L40" s="14" t="s">
        <v>1079</v>
      </c>
      <c r="M40" s="14" t="s">
        <v>1017</v>
      </c>
      <c r="N40" s="14" t="s">
        <v>1080</v>
      </c>
    </row>
    <row r="41" spans="1:14" ht="43.5" x14ac:dyDescent="0.35">
      <c r="A41" s="14" t="s">
        <v>52</v>
      </c>
      <c r="B41" s="14" t="s">
        <v>1095</v>
      </c>
      <c r="C41" s="14" t="s">
        <v>1076</v>
      </c>
      <c r="D41" s="14" t="s">
        <v>2855</v>
      </c>
      <c r="E41" s="14" t="s">
        <v>2856</v>
      </c>
      <c r="F41" s="14" t="s">
        <v>2857</v>
      </c>
      <c r="G41" s="14" t="s">
        <v>1014</v>
      </c>
      <c r="H41" s="14" t="s">
        <v>1015</v>
      </c>
      <c r="I41" s="14"/>
      <c r="J41" s="14" t="s">
        <v>1016</v>
      </c>
      <c r="K41" s="14"/>
      <c r="L41" s="14" t="s">
        <v>1079</v>
      </c>
      <c r="M41" s="14" t="s">
        <v>1017</v>
      </c>
      <c r="N41" s="14" t="s">
        <v>1080</v>
      </c>
    </row>
    <row r="42" spans="1:14" ht="43.5" x14ac:dyDescent="0.35">
      <c r="A42" s="14" t="s">
        <v>52</v>
      </c>
      <c r="B42" s="14" t="s">
        <v>1095</v>
      </c>
      <c r="C42" s="14" t="s">
        <v>1076</v>
      </c>
      <c r="D42" s="14" t="s">
        <v>2858</v>
      </c>
      <c r="E42" s="14" t="s">
        <v>2859</v>
      </c>
      <c r="F42" s="14" t="s">
        <v>2860</v>
      </c>
      <c r="G42" s="14" t="s">
        <v>1014</v>
      </c>
      <c r="H42" s="14" t="s">
        <v>1015</v>
      </c>
      <c r="I42" s="14"/>
      <c r="J42" s="14" t="s">
        <v>1016</v>
      </c>
      <c r="K42" s="14"/>
      <c r="L42" s="14" t="s">
        <v>1079</v>
      </c>
      <c r="M42" s="14" t="s">
        <v>1017</v>
      </c>
      <c r="N42" s="14" t="s">
        <v>1080</v>
      </c>
    </row>
    <row r="43" spans="1:14" ht="43.5" x14ac:dyDescent="0.35">
      <c r="A43" s="14" t="s">
        <v>52</v>
      </c>
      <c r="B43" s="14" t="s">
        <v>1126</v>
      </c>
      <c r="C43" s="14" t="s">
        <v>1076</v>
      </c>
      <c r="D43" s="14" t="s">
        <v>2861</v>
      </c>
      <c r="E43" s="14" t="s">
        <v>2862</v>
      </c>
      <c r="F43" s="14" t="s">
        <v>2863</v>
      </c>
      <c r="G43" s="14" t="s">
        <v>1014</v>
      </c>
      <c r="H43" s="14" t="s">
        <v>1015</v>
      </c>
      <c r="I43" s="14" t="s">
        <v>1078</v>
      </c>
      <c r="J43" s="14" t="s">
        <v>1016</v>
      </c>
      <c r="K43" s="14"/>
      <c r="L43" s="14" t="s">
        <v>1079</v>
      </c>
      <c r="M43" s="14" t="s">
        <v>1017</v>
      </c>
      <c r="N43" s="14" t="s">
        <v>1080</v>
      </c>
    </row>
    <row r="44" spans="1:14" ht="43.5" x14ac:dyDescent="0.35">
      <c r="A44" s="14" t="s">
        <v>52</v>
      </c>
      <c r="B44" s="14" t="s">
        <v>1126</v>
      </c>
      <c r="C44" s="14" t="s">
        <v>1076</v>
      </c>
      <c r="D44" s="14" t="s">
        <v>2864</v>
      </c>
      <c r="E44" s="14" t="s">
        <v>2865</v>
      </c>
      <c r="F44" s="14" t="s">
        <v>2866</v>
      </c>
      <c r="G44" s="14" t="s">
        <v>1014</v>
      </c>
      <c r="H44" s="14" t="s">
        <v>1015</v>
      </c>
      <c r="I44" s="14" t="s">
        <v>1078</v>
      </c>
      <c r="J44" s="14" t="s">
        <v>1016</v>
      </c>
      <c r="K44" s="14"/>
      <c r="L44" s="14" t="s">
        <v>1079</v>
      </c>
      <c r="M44" s="14" t="s">
        <v>1017</v>
      </c>
      <c r="N44" s="14" t="s">
        <v>1080</v>
      </c>
    </row>
    <row r="45" spans="1:14" ht="43.5" x14ac:dyDescent="0.35">
      <c r="A45" s="14" t="s">
        <v>52</v>
      </c>
      <c r="B45" s="14" t="s">
        <v>1126</v>
      </c>
      <c r="C45" s="14" t="s">
        <v>1076</v>
      </c>
      <c r="D45" s="14" t="s">
        <v>2867</v>
      </c>
      <c r="E45" s="14" t="s">
        <v>2868</v>
      </c>
      <c r="F45" s="14" t="s">
        <v>2869</v>
      </c>
      <c r="G45" s="14" t="s">
        <v>1014</v>
      </c>
      <c r="H45" s="14" t="s">
        <v>1015</v>
      </c>
      <c r="I45" s="14" t="s">
        <v>1078</v>
      </c>
      <c r="J45" s="14" t="s">
        <v>1016</v>
      </c>
      <c r="K45" s="14"/>
      <c r="L45" s="14" t="s">
        <v>1079</v>
      </c>
      <c r="M45" s="14" t="s">
        <v>1017</v>
      </c>
      <c r="N45" s="14" t="s">
        <v>1080</v>
      </c>
    </row>
    <row r="46" spans="1:14" ht="43.5" x14ac:dyDescent="0.35">
      <c r="A46" s="14" t="s">
        <v>52</v>
      </c>
      <c r="B46" s="14" t="s">
        <v>1126</v>
      </c>
      <c r="C46" s="14" t="s">
        <v>1076</v>
      </c>
      <c r="D46" s="14" t="s">
        <v>2870</v>
      </c>
      <c r="E46" s="14" t="s">
        <v>2871</v>
      </c>
      <c r="F46" s="14" t="s">
        <v>2872</v>
      </c>
      <c r="G46" s="14" t="s">
        <v>1014</v>
      </c>
      <c r="H46" s="14" t="s">
        <v>1015</v>
      </c>
      <c r="I46" s="14"/>
      <c r="J46" s="14" t="s">
        <v>1016</v>
      </c>
      <c r="K46" s="14"/>
      <c r="L46" s="14" t="s">
        <v>1079</v>
      </c>
      <c r="M46" s="14" t="s">
        <v>1017</v>
      </c>
      <c r="N46" s="14" t="s">
        <v>1080</v>
      </c>
    </row>
    <row r="47" spans="1:14" ht="43.5" x14ac:dyDescent="0.35">
      <c r="A47" s="14" t="s">
        <v>52</v>
      </c>
      <c r="B47" s="14" t="s">
        <v>1126</v>
      </c>
      <c r="C47" s="14" t="s">
        <v>1076</v>
      </c>
      <c r="D47" s="14" t="s">
        <v>2873</v>
      </c>
      <c r="E47" s="14" t="s">
        <v>2874</v>
      </c>
      <c r="F47" s="14" t="s">
        <v>2875</v>
      </c>
      <c r="G47" s="14" t="s">
        <v>1014</v>
      </c>
      <c r="H47" s="14" t="s">
        <v>1015</v>
      </c>
      <c r="I47" s="14"/>
      <c r="J47" s="14" t="s">
        <v>1016</v>
      </c>
      <c r="K47" s="14"/>
      <c r="L47" s="14" t="s">
        <v>1079</v>
      </c>
      <c r="M47" s="14" t="s">
        <v>1017</v>
      </c>
      <c r="N47" s="14" t="s">
        <v>1080</v>
      </c>
    </row>
    <row r="48" spans="1:14" ht="43.5" x14ac:dyDescent="0.35">
      <c r="A48" s="14" t="s">
        <v>52</v>
      </c>
      <c r="B48" s="14" t="s">
        <v>1159</v>
      </c>
      <c r="C48" s="14" t="s">
        <v>1076</v>
      </c>
      <c r="D48" s="14" t="s">
        <v>2791</v>
      </c>
      <c r="E48" s="14" t="s">
        <v>2876</v>
      </c>
      <c r="F48" s="14" t="s">
        <v>2877</v>
      </c>
      <c r="G48" s="14" t="s">
        <v>1014</v>
      </c>
      <c r="H48" s="14" t="s">
        <v>1015</v>
      </c>
      <c r="I48" s="14" t="s">
        <v>1078</v>
      </c>
      <c r="J48" s="14" t="s">
        <v>1016</v>
      </c>
      <c r="K48" s="14"/>
      <c r="L48" s="14" t="s">
        <v>1079</v>
      </c>
      <c r="M48" s="14" t="s">
        <v>1017</v>
      </c>
      <c r="N48" s="14" t="s">
        <v>1080</v>
      </c>
    </row>
    <row r="49" spans="1:14" ht="43.5" x14ac:dyDescent="0.35">
      <c r="A49" s="14" t="s">
        <v>52</v>
      </c>
      <c r="B49" s="14" t="s">
        <v>1159</v>
      </c>
      <c r="C49" s="14" t="s">
        <v>1076</v>
      </c>
      <c r="D49" s="14" t="s">
        <v>2878</v>
      </c>
      <c r="E49" s="14" t="s">
        <v>2879</v>
      </c>
      <c r="F49" s="14" t="s">
        <v>2880</v>
      </c>
      <c r="G49" s="14" t="s">
        <v>1014</v>
      </c>
      <c r="H49" s="14" t="s">
        <v>1015</v>
      </c>
      <c r="I49" s="14" t="s">
        <v>1078</v>
      </c>
      <c r="J49" s="14" t="s">
        <v>1016</v>
      </c>
      <c r="K49" s="14"/>
      <c r="L49" s="14" t="s">
        <v>1079</v>
      </c>
      <c r="M49" s="14" t="s">
        <v>1017</v>
      </c>
      <c r="N49" s="14" t="s">
        <v>1080</v>
      </c>
    </row>
    <row r="50" spans="1:14" ht="43.5" x14ac:dyDescent="0.35">
      <c r="A50" s="14" t="s">
        <v>52</v>
      </c>
      <c r="B50" s="14" t="s">
        <v>1159</v>
      </c>
      <c r="C50" s="14" t="s">
        <v>1076</v>
      </c>
      <c r="D50" s="14" t="s">
        <v>2881</v>
      </c>
      <c r="E50" s="14" t="s">
        <v>2882</v>
      </c>
      <c r="F50" s="14" t="s">
        <v>2883</v>
      </c>
      <c r="G50" s="14" t="s">
        <v>1014</v>
      </c>
      <c r="H50" s="14" t="s">
        <v>1015</v>
      </c>
      <c r="I50" s="14"/>
      <c r="J50" s="14" t="s">
        <v>1016</v>
      </c>
      <c r="K50" s="14"/>
      <c r="L50" s="14" t="s">
        <v>1079</v>
      </c>
      <c r="M50" s="14" t="s">
        <v>1017</v>
      </c>
      <c r="N50" s="14" t="s">
        <v>1080</v>
      </c>
    </row>
    <row r="51" spans="1:14" ht="43.5" x14ac:dyDescent="0.35">
      <c r="A51" s="14" t="s">
        <v>52</v>
      </c>
      <c r="B51" s="14" t="s">
        <v>1159</v>
      </c>
      <c r="C51" s="14" t="s">
        <v>1076</v>
      </c>
      <c r="D51" s="14" t="s">
        <v>2884</v>
      </c>
      <c r="E51" s="14" t="s">
        <v>2885</v>
      </c>
      <c r="F51" s="14" t="s">
        <v>2886</v>
      </c>
      <c r="G51" s="14" t="s">
        <v>1014</v>
      </c>
      <c r="H51" s="14" t="s">
        <v>1015</v>
      </c>
      <c r="I51" s="14"/>
      <c r="J51" s="14" t="s">
        <v>1016</v>
      </c>
      <c r="K51" s="14"/>
      <c r="L51" s="14" t="s">
        <v>1079</v>
      </c>
      <c r="M51" s="14" t="s">
        <v>1017</v>
      </c>
      <c r="N51" s="14" t="s">
        <v>1080</v>
      </c>
    </row>
    <row r="52" spans="1:14" ht="43.5" x14ac:dyDescent="0.35">
      <c r="A52" s="14" t="s">
        <v>52</v>
      </c>
      <c r="B52" s="14" t="s">
        <v>1159</v>
      </c>
      <c r="C52" s="14" t="s">
        <v>1076</v>
      </c>
      <c r="D52" s="14" t="s">
        <v>2887</v>
      </c>
      <c r="E52" s="14" t="s">
        <v>2888</v>
      </c>
      <c r="F52" s="14" t="s">
        <v>2889</v>
      </c>
      <c r="G52" s="14" t="s">
        <v>1014</v>
      </c>
      <c r="H52" s="14" t="s">
        <v>1015</v>
      </c>
      <c r="I52" s="14"/>
      <c r="J52" s="14" t="s">
        <v>1016</v>
      </c>
      <c r="K52" s="14"/>
      <c r="L52" s="14" t="s">
        <v>1079</v>
      </c>
      <c r="M52" s="14" t="s">
        <v>1017</v>
      </c>
      <c r="N52" s="14" t="s">
        <v>1080</v>
      </c>
    </row>
    <row r="53" spans="1:14" ht="43.5" x14ac:dyDescent="0.35">
      <c r="A53" s="14" t="s">
        <v>52</v>
      </c>
      <c r="B53" s="14" t="s">
        <v>1190</v>
      </c>
      <c r="C53" s="14" t="s">
        <v>1076</v>
      </c>
      <c r="D53" s="14" t="s">
        <v>2890</v>
      </c>
      <c r="E53" s="14" t="s">
        <v>2891</v>
      </c>
      <c r="F53" s="14" t="s">
        <v>2892</v>
      </c>
      <c r="G53" s="14" t="s">
        <v>1014</v>
      </c>
      <c r="H53" s="14" t="s">
        <v>1015</v>
      </c>
      <c r="I53" s="14" t="s">
        <v>1078</v>
      </c>
      <c r="J53" s="14" t="s">
        <v>1016</v>
      </c>
      <c r="K53" s="14"/>
      <c r="L53" s="14" t="s">
        <v>1079</v>
      </c>
      <c r="M53" s="14" t="s">
        <v>1017</v>
      </c>
      <c r="N53" s="14" t="s">
        <v>1080</v>
      </c>
    </row>
    <row r="54" spans="1:14" ht="43.5" x14ac:dyDescent="0.35">
      <c r="A54" s="14" t="s">
        <v>52</v>
      </c>
      <c r="B54" s="14" t="s">
        <v>1190</v>
      </c>
      <c r="C54" s="14" t="s">
        <v>1076</v>
      </c>
      <c r="D54" s="14" t="s">
        <v>2893</v>
      </c>
      <c r="E54" s="14" t="s">
        <v>2894</v>
      </c>
      <c r="F54" s="14" t="s">
        <v>2895</v>
      </c>
      <c r="G54" s="14" t="s">
        <v>1014</v>
      </c>
      <c r="H54" s="14" t="s">
        <v>1015</v>
      </c>
      <c r="I54" s="14"/>
      <c r="J54" s="14" t="s">
        <v>1016</v>
      </c>
      <c r="K54" s="14"/>
      <c r="L54" s="14" t="s">
        <v>1079</v>
      </c>
      <c r="M54" s="14" t="s">
        <v>1017</v>
      </c>
      <c r="N54" s="14" t="s">
        <v>1080</v>
      </c>
    </row>
    <row r="55" spans="1:14" ht="43.5" x14ac:dyDescent="0.35">
      <c r="A55" s="14" t="s">
        <v>52</v>
      </c>
      <c r="B55" s="14" t="s">
        <v>1190</v>
      </c>
      <c r="C55" s="14" t="s">
        <v>1076</v>
      </c>
      <c r="D55" s="14" t="s">
        <v>2896</v>
      </c>
      <c r="E55" s="14" t="s">
        <v>2897</v>
      </c>
      <c r="F55" s="14" t="s">
        <v>2898</v>
      </c>
      <c r="G55" s="14" t="s">
        <v>1014</v>
      </c>
      <c r="H55" s="14" t="s">
        <v>1015</v>
      </c>
      <c r="I55" s="14"/>
      <c r="J55" s="14" t="s">
        <v>1016</v>
      </c>
      <c r="K55" s="14"/>
      <c r="L55" s="14" t="s">
        <v>1079</v>
      </c>
      <c r="M55" s="14" t="s">
        <v>1017</v>
      </c>
      <c r="N55" s="14" t="s">
        <v>1080</v>
      </c>
    </row>
    <row r="56" spans="1:14" ht="43.5" x14ac:dyDescent="0.35">
      <c r="A56" s="14" t="s">
        <v>52</v>
      </c>
      <c r="B56" s="14" t="s">
        <v>1197</v>
      </c>
      <c r="C56" s="14" t="s">
        <v>1076</v>
      </c>
      <c r="D56" s="14" t="s">
        <v>2899</v>
      </c>
      <c r="E56" s="14" t="s">
        <v>2772</v>
      </c>
      <c r="F56" s="14" t="s">
        <v>2900</v>
      </c>
      <c r="G56" s="14" t="s">
        <v>1014</v>
      </c>
      <c r="H56" s="14" t="s">
        <v>1015</v>
      </c>
      <c r="I56" s="14" t="s">
        <v>1229</v>
      </c>
      <c r="J56" s="14" t="s">
        <v>1016</v>
      </c>
      <c r="K56" s="14"/>
      <c r="L56" s="14" t="s">
        <v>1079</v>
      </c>
      <c r="M56" s="14" t="s">
        <v>1017</v>
      </c>
      <c r="N56" s="14" t="s">
        <v>1080</v>
      </c>
    </row>
    <row r="57" spans="1:14" ht="43.5" x14ac:dyDescent="0.35">
      <c r="A57" s="14" t="s">
        <v>52</v>
      </c>
      <c r="B57" s="14" t="s">
        <v>1197</v>
      </c>
      <c r="C57" s="14" t="s">
        <v>1076</v>
      </c>
      <c r="D57" s="14" t="s">
        <v>2901</v>
      </c>
      <c r="E57" s="14" t="s">
        <v>2902</v>
      </c>
      <c r="F57" s="14" t="s">
        <v>2903</v>
      </c>
      <c r="G57" s="14" t="s">
        <v>1014</v>
      </c>
      <c r="H57" s="14" t="s">
        <v>1015</v>
      </c>
      <c r="I57" s="14" t="s">
        <v>2829</v>
      </c>
      <c r="J57" s="14" t="s">
        <v>1016</v>
      </c>
      <c r="K57" s="14"/>
      <c r="L57" s="14" t="s">
        <v>1079</v>
      </c>
      <c r="M57" s="14" t="s">
        <v>1017</v>
      </c>
      <c r="N57" s="14" t="s">
        <v>1080</v>
      </c>
    </row>
    <row r="58" spans="1:14" ht="43.5" x14ac:dyDescent="0.35">
      <c r="A58" s="14" t="s">
        <v>52</v>
      </c>
      <c r="B58" s="14" t="s">
        <v>1197</v>
      </c>
      <c r="C58" s="14" t="s">
        <v>1076</v>
      </c>
      <c r="D58" s="14" t="s">
        <v>2904</v>
      </c>
      <c r="E58" s="14" t="s">
        <v>2890</v>
      </c>
      <c r="F58" s="14" t="s">
        <v>2905</v>
      </c>
      <c r="G58" s="14" t="s">
        <v>1014</v>
      </c>
      <c r="H58" s="14" t="s">
        <v>1015</v>
      </c>
      <c r="I58" s="14" t="s">
        <v>1078</v>
      </c>
      <c r="J58" s="14" t="s">
        <v>1016</v>
      </c>
      <c r="K58" s="14"/>
      <c r="L58" s="14" t="s">
        <v>1079</v>
      </c>
      <c r="M58" s="14" t="s">
        <v>1017</v>
      </c>
      <c r="N58" s="14" t="s">
        <v>1080</v>
      </c>
    </row>
    <row r="59" spans="1:14" ht="43.5" x14ac:dyDescent="0.35">
      <c r="A59" s="14" t="s">
        <v>52</v>
      </c>
      <c r="B59" s="14" t="s">
        <v>1197</v>
      </c>
      <c r="C59" s="14" t="s">
        <v>1076</v>
      </c>
      <c r="D59" s="14" t="s">
        <v>2881</v>
      </c>
      <c r="E59" s="14" t="s">
        <v>2906</v>
      </c>
      <c r="F59" s="14" t="s">
        <v>2907</v>
      </c>
      <c r="G59" s="14" t="s">
        <v>1014</v>
      </c>
      <c r="H59" s="14" t="s">
        <v>1015</v>
      </c>
      <c r="I59" s="14" t="s">
        <v>1078</v>
      </c>
      <c r="J59" s="14" t="s">
        <v>1016</v>
      </c>
      <c r="K59" s="14"/>
      <c r="L59" s="14" t="s">
        <v>1079</v>
      </c>
      <c r="M59" s="14" t="s">
        <v>1017</v>
      </c>
      <c r="N59" s="14" t="s">
        <v>1080</v>
      </c>
    </row>
    <row r="60" spans="1:14" ht="43.5" x14ac:dyDescent="0.35">
      <c r="A60" s="14" t="s">
        <v>52</v>
      </c>
      <c r="B60" s="14" t="s">
        <v>1197</v>
      </c>
      <c r="C60" s="14" t="s">
        <v>1076</v>
      </c>
      <c r="D60" s="14" t="s">
        <v>2908</v>
      </c>
      <c r="E60" s="14" t="s">
        <v>2909</v>
      </c>
      <c r="F60" s="14" t="s">
        <v>2910</v>
      </c>
      <c r="G60" s="14" t="s">
        <v>1014</v>
      </c>
      <c r="H60" s="14" t="s">
        <v>1015</v>
      </c>
      <c r="I60" s="14" t="s">
        <v>1078</v>
      </c>
      <c r="J60" s="14" t="s">
        <v>1016</v>
      </c>
      <c r="K60" s="14"/>
      <c r="L60" s="14" t="s">
        <v>1079</v>
      </c>
      <c r="M60" s="14" t="s">
        <v>1017</v>
      </c>
      <c r="N60" s="14" t="s">
        <v>1080</v>
      </c>
    </row>
    <row r="61" spans="1:14" ht="43.5" x14ac:dyDescent="0.35">
      <c r="A61" s="14" t="s">
        <v>52</v>
      </c>
      <c r="B61" s="14" t="s">
        <v>1212</v>
      </c>
      <c r="C61" s="14" t="s">
        <v>1076</v>
      </c>
      <c r="D61" s="14" t="s">
        <v>2911</v>
      </c>
      <c r="E61" s="14" t="s">
        <v>2912</v>
      </c>
      <c r="F61" s="14" t="s">
        <v>2913</v>
      </c>
      <c r="G61" s="14" t="s">
        <v>1014</v>
      </c>
      <c r="H61" s="14" t="s">
        <v>1015</v>
      </c>
      <c r="I61" s="14"/>
      <c r="J61" s="14" t="s">
        <v>1016</v>
      </c>
      <c r="K61" s="14"/>
      <c r="L61" s="14" t="s">
        <v>1079</v>
      </c>
      <c r="M61" s="14" t="s">
        <v>1017</v>
      </c>
      <c r="N61" s="14" t="s">
        <v>1080</v>
      </c>
    </row>
    <row r="62" spans="1:14" ht="43.5" x14ac:dyDescent="0.35">
      <c r="A62" s="14" t="s">
        <v>52</v>
      </c>
      <c r="B62" s="14" t="s">
        <v>1212</v>
      </c>
      <c r="C62" s="14" t="s">
        <v>1076</v>
      </c>
      <c r="D62" s="14" t="s">
        <v>2914</v>
      </c>
      <c r="E62" s="14" t="s">
        <v>2915</v>
      </c>
      <c r="F62" s="14" t="s">
        <v>2916</v>
      </c>
      <c r="G62" s="14" t="s">
        <v>1014</v>
      </c>
      <c r="H62" s="14" t="s">
        <v>1015</v>
      </c>
      <c r="I62" s="14"/>
      <c r="J62" s="14" t="s">
        <v>1016</v>
      </c>
      <c r="K62" s="14"/>
      <c r="L62" s="14" t="s">
        <v>1079</v>
      </c>
      <c r="M62" s="14" t="s">
        <v>1017</v>
      </c>
      <c r="N62" s="14" t="s">
        <v>1080</v>
      </c>
    </row>
    <row r="63" spans="1:14" ht="43.5" x14ac:dyDescent="0.35">
      <c r="A63" s="14" t="s">
        <v>52</v>
      </c>
      <c r="B63" s="14" t="s">
        <v>1212</v>
      </c>
      <c r="C63" s="14" t="s">
        <v>1076</v>
      </c>
      <c r="D63" s="14" t="s">
        <v>2917</v>
      </c>
      <c r="E63" s="14" t="s">
        <v>2918</v>
      </c>
      <c r="F63" s="14" t="s">
        <v>2919</v>
      </c>
      <c r="G63" s="14" t="s">
        <v>1014</v>
      </c>
      <c r="H63" s="14" t="s">
        <v>1015</v>
      </c>
      <c r="I63" s="14"/>
      <c r="J63" s="14" t="s">
        <v>1016</v>
      </c>
      <c r="K63" s="14"/>
      <c r="L63" s="14" t="s">
        <v>1079</v>
      </c>
      <c r="M63" s="14" t="s">
        <v>1017</v>
      </c>
      <c r="N63" s="14" t="s">
        <v>1080</v>
      </c>
    </row>
    <row r="64" spans="1:14" ht="43.5" x14ac:dyDescent="0.35">
      <c r="A64" s="14" t="s">
        <v>52</v>
      </c>
      <c r="B64" s="14" t="s">
        <v>1212</v>
      </c>
      <c r="C64" s="14" t="s">
        <v>1076</v>
      </c>
      <c r="D64" s="14" t="s">
        <v>2920</v>
      </c>
      <c r="E64" s="14" t="s">
        <v>2768</v>
      </c>
      <c r="F64" s="14" t="s">
        <v>2921</v>
      </c>
      <c r="G64" s="14" t="s">
        <v>1014</v>
      </c>
      <c r="H64" s="14" t="s">
        <v>1015</v>
      </c>
      <c r="I64" s="14"/>
      <c r="J64" s="14" t="s">
        <v>1016</v>
      </c>
      <c r="K64" s="14"/>
      <c r="L64" s="14" t="s">
        <v>1079</v>
      </c>
      <c r="M64" s="14" t="s">
        <v>1017</v>
      </c>
      <c r="N64" s="14" t="s">
        <v>1080</v>
      </c>
    </row>
    <row r="65" spans="1:14" ht="43.5" x14ac:dyDescent="0.35">
      <c r="A65" s="14" t="s">
        <v>52</v>
      </c>
      <c r="B65" s="14" t="s">
        <v>1212</v>
      </c>
      <c r="C65" s="14" t="s">
        <v>1076</v>
      </c>
      <c r="D65" s="14" t="s">
        <v>2922</v>
      </c>
      <c r="E65" s="14" t="s">
        <v>2923</v>
      </c>
      <c r="F65" s="14" t="s">
        <v>2924</v>
      </c>
      <c r="G65" s="14" t="s">
        <v>1014</v>
      </c>
      <c r="H65" s="14" t="s">
        <v>1015</v>
      </c>
      <c r="I65" s="14" t="s">
        <v>1078</v>
      </c>
      <c r="J65" s="14" t="s">
        <v>1016</v>
      </c>
      <c r="K65" s="14"/>
      <c r="L65" s="14" t="s">
        <v>1079</v>
      </c>
      <c r="M65" s="14" t="s">
        <v>1017</v>
      </c>
      <c r="N65" s="14" t="s">
        <v>1080</v>
      </c>
    </row>
    <row r="66" spans="1:14" ht="43.5" x14ac:dyDescent="0.35">
      <c r="A66" s="14" t="s">
        <v>52</v>
      </c>
      <c r="B66" s="14" t="s">
        <v>1212</v>
      </c>
      <c r="C66" s="14" t="s">
        <v>1076</v>
      </c>
      <c r="D66" s="14" t="s">
        <v>2925</v>
      </c>
      <c r="E66" s="14" t="s">
        <v>2926</v>
      </c>
      <c r="F66" s="14" t="s">
        <v>2927</v>
      </c>
      <c r="G66" s="14" t="s">
        <v>1014</v>
      </c>
      <c r="H66" s="14" t="s">
        <v>1015</v>
      </c>
      <c r="I66" s="14" t="s">
        <v>1078</v>
      </c>
      <c r="J66" s="14" t="s">
        <v>1016</v>
      </c>
      <c r="K66" s="14"/>
      <c r="L66" s="14" t="s">
        <v>1079</v>
      </c>
      <c r="M66" s="14" t="s">
        <v>1017</v>
      </c>
      <c r="N66" s="14" t="s">
        <v>1080</v>
      </c>
    </row>
    <row r="67" spans="1:14" ht="43.5" x14ac:dyDescent="0.35">
      <c r="A67" s="14" t="s">
        <v>52</v>
      </c>
      <c r="B67" s="14" t="s">
        <v>1212</v>
      </c>
      <c r="C67" s="14" t="s">
        <v>1076</v>
      </c>
      <c r="D67" s="14" t="s">
        <v>2928</v>
      </c>
      <c r="E67" s="14" t="s">
        <v>2929</v>
      </c>
      <c r="F67" s="14" t="s">
        <v>2930</v>
      </c>
      <c r="G67" s="14" t="s">
        <v>1014</v>
      </c>
      <c r="H67" s="14" t="s">
        <v>1015</v>
      </c>
      <c r="I67" s="14" t="s">
        <v>1078</v>
      </c>
      <c r="J67" s="14" t="s">
        <v>1016</v>
      </c>
      <c r="K67" s="14"/>
      <c r="L67" s="14" t="s">
        <v>1079</v>
      </c>
      <c r="M67" s="14" t="s">
        <v>1017</v>
      </c>
      <c r="N67" s="14" t="s">
        <v>1080</v>
      </c>
    </row>
    <row r="68" spans="1:14" ht="43.5" x14ac:dyDescent="0.35">
      <c r="A68" s="14" t="s">
        <v>52</v>
      </c>
      <c r="B68" s="14" t="s">
        <v>1212</v>
      </c>
      <c r="C68" s="14" t="s">
        <v>1076</v>
      </c>
      <c r="D68" s="14" t="s">
        <v>2931</v>
      </c>
      <c r="E68" s="14" t="s">
        <v>2932</v>
      </c>
      <c r="F68" s="14" t="s">
        <v>2933</v>
      </c>
      <c r="G68" s="14" t="s">
        <v>1014</v>
      </c>
      <c r="H68" s="14" t="s">
        <v>1015</v>
      </c>
      <c r="I68" s="14" t="s">
        <v>1068</v>
      </c>
      <c r="J68" s="14" t="s">
        <v>1016</v>
      </c>
      <c r="K68" s="14"/>
      <c r="L68" s="14" t="s">
        <v>1079</v>
      </c>
      <c r="M68" s="14" t="s">
        <v>1017</v>
      </c>
      <c r="N68" s="14" t="s">
        <v>1080</v>
      </c>
    </row>
    <row r="69" spans="1:14" ht="43.5" x14ac:dyDescent="0.35">
      <c r="A69" s="14" t="s">
        <v>52</v>
      </c>
      <c r="B69" s="14" t="s">
        <v>1212</v>
      </c>
      <c r="C69" s="14" t="s">
        <v>1076</v>
      </c>
      <c r="D69" s="14" t="s">
        <v>2934</v>
      </c>
      <c r="E69" s="14" t="s">
        <v>2935</v>
      </c>
      <c r="F69" s="14" t="s">
        <v>2936</v>
      </c>
      <c r="G69" s="14" t="s">
        <v>1014</v>
      </c>
      <c r="H69" s="14" t="s">
        <v>1015</v>
      </c>
      <c r="I69" s="14" t="s">
        <v>1068</v>
      </c>
      <c r="J69" s="14" t="s">
        <v>1016</v>
      </c>
      <c r="K69" s="14"/>
      <c r="L69" s="14" t="s">
        <v>1079</v>
      </c>
      <c r="M69" s="14" t="s">
        <v>1017</v>
      </c>
      <c r="N69" s="14" t="s">
        <v>1080</v>
      </c>
    </row>
    <row r="70" spans="1:14" ht="29" x14ac:dyDescent="0.35">
      <c r="A70" s="14" t="s">
        <v>52</v>
      </c>
      <c r="B70" s="14" t="s">
        <v>1212</v>
      </c>
      <c r="C70" s="14" t="s">
        <v>2825</v>
      </c>
      <c r="D70" s="14" t="s">
        <v>2937</v>
      </c>
      <c r="E70" s="14" t="s">
        <v>2938</v>
      </c>
      <c r="F70" s="14" t="s">
        <v>2939</v>
      </c>
      <c r="G70" s="14" t="s">
        <v>1014</v>
      </c>
      <c r="H70" s="14" t="s">
        <v>1015</v>
      </c>
      <c r="I70" s="14"/>
      <c r="J70" s="14" t="s">
        <v>1016</v>
      </c>
      <c r="K70" s="14"/>
      <c r="L70" s="14" t="s">
        <v>2830</v>
      </c>
      <c r="M70" s="14" t="s">
        <v>1017</v>
      </c>
      <c r="N70" s="14" t="s">
        <v>2831</v>
      </c>
    </row>
    <row r="71" spans="1:14" ht="43.5" x14ac:dyDescent="0.35">
      <c r="A71" s="14" t="s">
        <v>52</v>
      </c>
      <c r="B71" s="14" t="s">
        <v>1224</v>
      </c>
      <c r="C71" s="14" t="s">
        <v>1076</v>
      </c>
      <c r="D71" s="14" t="s">
        <v>2940</v>
      </c>
      <c r="E71" s="14" t="s">
        <v>2941</v>
      </c>
      <c r="F71" s="14" t="s">
        <v>2942</v>
      </c>
      <c r="G71" s="14" t="s">
        <v>1014</v>
      </c>
      <c r="H71" s="14" t="s">
        <v>1015</v>
      </c>
      <c r="I71" s="14" t="s">
        <v>1078</v>
      </c>
      <c r="J71" s="14" t="s">
        <v>1016</v>
      </c>
      <c r="K71" s="14"/>
      <c r="L71" s="14" t="s">
        <v>1079</v>
      </c>
      <c r="M71" s="14" t="s">
        <v>1017</v>
      </c>
      <c r="N71" s="14" t="s">
        <v>1080</v>
      </c>
    </row>
    <row r="72" spans="1:14" ht="43.5" x14ac:dyDescent="0.35">
      <c r="A72" s="14" t="s">
        <v>52</v>
      </c>
      <c r="B72" s="14" t="s">
        <v>1224</v>
      </c>
      <c r="C72" s="14" t="s">
        <v>1076</v>
      </c>
      <c r="D72" s="14" t="s">
        <v>2943</v>
      </c>
      <c r="E72" s="14" t="s">
        <v>2944</v>
      </c>
      <c r="F72" s="14" t="s">
        <v>2945</v>
      </c>
      <c r="G72" s="14" t="s">
        <v>1014</v>
      </c>
      <c r="H72" s="14" t="s">
        <v>1015</v>
      </c>
      <c r="I72" s="14" t="s">
        <v>1078</v>
      </c>
      <c r="J72" s="14" t="s">
        <v>1016</v>
      </c>
      <c r="K72" s="14"/>
      <c r="L72" s="14" t="s">
        <v>1079</v>
      </c>
      <c r="M72" s="14" t="s">
        <v>1017</v>
      </c>
      <c r="N72" s="14" t="s">
        <v>1080</v>
      </c>
    </row>
    <row r="73" spans="1:14" ht="43.5" x14ac:dyDescent="0.35">
      <c r="A73" s="14" t="s">
        <v>52</v>
      </c>
      <c r="B73" s="14" t="s">
        <v>1290</v>
      </c>
      <c r="C73" s="14" t="s">
        <v>1076</v>
      </c>
      <c r="D73" s="14" t="s">
        <v>2946</v>
      </c>
      <c r="E73" s="14" t="s">
        <v>2947</v>
      </c>
      <c r="F73" s="14" t="s">
        <v>2948</v>
      </c>
      <c r="G73" s="14" t="s">
        <v>1014</v>
      </c>
      <c r="H73" s="14" t="s">
        <v>1015</v>
      </c>
      <c r="I73" s="14" t="s">
        <v>1078</v>
      </c>
      <c r="J73" s="14" t="s">
        <v>1016</v>
      </c>
      <c r="K73" s="14"/>
      <c r="L73" s="14" t="s">
        <v>1079</v>
      </c>
      <c r="M73" s="14" t="s">
        <v>1017</v>
      </c>
      <c r="N73" s="14" t="s">
        <v>1080</v>
      </c>
    </row>
    <row r="74" spans="1:14" ht="43.5" x14ac:dyDescent="0.35">
      <c r="A74" s="14" t="s">
        <v>52</v>
      </c>
      <c r="B74" s="14" t="s">
        <v>1290</v>
      </c>
      <c r="C74" s="14" t="s">
        <v>1076</v>
      </c>
      <c r="D74" s="14" t="s">
        <v>2949</v>
      </c>
      <c r="E74" s="14" t="s">
        <v>2950</v>
      </c>
      <c r="F74" s="14" t="s">
        <v>2951</v>
      </c>
      <c r="G74" s="14" t="s">
        <v>1014</v>
      </c>
      <c r="H74" s="14" t="s">
        <v>1015</v>
      </c>
      <c r="I74" s="14" t="s">
        <v>1078</v>
      </c>
      <c r="J74" s="14" t="s">
        <v>1016</v>
      </c>
      <c r="K74" s="14"/>
      <c r="L74" s="14" t="s">
        <v>1079</v>
      </c>
      <c r="M74" s="14" t="s">
        <v>1017</v>
      </c>
      <c r="N74" s="14" t="s">
        <v>1080</v>
      </c>
    </row>
    <row r="75" spans="1:14" ht="43.5" x14ac:dyDescent="0.35">
      <c r="A75" s="14" t="s">
        <v>52</v>
      </c>
      <c r="B75" s="14" t="s">
        <v>1290</v>
      </c>
      <c r="C75" s="14" t="s">
        <v>1076</v>
      </c>
      <c r="D75" s="14" t="s">
        <v>2952</v>
      </c>
      <c r="E75" s="14" t="s">
        <v>2953</v>
      </c>
      <c r="F75" s="14" t="s">
        <v>2954</v>
      </c>
      <c r="G75" s="14" t="s">
        <v>1014</v>
      </c>
      <c r="H75" s="14" t="s">
        <v>1015</v>
      </c>
      <c r="I75" s="14" t="s">
        <v>1078</v>
      </c>
      <c r="J75" s="14" t="s">
        <v>1016</v>
      </c>
      <c r="K75" s="14"/>
      <c r="L75" s="14" t="s">
        <v>1079</v>
      </c>
      <c r="M75" s="14" t="s">
        <v>1017</v>
      </c>
      <c r="N75" s="14" t="s">
        <v>1080</v>
      </c>
    </row>
    <row r="76" spans="1:14" ht="43.5" x14ac:dyDescent="0.35">
      <c r="A76" s="14" t="s">
        <v>52</v>
      </c>
      <c r="B76" s="14" t="s">
        <v>1294</v>
      </c>
      <c r="C76" s="14" t="s">
        <v>1076</v>
      </c>
      <c r="D76" s="14" t="s">
        <v>2955</v>
      </c>
      <c r="E76" s="14" t="s">
        <v>2956</v>
      </c>
      <c r="F76" s="14" t="s">
        <v>2957</v>
      </c>
      <c r="G76" s="14" t="s">
        <v>1014</v>
      </c>
      <c r="H76" s="14" t="s">
        <v>1015</v>
      </c>
      <c r="I76" s="14"/>
      <c r="J76" s="14" t="s">
        <v>1016</v>
      </c>
      <c r="K76" s="14"/>
      <c r="L76" s="14" t="s">
        <v>1079</v>
      </c>
      <c r="M76" s="14" t="s">
        <v>1017</v>
      </c>
      <c r="N76" s="14" t="s">
        <v>1080</v>
      </c>
    </row>
    <row r="77" spans="1:14" ht="43.5" x14ac:dyDescent="0.35">
      <c r="A77" s="14" t="s">
        <v>52</v>
      </c>
      <c r="B77" s="14" t="s">
        <v>1294</v>
      </c>
      <c r="C77" s="14" t="s">
        <v>1076</v>
      </c>
      <c r="D77" s="14" t="s">
        <v>2958</v>
      </c>
      <c r="E77" s="14" t="s">
        <v>2959</v>
      </c>
      <c r="F77" s="14" t="s">
        <v>2960</v>
      </c>
      <c r="G77" s="14" t="s">
        <v>1014</v>
      </c>
      <c r="H77" s="14" t="s">
        <v>1015</v>
      </c>
      <c r="I77" s="14"/>
      <c r="J77" s="14" t="s">
        <v>1016</v>
      </c>
      <c r="K77" s="14"/>
      <c r="L77" s="14" t="s">
        <v>1079</v>
      </c>
      <c r="M77" s="14" t="s">
        <v>1017</v>
      </c>
      <c r="N77" s="14" t="s">
        <v>1080</v>
      </c>
    </row>
    <row r="78" spans="1:14" ht="43.5" x14ac:dyDescent="0.35">
      <c r="A78" s="14" t="s">
        <v>52</v>
      </c>
      <c r="B78" s="14" t="s">
        <v>1294</v>
      </c>
      <c r="C78" s="14" t="s">
        <v>1076</v>
      </c>
      <c r="D78" s="14" t="s">
        <v>2961</v>
      </c>
      <c r="E78" s="14" t="s">
        <v>2962</v>
      </c>
      <c r="F78" s="14" t="s">
        <v>2963</v>
      </c>
      <c r="G78" s="14" t="s">
        <v>1014</v>
      </c>
      <c r="H78" s="14" t="s">
        <v>1015</v>
      </c>
      <c r="I78" s="14" t="s">
        <v>1078</v>
      </c>
      <c r="J78" s="14" t="s">
        <v>1016</v>
      </c>
      <c r="K78" s="14"/>
      <c r="L78" s="14" t="s">
        <v>1079</v>
      </c>
      <c r="M78" s="14" t="s">
        <v>1017</v>
      </c>
      <c r="N78" s="14" t="s">
        <v>1080</v>
      </c>
    </row>
    <row r="79" spans="1:14" ht="43.5" x14ac:dyDescent="0.35">
      <c r="A79" s="14" t="s">
        <v>52</v>
      </c>
      <c r="B79" s="14" t="s">
        <v>1294</v>
      </c>
      <c r="C79" s="14" t="s">
        <v>1076</v>
      </c>
      <c r="D79" s="14" t="s">
        <v>2964</v>
      </c>
      <c r="E79" s="14" t="s">
        <v>2965</v>
      </c>
      <c r="F79" s="14" t="s">
        <v>2966</v>
      </c>
      <c r="G79" s="14" t="s">
        <v>1014</v>
      </c>
      <c r="H79" s="14" t="s">
        <v>1015</v>
      </c>
      <c r="I79" s="14" t="s">
        <v>1078</v>
      </c>
      <c r="J79" s="14" t="s">
        <v>1016</v>
      </c>
      <c r="K79" s="14"/>
      <c r="L79" s="14" t="s">
        <v>1079</v>
      </c>
      <c r="M79" s="14" t="s">
        <v>1017</v>
      </c>
      <c r="N79" s="14" t="s">
        <v>1080</v>
      </c>
    </row>
    <row r="80" spans="1:14" ht="43.5" x14ac:dyDescent="0.35">
      <c r="A80" s="14" t="s">
        <v>52</v>
      </c>
      <c r="B80" s="14" t="s">
        <v>1294</v>
      </c>
      <c r="C80" s="14" t="s">
        <v>1076</v>
      </c>
      <c r="D80" s="14" t="s">
        <v>2816</v>
      </c>
      <c r="E80" s="14" t="s">
        <v>2967</v>
      </c>
      <c r="F80" s="14" t="s">
        <v>2968</v>
      </c>
      <c r="G80" s="14" t="s">
        <v>1014</v>
      </c>
      <c r="H80" s="14" t="s">
        <v>1015</v>
      </c>
      <c r="I80" s="14" t="s">
        <v>1078</v>
      </c>
      <c r="J80" s="14" t="s">
        <v>1016</v>
      </c>
      <c r="K80" s="14"/>
      <c r="L80" s="14" t="s">
        <v>1079</v>
      </c>
      <c r="M80" s="14" t="s">
        <v>1017</v>
      </c>
      <c r="N80" s="14" t="s">
        <v>1080</v>
      </c>
    </row>
    <row r="81" spans="1:14" ht="43.5" x14ac:dyDescent="0.35">
      <c r="A81" s="14" t="s">
        <v>52</v>
      </c>
      <c r="B81" s="14" t="s">
        <v>1300</v>
      </c>
      <c r="C81" s="14" t="s">
        <v>1076</v>
      </c>
      <c r="D81" s="14" t="s">
        <v>2969</v>
      </c>
      <c r="E81" s="14" t="s">
        <v>2970</v>
      </c>
      <c r="F81" s="14" t="s">
        <v>2971</v>
      </c>
      <c r="G81" s="14" t="s">
        <v>1014</v>
      </c>
      <c r="H81" s="14" t="s">
        <v>1015</v>
      </c>
      <c r="I81" s="14" t="s">
        <v>2972</v>
      </c>
      <c r="J81" s="14" t="s">
        <v>1016</v>
      </c>
      <c r="K81" s="14"/>
      <c r="L81" s="14" t="s">
        <v>1079</v>
      </c>
      <c r="M81" s="14" t="s">
        <v>1017</v>
      </c>
      <c r="N81" s="14" t="s">
        <v>1080</v>
      </c>
    </row>
    <row r="82" spans="1:14" ht="43.5" x14ac:dyDescent="0.35">
      <c r="A82" s="14" t="s">
        <v>52</v>
      </c>
      <c r="B82" s="14" t="s">
        <v>1300</v>
      </c>
      <c r="C82" s="14" t="s">
        <v>1076</v>
      </c>
      <c r="D82" s="14" t="s">
        <v>2973</v>
      </c>
      <c r="E82" s="14" t="s">
        <v>2974</v>
      </c>
      <c r="F82" s="14" t="s">
        <v>2975</v>
      </c>
      <c r="G82" s="14" t="s">
        <v>1014</v>
      </c>
      <c r="H82" s="14" t="s">
        <v>1015</v>
      </c>
      <c r="I82" s="14"/>
      <c r="J82" s="14" t="s">
        <v>1016</v>
      </c>
      <c r="K82" s="14"/>
      <c r="L82" s="14" t="s">
        <v>1079</v>
      </c>
      <c r="M82" s="14" t="s">
        <v>1017</v>
      </c>
      <c r="N82" s="14" t="s">
        <v>1080</v>
      </c>
    </row>
    <row r="83" spans="1:14" ht="43.5" x14ac:dyDescent="0.35">
      <c r="A83" s="14" t="s">
        <v>52</v>
      </c>
      <c r="B83" s="14" t="s">
        <v>1300</v>
      </c>
      <c r="C83" s="14" t="s">
        <v>1076</v>
      </c>
      <c r="D83" s="14" t="s">
        <v>2976</v>
      </c>
      <c r="E83" s="14" t="s">
        <v>2977</v>
      </c>
      <c r="F83" s="14" t="s">
        <v>2978</v>
      </c>
      <c r="G83" s="14" t="s">
        <v>1014</v>
      </c>
      <c r="H83" s="14" t="s">
        <v>1015</v>
      </c>
      <c r="I83" s="14"/>
      <c r="J83" s="14" t="s">
        <v>1016</v>
      </c>
      <c r="K83" s="14"/>
      <c r="L83" s="14" t="s">
        <v>1079</v>
      </c>
      <c r="M83" s="14" t="s">
        <v>1017</v>
      </c>
      <c r="N83" s="14" t="s">
        <v>1080</v>
      </c>
    </row>
    <row r="84" spans="1:14" ht="43.5" x14ac:dyDescent="0.35">
      <c r="A84" s="14" t="s">
        <v>52</v>
      </c>
      <c r="B84" s="14" t="s">
        <v>1300</v>
      </c>
      <c r="C84" s="14" t="s">
        <v>1076</v>
      </c>
      <c r="D84" s="14" t="s">
        <v>2979</v>
      </c>
      <c r="E84" s="14" t="s">
        <v>2792</v>
      </c>
      <c r="F84" s="14" t="s">
        <v>2980</v>
      </c>
      <c r="G84" s="14" t="s">
        <v>1014</v>
      </c>
      <c r="H84" s="14" t="s">
        <v>1015</v>
      </c>
      <c r="I84" s="14"/>
      <c r="J84" s="14" t="s">
        <v>1016</v>
      </c>
      <c r="K84" s="14"/>
      <c r="L84" s="14" t="s">
        <v>1079</v>
      </c>
      <c r="M84" s="14" t="s">
        <v>1017</v>
      </c>
      <c r="N84" s="14" t="s">
        <v>1080</v>
      </c>
    </row>
    <row r="85" spans="1:14" ht="43.5" x14ac:dyDescent="0.35">
      <c r="A85" s="14" t="s">
        <v>52</v>
      </c>
      <c r="B85" s="14" t="s">
        <v>1300</v>
      </c>
      <c r="C85" s="14" t="s">
        <v>1076</v>
      </c>
      <c r="D85" s="14" t="s">
        <v>2981</v>
      </c>
      <c r="E85" s="14" t="s">
        <v>2982</v>
      </c>
      <c r="F85" s="14" t="s">
        <v>2983</v>
      </c>
      <c r="G85" s="14" t="s">
        <v>1014</v>
      </c>
      <c r="H85" s="14" t="s">
        <v>1015</v>
      </c>
      <c r="I85" s="14" t="s">
        <v>1078</v>
      </c>
      <c r="J85" s="14" t="s">
        <v>1016</v>
      </c>
      <c r="K85" s="14"/>
      <c r="L85" s="14" t="s">
        <v>1079</v>
      </c>
      <c r="M85" s="14" t="s">
        <v>1017</v>
      </c>
      <c r="N85" s="14" t="s">
        <v>1080</v>
      </c>
    </row>
    <row r="86" spans="1:14" ht="43.5" x14ac:dyDescent="0.35">
      <c r="A86" s="14" t="s">
        <v>52</v>
      </c>
      <c r="B86" s="14" t="s">
        <v>1300</v>
      </c>
      <c r="C86" s="14" t="s">
        <v>1076</v>
      </c>
      <c r="D86" s="14" t="s">
        <v>2984</v>
      </c>
      <c r="E86" s="14" t="s">
        <v>2985</v>
      </c>
      <c r="F86" s="14" t="s">
        <v>2986</v>
      </c>
      <c r="G86" s="14" t="s">
        <v>1014</v>
      </c>
      <c r="H86" s="14" t="s">
        <v>1015</v>
      </c>
      <c r="I86" s="14" t="s">
        <v>1078</v>
      </c>
      <c r="J86" s="14" t="s">
        <v>1016</v>
      </c>
      <c r="K86" s="14"/>
      <c r="L86" s="14" t="s">
        <v>1079</v>
      </c>
      <c r="M86" s="14" t="s">
        <v>1017</v>
      </c>
      <c r="N86" s="14" t="s">
        <v>1080</v>
      </c>
    </row>
    <row r="87" spans="1:14" ht="43.5" x14ac:dyDescent="0.35">
      <c r="A87" s="14" t="s">
        <v>52</v>
      </c>
      <c r="B87" s="14" t="s">
        <v>1322</v>
      </c>
      <c r="C87" s="14" t="s">
        <v>1076</v>
      </c>
      <c r="D87" s="14" t="s">
        <v>2987</v>
      </c>
      <c r="E87" s="14" t="s">
        <v>2988</v>
      </c>
      <c r="F87" s="14" t="s">
        <v>2989</v>
      </c>
      <c r="G87" s="14" t="s">
        <v>1014</v>
      </c>
      <c r="H87" s="14" t="s">
        <v>1015</v>
      </c>
      <c r="I87" s="14" t="s">
        <v>2829</v>
      </c>
      <c r="J87" s="14" t="s">
        <v>1016</v>
      </c>
      <c r="K87" s="14"/>
      <c r="L87" s="14" t="s">
        <v>1079</v>
      </c>
      <c r="M87" s="14" t="s">
        <v>1017</v>
      </c>
      <c r="N87" s="14" t="s">
        <v>1080</v>
      </c>
    </row>
    <row r="88" spans="1:14" ht="43.5" x14ac:dyDescent="0.35">
      <c r="A88" s="14" t="s">
        <v>52</v>
      </c>
      <c r="B88" s="14" t="s">
        <v>1322</v>
      </c>
      <c r="C88" s="14" t="s">
        <v>1076</v>
      </c>
      <c r="D88" s="14" t="s">
        <v>2990</v>
      </c>
      <c r="E88" s="14" t="s">
        <v>2991</v>
      </c>
      <c r="F88" s="14" t="s">
        <v>2992</v>
      </c>
      <c r="G88" s="14" t="s">
        <v>1014</v>
      </c>
      <c r="H88" s="14" t="s">
        <v>1015</v>
      </c>
      <c r="I88" s="14" t="s">
        <v>1078</v>
      </c>
      <c r="J88" s="14" t="s">
        <v>1016</v>
      </c>
      <c r="K88" s="14"/>
      <c r="L88" s="14" t="s">
        <v>1079</v>
      </c>
      <c r="M88" s="14" t="s">
        <v>1017</v>
      </c>
      <c r="N88" s="14" t="s">
        <v>1080</v>
      </c>
    </row>
    <row r="89" spans="1:14" ht="43.5" x14ac:dyDescent="0.35">
      <c r="A89" s="14" t="s">
        <v>52</v>
      </c>
      <c r="B89" s="14" t="s">
        <v>1376</v>
      </c>
      <c r="C89" s="14" t="s">
        <v>1076</v>
      </c>
      <c r="D89" s="14" t="s">
        <v>2884</v>
      </c>
      <c r="E89" s="14" t="s">
        <v>2885</v>
      </c>
      <c r="F89" s="14" t="s">
        <v>2993</v>
      </c>
      <c r="G89" s="14" t="s">
        <v>1014</v>
      </c>
      <c r="H89" s="14" t="s">
        <v>1015</v>
      </c>
      <c r="I89" s="14"/>
      <c r="J89" s="14" t="s">
        <v>1016</v>
      </c>
      <c r="K89" s="14"/>
      <c r="L89" s="14" t="s">
        <v>1079</v>
      </c>
      <c r="M89" s="14" t="s">
        <v>1017</v>
      </c>
      <c r="N89" s="14" t="s">
        <v>1080</v>
      </c>
    </row>
    <row r="90" spans="1:14" ht="43.5" x14ac:dyDescent="0.35">
      <c r="A90" s="14" t="s">
        <v>52</v>
      </c>
      <c r="B90" s="14" t="s">
        <v>1394</v>
      </c>
      <c r="C90" s="14" t="s">
        <v>1076</v>
      </c>
      <c r="D90" s="14" t="s">
        <v>2994</v>
      </c>
      <c r="E90" s="14" t="s">
        <v>2995</v>
      </c>
      <c r="F90" s="14" t="s">
        <v>2996</v>
      </c>
      <c r="G90" s="14" t="s">
        <v>1014</v>
      </c>
      <c r="H90" s="14" t="s">
        <v>1015</v>
      </c>
      <c r="I90" s="14" t="s">
        <v>1078</v>
      </c>
      <c r="J90" s="14" t="s">
        <v>1016</v>
      </c>
      <c r="K90" s="14"/>
      <c r="L90" s="14" t="s">
        <v>1079</v>
      </c>
      <c r="M90" s="14" t="s">
        <v>1017</v>
      </c>
      <c r="N90" s="14" t="s">
        <v>1080</v>
      </c>
    </row>
    <row r="91" spans="1:14" ht="43.5" x14ac:dyDescent="0.35">
      <c r="A91" s="14" t="s">
        <v>52</v>
      </c>
      <c r="B91" s="14" t="s">
        <v>1394</v>
      </c>
      <c r="C91" s="14" t="s">
        <v>1076</v>
      </c>
      <c r="D91" s="14" t="s">
        <v>2995</v>
      </c>
      <c r="E91" s="14" t="s">
        <v>2997</v>
      </c>
      <c r="F91" s="14" t="s">
        <v>2998</v>
      </c>
      <c r="G91" s="14" t="s">
        <v>1014</v>
      </c>
      <c r="H91" s="14" t="s">
        <v>1015</v>
      </c>
      <c r="I91" s="14" t="s">
        <v>1078</v>
      </c>
      <c r="J91" s="14" t="s">
        <v>1016</v>
      </c>
      <c r="K91" s="14"/>
      <c r="L91" s="14" t="s">
        <v>1079</v>
      </c>
      <c r="M91" s="14" t="s">
        <v>1017</v>
      </c>
      <c r="N91" s="14" t="s">
        <v>1080</v>
      </c>
    </row>
    <row r="92" spans="1:14" ht="43.5" x14ac:dyDescent="0.35">
      <c r="A92" s="14" t="s">
        <v>52</v>
      </c>
      <c r="B92" s="14" t="s">
        <v>1394</v>
      </c>
      <c r="C92" s="14" t="s">
        <v>1076</v>
      </c>
      <c r="D92" s="14" t="s">
        <v>2999</v>
      </c>
      <c r="E92" s="14" t="s">
        <v>3000</v>
      </c>
      <c r="F92" s="14" t="s">
        <v>3001</v>
      </c>
      <c r="G92" s="14" t="s">
        <v>1014</v>
      </c>
      <c r="H92" s="14" t="s">
        <v>1015</v>
      </c>
      <c r="I92" s="14" t="s">
        <v>1078</v>
      </c>
      <c r="J92" s="14" t="s">
        <v>1016</v>
      </c>
      <c r="K92" s="14"/>
      <c r="L92" s="14" t="s">
        <v>1079</v>
      </c>
      <c r="M92" s="14" t="s">
        <v>1017</v>
      </c>
      <c r="N92" s="14" t="s">
        <v>1080</v>
      </c>
    </row>
    <row r="93" spans="1:14" ht="43.5" x14ac:dyDescent="0.35">
      <c r="A93" s="14" t="s">
        <v>52</v>
      </c>
      <c r="B93" s="14" t="s">
        <v>1394</v>
      </c>
      <c r="C93" s="14" t="s">
        <v>1076</v>
      </c>
      <c r="D93" s="14" t="s">
        <v>3002</v>
      </c>
      <c r="E93" s="14" t="s">
        <v>3003</v>
      </c>
      <c r="F93" s="14" t="s">
        <v>3004</v>
      </c>
      <c r="G93" s="14" t="s">
        <v>1014</v>
      </c>
      <c r="H93" s="14" t="s">
        <v>1015</v>
      </c>
      <c r="I93" s="14"/>
      <c r="J93" s="14" t="s">
        <v>1016</v>
      </c>
      <c r="K93" s="14"/>
      <c r="L93" s="14" t="s">
        <v>1079</v>
      </c>
      <c r="M93" s="14" t="s">
        <v>1017</v>
      </c>
      <c r="N93" s="14" t="s">
        <v>1080</v>
      </c>
    </row>
    <row r="94" spans="1:14" ht="29" x14ac:dyDescent="0.35">
      <c r="A94" s="14" t="s">
        <v>52</v>
      </c>
      <c r="B94" s="14" t="s">
        <v>1394</v>
      </c>
      <c r="C94" s="14" t="s">
        <v>3005</v>
      </c>
      <c r="D94" s="14" t="s">
        <v>2912</v>
      </c>
      <c r="E94" s="14" t="s">
        <v>2914</v>
      </c>
      <c r="F94" s="14" t="s">
        <v>3006</v>
      </c>
      <c r="G94" s="14" t="s">
        <v>1014</v>
      </c>
      <c r="H94" s="14" t="s">
        <v>1015</v>
      </c>
      <c r="I94" s="14"/>
      <c r="J94" s="14" t="s">
        <v>1016</v>
      </c>
      <c r="K94" s="14"/>
      <c r="L94" s="14" t="s">
        <v>1229</v>
      </c>
      <c r="M94" s="14" t="s">
        <v>1017</v>
      </c>
      <c r="N94" s="14" t="s">
        <v>3007</v>
      </c>
    </row>
    <row r="95" spans="1:14" ht="29" x14ac:dyDescent="0.35">
      <c r="A95" s="14" t="s">
        <v>52</v>
      </c>
      <c r="B95" s="14" t="s">
        <v>1394</v>
      </c>
      <c r="C95" s="14" t="s">
        <v>2825</v>
      </c>
      <c r="D95" s="14" t="s">
        <v>2833</v>
      </c>
      <c r="E95" s="14" t="s">
        <v>2958</v>
      </c>
      <c r="F95" s="14" t="s">
        <v>3008</v>
      </c>
      <c r="G95" s="14" t="s">
        <v>1014</v>
      </c>
      <c r="H95" s="14" t="s">
        <v>1015</v>
      </c>
      <c r="I95" s="14"/>
      <c r="J95" s="14" t="s">
        <v>1016</v>
      </c>
      <c r="K95" s="14"/>
      <c r="L95" s="14" t="s">
        <v>2830</v>
      </c>
      <c r="M95" s="14" t="s">
        <v>1017</v>
      </c>
      <c r="N95" s="14" t="s">
        <v>2831</v>
      </c>
    </row>
    <row r="96" spans="1:14" ht="43.5" x14ac:dyDescent="0.35">
      <c r="A96" s="14" t="s">
        <v>52</v>
      </c>
      <c r="B96" s="14" t="s">
        <v>1405</v>
      </c>
      <c r="C96" s="14" t="s">
        <v>1076</v>
      </c>
      <c r="D96" s="14" t="s">
        <v>3009</v>
      </c>
      <c r="E96" s="14" t="s">
        <v>2790</v>
      </c>
      <c r="F96" s="14" t="s">
        <v>3010</v>
      </c>
      <c r="G96" s="14" t="s">
        <v>1014</v>
      </c>
      <c r="H96" s="14" t="s">
        <v>1015</v>
      </c>
      <c r="I96" s="14"/>
      <c r="J96" s="14" t="s">
        <v>1016</v>
      </c>
      <c r="K96" s="14"/>
      <c r="L96" s="14" t="s">
        <v>1079</v>
      </c>
      <c r="M96" s="14" t="s">
        <v>1017</v>
      </c>
      <c r="N96" s="14" t="s">
        <v>1080</v>
      </c>
    </row>
    <row r="97" spans="1:14" ht="43.5" x14ac:dyDescent="0.35">
      <c r="A97" s="14" t="s">
        <v>52</v>
      </c>
      <c r="B97" s="14" t="s">
        <v>1405</v>
      </c>
      <c r="C97" s="14" t="s">
        <v>1076</v>
      </c>
      <c r="D97" s="14" t="s">
        <v>3011</v>
      </c>
      <c r="E97" s="14" t="s">
        <v>3012</v>
      </c>
      <c r="F97" s="14" t="s">
        <v>3013</v>
      </c>
      <c r="G97" s="14" t="s">
        <v>1014</v>
      </c>
      <c r="H97" s="14" t="s">
        <v>1015</v>
      </c>
      <c r="I97" s="14"/>
      <c r="J97" s="14" t="s">
        <v>1016</v>
      </c>
      <c r="K97" s="14"/>
      <c r="L97" s="14" t="s">
        <v>1079</v>
      </c>
      <c r="M97" s="14" t="s">
        <v>1017</v>
      </c>
      <c r="N97" s="14" t="s">
        <v>1080</v>
      </c>
    </row>
    <row r="98" spans="1:14" ht="43.5" x14ac:dyDescent="0.35">
      <c r="A98" s="14" t="s">
        <v>52</v>
      </c>
      <c r="B98" s="14" t="s">
        <v>1405</v>
      </c>
      <c r="C98" s="14" t="s">
        <v>1076</v>
      </c>
      <c r="D98" s="14" t="s">
        <v>3014</v>
      </c>
      <c r="E98" s="14" t="s">
        <v>3015</v>
      </c>
      <c r="F98" s="14" t="s">
        <v>3016</v>
      </c>
      <c r="G98" s="14" t="s">
        <v>1014</v>
      </c>
      <c r="H98" s="14" t="s">
        <v>1015</v>
      </c>
      <c r="I98" s="14"/>
      <c r="J98" s="14" t="s">
        <v>1016</v>
      </c>
      <c r="K98" s="14"/>
      <c r="L98" s="14" t="s">
        <v>1079</v>
      </c>
      <c r="M98" s="14" t="s">
        <v>1017</v>
      </c>
      <c r="N98" s="14" t="s">
        <v>1080</v>
      </c>
    </row>
    <row r="99" spans="1:14" ht="43.5" x14ac:dyDescent="0.35">
      <c r="A99" s="14" t="s">
        <v>52</v>
      </c>
      <c r="B99" s="14" t="s">
        <v>1405</v>
      </c>
      <c r="C99" s="14" t="s">
        <v>1076</v>
      </c>
      <c r="D99" s="14" t="s">
        <v>3017</v>
      </c>
      <c r="E99" s="14" t="s">
        <v>3018</v>
      </c>
      <c r="F99" s="14" t="s">
        <v>3019</v>
      </c>
      <c r="G99" s="14" t="s">
        <v>1014</v>
      </c>
      <c r="H99" s="14" t="s">
        <v>1015</v>
      </c>
      <c r="I99" s="14"/>
      <c r="J99" s="14" t="s">
        <v>1016</v>
      </c>
      <c r="K99" s="14"/>
      <c r="L99" s="14" t="s">
        <v>1079</v>
      </c>
      <c r="M99" s="14" t="s">
        <v>1017</v>
      </c>
      <c r="N99" s="14" t="s">
        <v>1080</v>
      </c>
    </row>
    <row r="100" spans="1:14" ht="43.5" x14ac:dyDescent="0.35">
      <c r="A100" s="14" t="s">
        <v>52</v>
      </c>
      <c r="B100" s="14" t="s">
        <v>1405</v>
      </c>
      <c r="C100" s="14" t="s">
        <v>1076</v>
      </c>
      <c r="D100" s="14" t="s">
        <v>3020</v>
      </c>
      <c r="E100" s="14" t="s">
        <v>3021</v>
      </c>
      <c r="F100" s="14" t="s">
        <v>3022</v>
      </c>
      <c r="G100" s="14" t="s">
        <v>1014</v>
      </c>
      <c r="H100" s="14" t="s">
        <v>1015</v>
      </c>
      <c r="I100" s="14" t="s">
        <v>1078</v>
      </c>
      <c r="J100" s="14" t="s">
        <v>1016</v>
      </c>
      <c r="K100" s="14"/>
      <c r="L100" s="14" t="s">
        <v>1079</v>
      </c>
      <c r="M100" s="14" t="s">
        <v>1017</v>
      </c>
      <c r="N100" s="14" t="s">
        <v>1080</v>
      </c>
    </row>
    <row r="101" spans="1:14" ht="43.5" x14ac:dyDescent="0.35">
      <c r="A101" s="14" t="s">
        <v>52</v>
      </c>
      <c r="B101" s="14" t="s">
        <v>1451</v>
      </c>
      <c r="C101" s="14" t="s">
        <v>1076</v>
      </c>
      <c r="D101" s="14" t="s">
        <v>3023</v>
      </c>
      <c r="E101" s="14" t="s">
        <v>3024</v>
      </c>
      <c r="F101" s="14" t="s">
        <v>3025</v>
      </c>
      <c r="G101" s="14" t="s">
        <v>1014</v>
      </c>
      <c r="H101" s="14" t="s">
        <v>1015</v>
      </c>
      <c r="I101" s="14" t="s">
        <v>54</v>
      </c>
      <c r="J101" s="14" t="s">
        <v>1016</v>
      </c>
      <c r="K101" s="14"/>
      <c r="L101" s="14" t="s">
        <v>1079</v>
      </c>
      <c r="M101" s="14" t="s">
        <v>1017</v>
      </c>
      <c r="N101" s="14" t="s">
        <v>1080</v>
      </c>
    </row>
    <row r="102" spans="1:14" ht="29" x14ac:dyDescent="0.35">
      <c r="A102" s="14" t="s">
        <v>52</v>
      </c>
      <c r="B102" s="14" t="s">
        <v>1451</v>
      </c>
      <c r="C102" s="14" t="s">
        <v>2825</v>
      </c>
      <c r="D102" s="14" t="s">
        <v>2999</v>
      </c>
      <c r="E102" s="14" t="s">
        <v>3026</v>
      </c>
      <c r="F102" s="14" t="s">
        <v>3027</v>
      </c>
      <c r="G102" s="14" t="s">
        <v>1014</v>
      </c>
      <c r="H102" s="14" t="s">
        <v>1015</v>
      </c>
      <c r="I102" s="14"/>
      <c r="J102" s="14" t="s">
        <v>1016</v>
      </c>
      <c r="K102" s="14"/>
      <c r="L102" s="14" t="s">
        <v>2830</v>
      </c>
      <c r="M102" s="14" t="s">
        <v>1017</v>
      </c>
      <c r="N102" s="14" t="s">
        <v>2831</v>
      </c>
    </row>
    <row r="103" spans="1:14" ht="43.5" x14ac:dyDescent="0.35">
      <c r="A103" s="14" t="s">
        <v>52</v>
      </c>
      <c r="B103" s="14" t="s">
        <v>1517</v>
      </c>
      <c r="C103" s="14" t="s">
        <v>1076</v>
      </c>
      <c r="D103" s="14" t="s">
        <v>3028</v>
      </c>
      <c r="E103" s="14" t="s">
        <v>3029</v>
      </c>
      <c r="F103" s="14" t="s">
        <v>3030</v>
      </c>
      <c r="G103" s="14" t="s">
        <v>1014</v>
      </c>
      <c r="H103" s="14" t="s">
        <v>1015</v>
      </c>
      <c r="I103" s="14" t="s">
        <v>1078</v>
      </c>
      <c r="J103" s="14" t="s">
        <v>1016</v>
      </c>
      <c r="K103" s="14"/>
      <c r="L103" s="14" t="s">
        <v>1079</v>
      </c>
      <c r="M103" s="14" t="s">
        <v>1017</v>
      </c>
      <c r="N103" s="14" t="s">
        <v>1080</v>
      </c>
    </row>
    <row r="104" spans="1:14" ht="43.5" x14ac:dyDescent="0.35">
      <c r="A104" s="14" t="s">
        <v>52</v>
      </c>
      <c r="B104" s="14" t="s">
        <v>1517</v>
      </c>
      <c r="C104" s="14" t="s">
        <v>1076</v>
      </c>
      <c r="D104" s="14" t="s">
        <v>3031</v>
      </c>
      <c r="E104" s="14" t="s">
        <v>3032</v>
      </c>
      <c r="F104" s="14" t="s">
        <v>3033</v>
      </c>
      <c r="G104" s="14" t="s">
        <v>1014</v>
      </c>
      <c r="H104" s="14" t="s">
        <v>1015</v>
      </c>
      <c r="I104" s="14"/>
      <c r="J104" s="14" t="s">
        <v>1016</v>
      </c>
      <c r="K104" s="14"/>
      <c r="L104" s="14" t="s">
        <v>1079</v>
      </c>
      <c r="M104" s="14" t="s">
        <v>1017</v>
      </c>
      <c r="N104" s="14" t="s">
        <v>1080</v>
      </c>
    </row>
    <row r="105" spans="1:14" ht="43.5" x14ac:dyDescent="0.35">
      <c r="A105" s="14" t="s">
        <v>52</v>
      </c>
      <c r="B105" s="14" t="s">
        <v>1517</v>
      </c>
      <c r="C105" s="14" t="s">
        <v>1076</v>
      </c>
      <c r="D105" s="14" t="s">
        <v>3034</v>
      </c>
      <c r="E105" s="14" t="s">
        <v>3035</v>
      </c>
      <c r="F105" s="14" t="s">
        <v>3036</v>
      </c>
      <c r="G105" s="14" t="s">
        <v>1014</v>
      </c>
      <c r="H105" s="14" t="s">
        <v>1015</v>
      </c>
      <c r="I105" s="14"/>
      <c r="J105" s="14" t="s">
        <v>1016</v>
      </c>
      <c r="K105" s="14"/>
      <c r="L105" s="14" t="s">
        <v>1079</v>
      </c>
      <c r="M105" s="14" t="s">
        <v>1017</v>
      </c>
      <c r="N105" s="14" t="s">
        <v>1080</v>
      </c>
    </row>
    <row r="106" spans="1:14" ht="43.5" x14ac:dyDescent="0.35">
      <c r="A106" s="14" t="s">
        <v>52</v>
      </c>
      <c r="B106" s="14" t="s">
        <v>1517</v>
      </c>
      <c r="C106" s="14" t="s">
        <v>1076</v>
      </c>
      <c r="D106" s="14" t="s">
        <v>3037</v>
      </c>
      <c r="E106" s="14" t="s">
        <v>3038</v>
      </c>
      <c r="F106" s="14" t="s">
        <v>3039</v>
      </c>
      <c r="G106" s="14" t="s">
        <v>1014</v>
      </c>
      <c r="H106" s="14" t="s">
        <v>1015</v>
      </c>
      <c r="I106" s="14"/>
      <c r="J106" s="14" t="s">
        <v>1016</v>
      </c>
      <c r="K106" s="14"/>
      <c r="L106" s="14" t="s">
        <v>1079</v>
      </c>
      <c r="M106" s="14" t="s">
        <v>1017</v>
      </c>
      <c r="N106" s="14" t="s">
        <v>1080</v>
      </c>
    </row>
    <row r="107" spans="1:14" ht="29" x14ac:dyDescent="0.35">
      <c r="A107" s="14" t="s">
        <v>52</v>
      </c>
      <c r="B107" s="14" t="s">
        <v>1517</v>
      </c>
      <c r="C107" s="14" t="s">
        <v>3005</v>
      </c>
      <c r="D107" s="14" t="s">
        <v>3040</v>
      </c>
      <c r="E107" s="14" t="s">
        <v>2940</v>
      </c>
      <c r="F107" s="14" t="s">
        <v>3041</v>
      </c>
      <c r="G107" s="14" t="s">
        <v>1014</v>
      </c>
      <c r="H107" s="14" t="s">
        <v>1015</v>
      </c>
      <c r="I107" s="14" t="s">
        <v>1078</v>
      </c>
      <c r="J107" s="14" t="s">
        <v>1016</v>
      </c>
      <c r="K107" s="14"/>
      <c r="L107" s="14" t="s">
        <v>1229</v>
      </c>
      <c r="M107" s="14" t="s">
        <v>1017</v>
      </c>
      <c r="N107" s="14" t="s">
        <v>3007</v>
      </c>
    </row>
    <row r="108" spans="1:14" ht="29" x14ac:dyDescent="0.35">
      <c r="A108" s="14" t="s">
        <v>52</v>
      </c>
      <c r="B108" s="14" t="s">
        <v>1517</v>
      </c>
      <c r="C108" s="14" t="s">
        <v>2825</v>
      </c>
      <c r="D108" s="14" t="s">
        <v>3042</v>
      </c>
      <c r="E108" s="14" t="s">
        <v>2788</v>
      </c>
      <c r="F108" s="14" t="s">
        <v>3043</v>
      </c>
      <c r="G108" s="14" t="s">
        <v>1014</v>
      </c>
      <c r="H108" s="14" t="s">
        <v>1015</v>
      </c>
      <c r="I108" s="14"/>
      <c r="J108" s="14" t="s">
        <v>1016</v>
      </c>
      <c r="K108" s="14"/>
      <c r="L108" s="14" t="s">
        <v>2830</v>
      </c>
      <c r="M108" s="14" t="s">
        <v>1017</v>
      </c>
      <c r="N108" s="14" t="s">
        <v>2831</v>
      </c>
    </row>
    <row r="109" spans="1:14" ht="29" x14ac:dyDescent="0.35">
      <c r="A109" s="14" t="s">
        <v>52</v>
      </c>
      <c r="B109" s="14" t="s">
        <v>1517</v>
      </c>
      <c r="C109" s="14" t="s">
        <v>2825</v>
      </c>
      <c r="D109" s="14" t="s">
        <v>2982</v>
      </c>
      <c r="E109" s="14" t="s">
        <v>3017</v>
      </c>
      <c r="F109" s="14" t="s">
        <v>3044</v>
      </c>
      <c r="G109" s="14" t="s">
        <v>1014</v>
      </c>
      <c r="H109" s="14" t="s">
        <v>1015</v>
      </c>
      <c r="I109" s="14"/>
      <c r="J109" s="14" t="s">
        <v>1016</v>
      </c>
      <c r="K109" s="14"/>
      <c r="L109" s="14" t="s">
        <v>2830</v>
      </c>
      <c r="M109" s="14" t="s">
        <v>1017</v>
      </c>
      <c r="N109" s="14" t="s">
        <v>2831</v>
      </c>
    </row>
    <row r="110" spans="1:14" ht="43.5" x14ac:dyDescent="0.35">
      <c r="A110" s="14" t="s">
        <v>52</v>
      </c>
      <c r="B110" s="14" t="s">
        <v>1532</v>
      </c>
      <c r="C110" s="14" t="s">
        <v>1076</v>
      </c>
      <c r="D110" s="14" t="s">
        <v>3045</v>
      </c>
      <c r="E110" s="14" t="s">
        <v>3046</v>
      </c>
      <c r="F110" s="14" t="s">
        <v>3047</v>
      </c>
      <c r="G110" s="14" t="s">
        <v>1014</v>
      </c>
      <c r="H110" s="14" t="s">
        <v>1015</v>
      </c>
      <c r="I110" s="14"/>
      <c r="J110" s="14" t="s">
        <v>1016</v>
      </c>
      <c r="K110" s="14"/>
      <c r="L110" s="14" t="s">
        <v>1079</v>
      </c>
      <c r="M110" s="14" t="s">
        <v>1017</v>
      </c>
      <c r="N110" s="14" t="s">
        <v>1080</v>
      </c>
    </row>
    <row r="111" spans="1:14" ht="43.5" x14ac:dyDescent="0.35">
      <c r="A111" s="14" t="s">
        <v>52</v>
      </c>
      <c r="B111" s="14" t="s">
        <v>1532</v>
      </c>
      <c r="C111" s="14" t="s">
        <v>1076</v>
      </c>
      <c r="D111" s="14" t="s">
        <v>3048</v>
      </c>
      <c r="E111" s="14" t="s">
        <v>3049</v>
      </c>
      <c r="F111" s="14" t="s">
        <v>3050</v>
      </c>
      <c r="G111" s="14" t="s">
        <v>1014</v>
      </c>
      <c r="H111" s="14" t="s">
        <v>1015</v>
      </c>
      <c r="I111" s="14"/>
      <c r="J111" s="14" t="s">
        <v>1016</v>
      </c>
      <c r="K111" s="14"/>
      <c r="L111" s="14" t="s">
        <v>1079</v>
      </c>
      <c r="M111" s="14" t="s">
        <v>1017</v>
      </c>
      <c r="N111" s="14" t="s">
        <v>1080</v>
      </c>
    </row>
    <row r="112" spans="1:14" ht="43.5" x14ac:dyDescent="0.35">
      <c r="A112" s="14" t="s">
        <v>52</v>
      </c>
      <c r="B112" s="14" t="s">
        <v>1532</v>
      </c>
      <c r="C112" s="14" t="s">
        <v>1076</v>
      </c>
      <c r="D112" s="14" t="s">
        <v>3051</v>
      </c>
      <c r="E112" s="14" t="s">
        <v>3052</v>
      </c>
      <c r="F112" s="14" t="s">
        <v>3053</v>
      </c>
      <c r="G112" s="14" t="s">
        <v>1014</v>
      </c>
      <c r="H112" s="14" t="s">
        <v>1015</v>
      </c>
      <c r="I112" s="14"/>
      <c r="J112" s="14" t="s">
        <v>1016</v>
      </c>
      <c r="K112" s="14"/>
      <c r="L112" s="14" t="s">
        <v>1079</v>
      </c>
      <c r="M112" s="14" t="s">
        <v>1017</v>
      </c>
      <c r="N112" s="14" t="s">
        <v>1080</v>
      </c>
    </row>
    <row r="113" spans="1:14" ht="43.5" x14ac:dyDescent="0.35">
      <c r="A113" s="14" t="s">
        <v>52</v>
      </c>
      <c r="B113" s="14" t="s">
        <v>1532</v>
      </c>
      <c r="C113" s="14" t="s">
        <v>1076</v>
      </c>
      <c r="D113" s="14" t="s">
        <v>3054</v>
      </c>
      <c r="E113" s="14" t="s">
        <v>3055</v>
      </c>
      <c r="F113" s="14" t="s">
        <v>3056</v>
      </c>
      <c r="G113" s="14" t="s">
        <v>1014</v>
      </c>
      <c r="H113" s="14" t="s">
        <v>1015</v>
      </c>
      <c r="I113" s="14"/>
      <c r="J113" s="14" t="s">
        <v>1016</v>
      </c>
      <c r="K113" s="14"/>
      <c r="L113" s="14" t="s">
        <v>1079</v>
      </c>
      <c r="M113" s="14" t="s">
        <v>1017</v>
      </c>
      <c r="N113" s="14" t="s">
        <v>1080</v>
      </c>
    </row>
    <row r="114" spans="1:14" ht="43.5" x14ac:dyDescent="0.35">
      <c r="A114" s="14" t="s">
        <v>52</v>
      </c>
      <c r="B114" s="14" t="s">
        <v>1532</v>
      </c>
      <c r="C114" s="14" t="s">
        <v>1076</v>
      </c>
      <c r="D114" s="14" t="s">
        <v>3057</v>
      </c>
      <c r="E114" s="14" t="s">
        <v>2789</v>
      </c>
      <c r="F114" s="14" t="s">
        <v>3058</v>
      </c>
      <c r="G114" s="14" t="s">
        <v>1014</v>
      </c>
      <c r="H114" s="14" t="s">
        <v>1015</v>
      </c>
      <c r="I114" s="14"/>
      <c r="J114" s="14" t="s">
        <v>1016</v>
      </c>
      <c r="K114" s="14"/>
      <c r="L114" s="14" t="s">
        <v>1079</v>
      </c>
      <c r="M114" s="14" t="s">
        <v>1017</v>
      </c>
      <c r="N114" s="14" t="s">
        <v>1080</v>
      </c>
    </row>
    <row r="115" spans="1:14" ht="43.5" x14ac:dyDescent="0.35">
      <c r="A115" s="14" t="s">
        <v>52</v>
      </c>
      <c r="B115" s="14" t="s">
        <v>1532</v>
      </c>
      <c r="C115" s="14" t="s">
        <v>1076</v>
      </c>
      <c r="D115" s="14" t="s">
        <v>3059</v>
      </c>
      <c r="E115" s="14" t="s">
        <v>3060</v>
      </c>
      <c r="F115" s="14" t="s">
        <v>3061</v>
      </c>
      <c r="G115" s="14" t="s">
        <v>1014</v>
      </c>
      <c r="H115" s="14" t="s">
        <v>1015</v>
      </c>
      <c r="I115" s="14"/>
      <c r="J115" s="14" t="s">
        <v>1016</v>
      </c>
      <c r="K115" s="14"/>
      <c r="L115" s="14" t="s">
        <v>1079</v>
      </c>
      <c r="M115" s="14" t="s">
        <v>1017</v>
      </c>
      <c r="N115" s="14" t="s">
        <v>1080</v>
      </c>
    </row>
    <row r="116" spans="1:14" ht="43.5" x14ac:dyDescent="0.35">
      <c r="A116" s="14" t="s">
        <v>52</v>
      </c>
      <c r="B116" s="14" t="s">
        <v>1577</v>
      </c>
      <c r="C116" s="14" t="s">
        <v>1076</v>
      </c>
      <c r="D116" s="14" t="s">
        <v>2955</v>
      </c>
      <c r="E116" s="14" t="s">
        <v>3062</v>
      </c>
      <c r="F116" s="14" t="s">
        <v>3063</v>
      </c>
      <c r="G116" s="14" t="s">
        <v>1014</v>
      </c>
      <c r="H116" s="14" t="s">
        <v>1015</v>
      </c>
      <c r="I116" s="14"/>
      <c r="J116" s="14" t="s">
        <v>1016</v>
      </c>
      <c r="K116" s="14"/>
      <c r="L116" s="14" t="s">
        <v>1079</v>
      </c>
      <c r="M116" s="14" t="s">
        <v>1017</v>
      </c>
      <c r="N116" s="14" t="s">
        <v>1080</v>
      </c>
    </row>
    <row r="117" spans="1:14" ht="43.5" x14ac:dyDescent="0.35">
      <c r="A117" s="14" t="s">
        <v>52</v>
      </c>
      <c r="B117" s="14" t="s">
        <v>1577</v>
      </c>
      <c r="C117" s="14" t="s">
        <v>1076</v>
      </c>
      <c r="D117" s="14" t="s">
        <v>3064</v>
      </c>
      <c r="E117" s="14" t="s">
        <v>3065</v>
      </c>
      <c r="F117" s="14" t="s">
        <v>3066</v>
      </c>
      <c r="G117" s="14" t="s">
        <v>1014</v>
      </c>
      <c r="H117" s="14" t="s">
        <v>1015</v>
      </c>
      <c r="I117" s="14"/>
      <c r="J117" s="14" t="s">
        <v>1016</v>
      </c>
      <c r="K117" s="14"/>
      <c r="L117" s="14" t="s">
        <v>1079</v>
      </c>
      <c r="M117" s="14" t="s">
        <v>1017</v>
      </c>
      <c r="N117" s="14" t="s">
        <v>1080</v>
      </c>
    </row>
    <row r="118" spans="1:14" ht="43.5" x14ac:dyDescent="0.35">
      <c r="A118" s="14" t="s">
        <v>52</v>
      </c>
      <c r="B118" s="14" t="s">
        <v>1577</v>
      </c>
      <c r="C118" s="14" t="s">
        <v>1076</v>
      </c>
      <c r="D118" s="14" t="s">
        <v>3067</v>
      </c>
      <c r="E118" s="14" t="s">
        <v>3068</v>
      </c>
      <c r="F118" s="14" t="s">
        <v>3069</v>
      </c>
      <c r="G118" s="14" t="s">
        <v>1014</v>
      </c>
      <c r="H118" s="14" t="s">
        <v>1015</v>
      </c>
      <c r="I118" s="14" t="s">
        <v>1078</v>
      </c>
      <c r="J118" s="14" t="s">
        <v>1016</v>
      </c>
      <c r="K118" s="14"/>
      <c r="L118" s="14" t="s">
        <v>1079</v>
      </c>
      <c r="M118" s="14" t="s">
        <v>1017</v>
      </c>
      <c r="N118" s="14" t="s">
        <v>1080</v>
      </c>
    </row>
    <row r="119" spans="1:14" ht="43.5" x14ac:dyDescent="0.35">
      <c r="A119" s="14" t="s">
        <v>52</v>
      </c>
      <c r="B119" s="14" t="s">
        <v>1577</v>
      </c>
      <c r="C119" s="14" t="s">
        <v>1076</v>
      </c>
      <c r="D119" s="14" t="s">
        <v>2844</v>
      </c>
      <c r="E119" s="14" t="s">
        <v>3070</v>
      </c>
      <c r="F119" s="14" t="s">
        <v>3071</v>
      </c>
      <c r="G119" s="14" t="s">
        <v>1014</v>
      </c>
      <c r="H119" s="14" t="s">
        <v>1015</v>
      </c>
      <c r="I119" s="14" t="s">
        <v>54</v>
      </c>
      <c r="J119" s="14" t="s">
        <v>1016</v>
      </c>
      <c r="K119" s="14"/>
      <c r="L119" s="14" t="s">
        <v>1079</v>
      </c>
      <c r="M119" s="14" t="s">
        <v>1017</v>
      </c>
      <c r="N119" s="14" t="s">
        <v>1080</v>
      </c>
    </row>
    <row r="120" spans="1:14" ht="43.5" x14ac:dyDescent="0.35">
      <c r="A120" s="14" t="s">
        <v>52</v>
      </c>
      <c r="B120" s="14" t="s">
        <v>1577</v>
      </c>
      <c r="C120" s="14" t="s">
        <v>1076</v>
      </c>
      <c r="D120" s="14" t="s">
        <v>3072</v>
      </c>
      <c r="E120" s="14" t="s">
        <v>3073</v>
      </c>
      <c r="F120" s="14" t="s">
        <v>2983</v>
      </c>
      <c r="G120" s="14" t="s">
        <v>1014</v>
      </c>
      <c r="H120" s="14" t="s">
        <v>1015</v>
      </c>
      <c r="I120" s="14" t="s">
        <v>54</v>
      </c>
      <c r="J120" s="14" t="s">
        <v>1016</v>
      </c>
      <c r="K120" s="14"/>
      <c r="L120" s="14" t="s">
        <v>1079</v>
      </c>
      <c r="M120" s="14" t="s">
        <v>1017</v>
      </c>
      <c r="N120" s="14" t="s">
        <v>1080</v>
      </c>
    </row>
    <row r="121" spans="1:14" ht="43.5" x14ac:dyDescent="0.35">
      <c r="A121" s="14" t="s">
        <v>52</v>
      </c>
      <c r="B121" s="14" t="s">
        <v>1577</v>
      </c>
      <c r="C121" s="14" t="s">
        <v>1076</v>
      </c>
      <c r="D121" s="14" t="s">
        <v>3074</v>
      </c>
      <c r="E121" s="14" t="s">
        <v>3075</v>
      </c>
      <c r="F121" s="14" t="s">
        <v>3076</v>
      </c>
      <c r="G121" s="14" t="s">
        <v>1014</v>
      </c>
      <c r="H121" s="14" t="s">
        <v>1015</v>
      </c>
      <c r="I121" s="14" t="s">
        <v>54</v>
      </c>
      <c r="J121" s="14" t="s">
        <v>1016</v>
      </c>
      <c r="K121" s="14"/>
      <c r="L121" s="14" t="s">
        <v>1079</v>
      </c>
      <c r="M121" s="14" t="s">
        <v>1017</v>
      </c>
      <c r="N121" s="14" t="s">
        <v>1080</v>
      </c>
    </row>
    <row r="122" spans="1:14" ht="43.5" x14ac:dyDescent="0.35">
      <c r="A122" s="14" t="s">
        <v>52</v>
      </c>
      <c r="B122" s="14" t="s">
        <v>1601</v>
      </c>
      <c r="C122" s="14" t="s">
        <v>1076</v>
      </c>
      <c r="D122" s="14" t="s">
        <v>3077</v>
      </c>
      <c r="E122" s="14" t="s">
        <v>3078</v>
      </c>
      <c r="F122" s="14" t="s">
        <v>3079</v>
      </c>
      <c r="G122" s="14" t="s">
        <v>1014</v>
      </c>
      <c r="H122" s="14" t="s">
        <v>1015</v>
      </c>
      <c r="I122" s="14"/>
      <c r="J122" s="14" t="s">
        <v>1016</v>
      </c>
      <c r="K122" s="14"/>
      <c r="L122" s="14" t="s">
        <v>1079</v>
      </c>
      <c r="M122" s="14" t="s">
        <v>1017</v>
      </c>
      <c r="N122" s="14" t="s">
        <v>1080</v>
      </c>
    </row>
    <row r="123" spans="1:14" ht="43.5" x14ac:dyDescent="0.35">
      <c r="A123" s="14" t="s">
        <v>52</v>
      </c>
      <c r="B123" s="14" t="s">
        <v>1601</v>
      </c>
      <c r="C123" s="14" t="s">
        <v>1076</v>
      </c>
      <c r="D123" s="14" t="s">
        <v>2995</v>
      </c>
      <c r="E123" s="14" t="s">
        <v>2997</v>
      </c>
      <c r="F123" s="14" t="s">
        <v>3080</v>
      </c>
      <c r="G123" s="14" t="s">
        <v>1014</v>
      </c>
      <c r="H123" s="14" t="s">
        <v>1015</v>
      </c>
      <c r="I123" s="14"/>
      <c r="J123" s="14" t="s">
        <v>1016</v>
      </c>
      <c r="K123" s="14"/>
      <c r="L123" s="14" t="s">
        <v>1079</v>
      </c>
      <c r="M123" s="14" t="s">
        <v>1017</v>
      </c>
      <c r="N123" s="14" t="s">
        <v>1080</v>
      </c>
    </row>
    <row r="124" spans="1:14" ht="43.5" x14ac:dyDescent="0.35">
      <c r="A124" s="14" t="s">
        <v>52</v>
      </c>
      <c r="B124" s="14" t="s">
        <v>1601</v>
      </c>
      <c r="C124" s="14" t="s">
        <v>1076</v>
      </c>
      <c r="D124" s="14" t="s">
        <v>3081</v>
      </c>
      <c r="E124" s="14" t="s">
        <v>2792</v>
      </c>
      <c r="F124" s="14" t="s">
        <v>3082</v>
      </c>
      <c r="G124" s="14" t="s">
        <v>1014</v>
      </c>
      <c r="H124" s="14" t="s">
        <v>1015</v>
      </c>
      <c r="I124" s="14"/>
      <c r="J124" s="14" t="s">
        <v>1016</v>
      </c>
      <c r="K124" s="14"/>
      <c r="L124" s="14" t="s">
        <v>1079</v>
      </c>
      <c r="M124" s="14" t="s">
        <v>1017</v>
      </c>
      <c r="N124" s="14" t="s">
        <v>1080</v>
      </c>
    </row>
    <row r="125" spans="1:14" ht="43.5" x14ac:dyDescent="0.35">
      <c r="A125" s="14" t="s">
        <v>52</v>
      </c>
      <c r="B125" s="14" t="s">
        <v>1601</v>
      </c>
      <c r="C125" s="14" t="s">
        <v>1076</v>
      </c>
      <c r="D125" s="14" t="s">
        <v>3083</v>
      </c>
      <c r="E125" s="14" t="s">
        <v>3084</v>
      </c>
      <c r="F125" s="14" t="s">
        <v>3085</v>
      </c>
      <c r="G125" s="14" t="s">
        <v>1014</v>
      </c>
      <c r="H125" s="14" t="s">
        <v>1015</v>
      </c>
      <c r="I125" s="14" t="s">
        <v>1078</v>
      </c>
      <c r="J125" s="14" t="s">
        <v>1016</v>
      </c>
      <c r="K125" s="14"/>
      <c r="L125" s="14" t="s">
        <v>1079</v>
      </c>
      <c r="M125" s="14" t="s">
        <v>1017</v>
      </c>
      <c r="N125" s="14" t="s">
        <v>1080</v>
      </c>
    </row>
    <row r="126" spans="1:14" ht="43.5" x14ac:dyDescent="0.35">
      <c r="A126" s="14" t="s">
        <v>52</v>
      </c>
      <c r="B126" s="14" t="s">
        <v>1601</v>
      </c>
      <c r="C126" s="14" t="s">
        <v>1076</v>
      </c>
      <c r="D126" s="14" t="s">
        <v>3086</v>
      </c>
      <c r="E126" s="14" t="s">
        <v>3087</v>
      </c>
      <c r="F126" s="14" t="s">
        <v>3088</v>
      </c>
      <c r="G126" s="14" t="s">
        <v>1014</v>
      </c>
      <c r="H126" s="14" t="s">
        <v>1015</v>
      </c>
      <c r="I126" s="14" t="s">
        <v>1078</v>
      </c>
      <c r="J126" s="14" t="s">
        <v>1016</v>
      </c>
      <c r="K126" s="14"/>
      <c r="L126" s="14" t="s">
        <v>1079</v>
      </c>
      <c r="M126" s="14" t="s">
        <v>1017</v>
      </c>
      <c r="N126" s="14" t="s">
        <v>1080</v>
      </c>
    </row>
    <row r="127" spans="1:14" ht="43.5" x14ac:dyDescent="0.35">
      <c r="A127" s="14" t="s">
        <v>52</v>
      </c>
      <c r="B127" s="14" t="s">
        <v>1601</v>
      </c>
      <c r="C127" s="14" t="s">
        <v>1076</v>
      </c>
      <c r="D127" s="14" t="s">
        <v>3089</v>
      </c>
      <c r="E127" s="14" t="s">
        <v>3090</v>
      </c>
      <c r="F127" s="14" t="s">
        <v>3091</v>
      </c>
      <c r="G127" s="14" t="s">
        <v>1014</v>
      </c>
      <c r="H127" s="14" t="s">
        <v>1015</v>
      </c>
      <c r="I127" s="14"/>
      <c r="J127" s="14" t="s">
        <v>1016</v>
      </c>
      <c r="K127" s="14"/>
      <c r="L127" s="14" t="s">
        <v>1079</v>
      </c>
      <c r="M127" s="14" t="s">
        <v>1017</v>
      </c>
      <c r="N127" s="14" t="s">
        <v>1080</v>
      </c>
    </row>
    <row r="128" spans="1:14" ht="43.5" x14ac:dyDescent="0.35">
      <c r="A128" s="14" t="s">
        <v>52</v>
      </c>
      <c r="B128" s="14" t="s">
        <v>1612</v>
      </c>
      <c r="C128" s="14" t="s">
        <v>1076</v>
      </c>
      <c r="D128" s="14" t="s">
        <v>3092</v>
      </c>
      <c r="E128" s="14" t="s">
        <v>3093</v>
      </c>
      <c r="F128" s="14" t="s">
        <v>3094</v>
      </c>
      <c r="G128" s="14" t="s">
        <v>1014</v>
      </c>
      <c r="H128" s="14" t="s">
        <v>1015</v>
      </c>
      <c r="I128" s="14"/>
      <c r="J128" s="14" t="s">
        <v>1016</v>
      </c>
      <c r="K128" s="14"/>
      <c r="L128" s="14" t="s">
        <v>1079</v>
      </c>
      <c r="M128" s="14" t="s">
        <v>1017</v>
      </c>
      <c r="N128" s="14" t="s">
        <v>1080</v>
      </c>
    </row>
    <row r="129" spans="1:14" ht="29" x14ac:dyDescent="0.35">
      <c r="A129" s="14" t="s">
        <v>52</v>
      </c>
      <c r="B129" s="14" t="s">
        <v>1612</v>
      </c>
      <c r="C129" s="14" t="s">
        <v>2825</v>
      </c>
      <c r="D129" s="14" t="s">
        <v>3095</v>
      </c>
      <c r="E129" s="14" t="s">
        <v>3096</v>
      </c>
      <c r="F129" s="14" t="s">
        <v>3097</v>
      </c>
      <c r="G129" s="14" t="s">
        <v>1014</v>
      </c>
      <c r="H129" s="14" t="s">
        <v>1015</v>
      </c>
      <c r="I129" s="14"/>
      <c r="J129" s="14" t="s">
        <v>1016</v>
      </c>
      <c r="K129" s="14"/>
      <c r="L129" s="14" t="s">
        <v>2830</v>
      </c>
      <c r="M129" s="14" t="s">
        <v>1017</v>
      </c>
      <c r="N129" s="14" t="s">
        <v>2831</v>
      </c>
    </row>
    <row r="130" spans="1:14" ht="43.5" x14ac:dyDescent="0.35">
      <c r="A130" s="14" t="s">
        <v>52</v>
      </c>
      <c r="B130" s="14" t="s">
        <v>1649</v>
      </c>
      <c r="C130" s="14" t="s">
        <v>1076</v>
      </c>
      <c r="D130" s="14" t="s">
        <v>3098</v>
      </c>
      <c r="E130" s="14" t="s">
        <v>3099</v>
      </c>
      <c r="F130" s="14" t="s">
        <v>3100</v>
      </c>
      <c r="G130" s="14" t="s">
        <v>1014</v>
      </c>
      <c r="H130" s="14" t="s">
        <v>1015</v>
      </c>
      <c r="I130" s="14"/>
      <c r="J130" s="14" t="s">
        <v>1016</v>
      </c>
      <c r="K130" s="14"/>
      <c r="L130" s="14" t="s">
        <v>1079</v>
      </c>
      <c r="M130" s="14" t="s">
        <v>1017</v>
      </c>
      <c r="N130" s="14" t="s">
        <v>1080</v>
      </c>
    </row>
    <row r="131" spans="1:14" ht="43.5" x14ac:dyDescent="0.35">
      <c r="A131" s="14" t="s">
        <v>52</v>
      </c>
      <c r="B131" s="14" t="s">
        <v>1649</v>
      </c>
      <c r="C131" s="14" t="s">
        <v>1076</v>
      </c>
      <c r="D131" s="14" t="s">
        <v>3012</v>
      </c>
      <c r="E131" s="14" t="s">
        <v>3042</v>
      </c>
      <c r="F131" s="14" t="s">
        <v>3101</v>
      </c>
      <c r="G131" s="14" t="s">
        <v>1014</v>
      </c>
      <c r="H131" s="14" t="s">
        <v>1015</v>
      </c>
      <c r="I131" s="14"/>
      <c r="J131" s="14" t="s">
        <v>1016</v>
      </c>
      <c r="K131" s="14"/>
      <c r="L131" s="14" t="s">
        <v>1079</v>
      </c>
      <c r="M131" s="14" t="s">
        <v>1017</v>
      </c>
      <c r="N131" s="14" t="s">
        <v>1080</v>
      </c>
    </row>
    <row r="132" spans="1:14" ht="43.5" x14ac:dyDescent="0.35">
      <c r="A132" s="14" t="s">
        <v>52</v>
      </c>
      <c r="B132" s="14" t="s">
        <v>1649</v>
      </c>
      <c r="C132" s="14" t="s">
        <v>1076</v>
      </c>
      <c r="D132" s="14" t="s">
        <v>3102</v>
      </c>
      <c r="E132" s="14" t="s">
        <v>3103</v>
      </c>
      <c r="F132" s="14" t="s">
        <v>3104</v>
      </c>
      <c r="G132" s="14" t="s">
        <v>1014</v>
      </c>
      <c r="H132" s="14" t="s">
        <v>1015</v>
      </c>
      <c r="I132" s="14" t="s">
        <v>1078</v>
      </c>
      <c r="J132" s="14" t="s">
        <v>1016</v>
      </c>
      <c r="K132" s="14"/>
      <c r="L132" s="14" t="s">
        <v>1079</v>
      </c>
      <c r="M132" s="14" t="s">
        <v>1017</v>
      </c>
      <c r="N132" s="14" t="s">
        <v>1080</v>
      </c>
    </row>
    <row r="133" spans="1:14" ht="43.5" x14ac:dyDescent="0.35">
      <c r="A133" s="14" t="s">
        <v>52</v>
      </c>
      <c r="B133" s="14" t="s">
        <v>1649</v>
      </c>
      <c r="C133" s="14" t="s">
        <v>1076</v>
      </c>
      <c r="D133" s="14" t="s">
        <v>2847</v>
      </c>
      <c r="E133" s="14" t="s">
        <v>3105</v>
      </c>
      <c r="F133" s="14" t="s">
        <v>3106</v>
      </c>
      <c r="G133" s="14" t="s">
        <v>1014</v>
      </c>
      <c r="H133" s="14" t="s">
        <v>1015</v>
      </c>
      <c r="I133" s="14" t="s">
        <v>1078</v>
      </c>
      <c r="J133" s="14" t="s">
        <v>1016</v>
      </c>
      <c r="K133" s="14"/>
      <c r="L133" s="14" t="s">
        <v>1079</v>
      </c>
      <c r="M133" s="14" t="s">
        <v>1017</v>
      </c>
      <c r="N133" s="14" t="s">
        <v>1080</v>
      </c>
    </row>
    <row r="134" spans="1:14" ht="43.5" x14ac:dyDescent="0.35">
      <c r="A134" s="14" t="s">
        <v>52</v>
      </c>
      <c r="B134" s="14" t="s">
        <v>1649</v>
      </c>
      <c r="C134" s="14" t="s">
        <v>1076</v>
      </c>
      <c r="D134" s="14" t="s">
        <v>3107</v>
      </c>
      <c r="E134" s="14" t="s">
        <v>3105</v>
      </c>
      <c r="F134" s="14" t="s">
        <v>3108</v>
      </c>
      <c r="G134" s="14" t="s">
        <v>1014</v>
      </c>
      <c r="H134" s="14" t="s">
        <v>1015</v>
      </c>
      <c r="I134" s="14" t="s">
        <v>1078</v>
      </c>
      <c r="J134" s="14" t="s">
        <v>1016</v>
      </c>
      <c r="K134" s="14"/>
      <c r="L134" s="14" t="s">
        <v>1079</v>
      </c>
      <c r="M134" s="14" t="s">
        <v>1017</v>
      </c>
      <c r="N134" s="14" t="s">
        <v>1080</v>
      </c>
    </row>
    <row r="135" spans="1:14" ht="43.5" x14ac:dyDescent="0.35">
      <c r="A135" s="14" t="s">
        <v>52</v>
      </c>
      <c r="B135" s="14" t="s">
        <v>1649</v>
      </c>
      <c r="C135" s="14" t="s">
        <v>1076</v>
      </c>
      <c r="D135" s="14" t="s">
        <v>3109</v>
      </c>
      <c r="E135" s="14" t="s">
        <v>3110</v>
      </c>
      <c r="F135" s="14" t="s">
        <v>3111</v>
      </c>
      <c r="G135" s="14" t="s">
        <v>1014</v>
      </c>
      <c r="H135" s="14" t="s">
        <v>1015</v>
      </c>
      <c r="I135" s="14" t="s">
        <v>1078</v>
      </c>
      <c r="J135" s="14" t="s">
        <v>1016</v>
      </c>
      <c r="K135" s="14"/>
      <c r="L135" s="14" t="s">
        <v>1079</v>
      </c>
      <c r="M135" s="14" t="s">
        <v>1017</v>
      </c>
      <c r="N135" s="14" t="s">
        <v>1080</v>
      </c>
    </row>
    <row r="136" spans="1:14" ht="43.5" x14ac:dyDescent="0.35">
      <c r="A136" s="14" t="s">
        <v>52</v>
      </c>
      <c r="B136" s="14" t="s">
        <v>1649</v>
      </c>
      <c r="C136" s="14" t="s">
        <v>1076</v>
      </c>
      <c r="D136" s="14" t="s">
        <v>3003</v>
      </c>
      <c r="E136" s="14" t="s">
        <v>3112</v>
      </c>
      <c r="F136" s="14" t="s">
        <v>3113</v>
      </c>
      <c r="G136" s="14" t="s">
        <v>1014</v>
      </c>
      <c r="H136" s="14" t="s">
        <v>1015</v>
      </c>
      <c r="I136" s="14" t="s">
        <v>1078</v>
      </c>
      <c r="J136" s="14" t="s">
        <v>1016</v>
      </c>
      <c r="K136" s="14"/>
      <c r="L136" s="14" t="s">
        <v>1079</v>
      </c>
      <c r="M136" s="14" t="s">
        <v>1017</v>
      </c>
      <c r="N136" s="14" t="s">
        <v>1080</v>
      </c>
    </row>
    <row r="137" spans="1:14" ht="43.5" x14ac:dyDescent="0.35">
      <c r="A137" s="14" t="s">
        <v>52</v>
      </c>
      <c r="B137" s="14" t="s">
        <v>1649</v>
      </c>
      <c r="C137" s="14" t="s">
        <v>1076</v>
      </c>
      <c r="D137" s="14" t="s">
        <v>3114</v>
      </c>
      <c r="E137" s="14" t="s">
        <v>2884</v>
      </c>
      <c r="F137" s="14" t="s">
        <v>2892</v>
      </c>
      <c r="G137" s="14" t="s">
        <v>1014</v>
      </c>
      <c r="H137" s="14" t="s">
        <v>1015</v>
      </c>
      <c r="I137" s="14" t="s">
        <v>1078</v>
      </c>
      <c r="J137" s="14" t="s">
        <v>1016</v>
      </c>
      <c r="K137" s="14"/>
      <c r="L137" s="14" t="s">
        <v>1079</v>
      </c>
      <c r="M137" s="14" t="s">
        <v>1017</v>
      </c>
      <c r="N137" s="14" t="s">
        <v>1080</v>
      </c>
    </row>
    <row r="138" spans="1:14" ht="43.5" x14ac:dyDescent="0.35">
      <c r="A138" s="14" t="s">
        <v>52</v>
      </c>
      <c r="B138" s="14" t="s">
        <v>1649</v>
      </c>
      <c r="C138" s="14" t="s">
        <v>1076</v>
      </c>
      <c r="D138" s="14" t="s">
        <v>3084</v>
      </c>
      <c r="E138" s="14" t="s">
        <v>3115</v>
      </c>
      <c r="F138" s="14" t="s">
        <v>3116</v>
      </c>
      <c r="G138" s="14" t="s">
        <v>1014</v>
      </c>
      <c r="H138" s="14" t="s">
        <v>1015</v>
      </c>
      <c r="I138" s="14"/>
      <c r="J138" s="14" t="s">
        <v>1016</v>
      </c>
      <c r="K138" s="14"/>
      <c r="L138" s="14" t="s">
        <v>1079</v>
      </c>
      <c r="M138" s="14" t="s">
        <v>1017</v>
      </c>
      <c r="N138" s="14" t="s">
        <v>1080</v>
      </c>
    </row>
    <row r="139" spans="1:14" ht="43.5" x14ac:dyDescent="0.35">
      <c r="A139" s="14" t="s">
        <v>52</v>
      </c>
      <c r="B139" s="14" t="s">
        <v>1649</v>
      </c>
      <c r="C139" s="14" t="s">
        <v>1076</v>
      </c>
      <c r="D139" s="14" t="s">
        <v>3117</v>
      </c>
      <c r="E139" s="14" t="s">
        <v>3118</v>
      </c>
      <c r="F139" s="14" t="s">
        <v>3119</v>
      </c>
      <c r="G139" s="14" t="s">
        <v>1014</v>
      </c>
      <c r="H139" s="14" t="s">
        <v>1015</v>
      </c>
      <c r="I139" s="14"/>
      <c r="J139" s="14" t="s">
        <v>1016</v>
      </c>
      <c r="K139" s="14"/>
      <c r="L139" s="14" t="s">
        <v>1079</v>
      </c>
      <c r="M139" s="14" t="s">
        <v>1017</v>
      </c>
      <c r="N139" s="14" t="s">
        <v>1080</v>
      </c>
    </row>
    <row r="140" spans="1:14" ht="43.5" x14ac:dyDescent="0.35">
      <c r="A140" s="14" t="s">
        <v>52</v>
      </c>
      <c r="B140" s="14" t="s">
        <v>1649</v>
      </c>
      <c r="C140" s="14" t="s">
        <v>1076</v>
      </c>
      <c r="D140" s="14" t="s">
        <v>3120</v>
      </c>
      <c r="E140" s="14" t="s">
        <v>3121</v>
      </c>
      <c r="F140" s="14" t="s">
        <v>3122</v>
      </c>
      <c r="G140" s="14" t="s">
        <v>1014</v>
      </c>
      <c r="H140" s="14" t="s">
        <v>1015</v>
      </c>
      <c r="I140" s="14"/>
      <c r="J140" s="14" t="s">
        <v>1016</v>
      </c>
      <c r="K140" s="14"/>
      <c r="L140" s="14" t="s">
        <v>1079</v>
      </c>
      <c r="M140" s="14" t="s">
        <v>1017</v>
      </c>
      <c r="N140" s="14" t="s">
        <v>1080</v>
      </c>
    </row>
    <row r="141" spans="1:14" ht="43.5" x14ac:dyDescent="0.35">
      <c r="A141" s="14" t="s">
        <v>52</v>
      </c>
      <c r="B141" s="14" t="s">
        <v>1649</v>
      </c>
      <c r="C141" s="14" t="s">
        <v>1076</v>
      </c>
      <c r="D141" s="14" t="s">
        <v>2935</v>
      </c>
      <c r="E141" s="14" t="s">
        <v>3123</v>
      </c>
      <c r="F141" s="14" t="s">
        <v>3124</v>
      </c>
      <c r="G141" s="14" t="s">
        <v>1014</v>
      </c>
      <c r="H141" s="14" t="s">
        <v>1015</v>
      </c>
      <c r="I141" s="14"/>
      <c r="J141" s="14" t="s">
        <v>1016</v>
      </c>
      <c r="K141" s="14"/>
      <c r="L141" s="14" t="s">
        <v>1079</v>
      </c>
      <c r="M141" s="14" t="s">
        <v>1017</v>
      </c>
      <c r="N141" s="14" t="s">
        <v>1080</v>
      </c>
    </row>
    <row r="142" spans="1:14" ht="29" x14ac:dyDescent="0.35">
      <c r="A142" s="14" t="s">
        <v>52</v>
      </c>
      <c r="B142" s="14" t="s">
        <v>1649</v>
      </c>
      <c r="C142" s="14" t="s">
        <v>2825</v>
      </c>
      <c r="D142" s="14" t="s">
        <v>3024</v>
      </c>
      <c r="E142" s="14" t="s">
        <v>3125</v>
      </c>
      <c r="F142" s="14" t="s">
        <v>3126</v>
      </c>
      <c r="G142" s="14" t="s">
        <v>1014</v>
      </c>
      <c r="H142" s="14" t="s">
        <v>1015</v>
      </c>
      <c r="I142" s="14" t="s">
        <v>1078</v>
      </c>
      <c r="J142" s="14" t="s">
        <v>1016</v>
      </c>
      <c r="K142" s="14"/>
      <c r="L142" s="14" t="s">
        <v>2830</v>
      </c>
      <c r="M142" s="14" t="s">
        <v>1017</v>
      </c>
      <c r="N142" s="14" t="s">
        <v>2831</v>
      </c>
    </row>
    <row r="143" spans="1:14" ht="43.5" x14ac:dyDescent="0.35">
      <c r="A143" s="14" t="s">
        <v>52</v>
      </c>
      <c r="B143" s="14" t="s">
        <v>1698</v>
      </c>
      <c r="C143" s="14" t="s">
        <v>1076</v>
      </c>
      <c r="D143" s="14" t="s">
        <v>3051</v>
      </c>
      <c r="E143" s="14" t="s">
        <v>3052</v>
      </c>
      <c r="F143" s="14" t="s">
        <v>3127</v>
      </c>
      <c r="G143" s="14" t="s">
        <v>1014</v>
      </c>
      <c r="H143" s="14" t="s">
        <v>1015</v>
      </c>
      <c r="I143" s="14"/>
      <c r="J143" s="14" t="s">
        <v>1016</v>
      </c>
      <c r="K143" s="14"/>
      <c r="L143" s="14" t="s">
        <v>1079</v>
      </c>
      <c r="M143" s="14" t="s">
        <v>1017</v>
      </c>
      <c r="N143" s="14" t="s">
        <v>1080</v>
      </c>
    </row>
    <row r="144" spans="1:14" ht="43.5" x14ac:dyDescent="0.35">
      <c r="A144" s="14" t="s">
        <v>52</v>
      </c>
      <c r="B144" s="14" t="s">
        <v>1698</v>
      </c>
      <c r="C144" s="14" t="s">
        <v>1076</v>
      </c>
      <c r="D144" s="14" t="s">
        <v>2870</v>
      </c>
      <c r="E144" s="14" t="s">
        <v>2871</v>
      </c>
      <c r="F144" s="14" t="s">
        <v>3128</v>
      </c>
      <c r="G144" s="14" t="s">
        <v>1014</v>
      </c>
      <c r="H144" s="14" t="s">
        <v>1015</v>
      </c>
      <c r="I144" s="14" t="s">
        <v>1078</v>
      </c>
      <c r="J144" s="14" t="s">
        <v>1016</v>
      </c>
      <c r="K144" s="14"/>
      <c r="L144" s="14" t="s">
        <v>1079</v>
      </c>
      <c r="M144" s="14" t="s">
        <v>1017</v>
      </c>
      <c r="N144" s="14" t="s">
        <v>1080</v>
      </c>
    </row>
    <row r="145" spans="1:14" ht="43.5" x14ac:dyDescent="0.35">
      <c r="A145" s="14" t="s">
        <v>52</v>
      </c>
      <c r="B145" s="14" t="s">
        <v>1698</v>
      </c>
      <c r="C145" s="14" t="s">
        <v>1076</v>
      </c>
      <c r="D145" s="14" t="s">
        <v>2890</v>
      </c>
      <c r="E145" s="14" t="s">
        <v>2891</v>
      </c>
      <c r="F145" s="14" t="s">
        <v>3129</v>
      </c>
      <c r="G145" s="14" t="s">
        <v>1014</v>
      </c>
      <c r="H145" s="14" t="s">
        <v>1015</v>
      </c>
      <c r="I145" s="14" t="s">
        <v>1078</v>
      </c>
      <c r="J145" s="14" t="s">
        <v>1016</v>
      </c>
      <c r="K145" s="14"/>
      <c r="L145" s="14" t="s">
        <v>1079</v>
      </c>
      <c r="M145" s="14" t="s">
        <v>1017</v>
      </c>
      <c r="N145" s="14" t="s">
        <v>1080</v>
      </c>
    </row>
    <row r="146" spans="1:14" ht="43.5" x14ac:dyDescent="0.35">
      <c r="A146" s="14" t="s">
        <v>52</v>
      </c>
      <c r="B146" s="14" t="s">
        <v>1698</v>
      </c>
      <c r="C146" s="14" t="s">
        <v>1076</v>
      </c>
      <c r="D146" s="14" t="s">
        <v>3003</v>
      </c>
      <c r="E146" s="14" t="s">
        <v>3130</v>
      </c>
      <c r="F146" s="14" t="s">
        <v>3131</v>
      </c>
      <c r="G146" s="14" t="s">
        <v>1014</v>
      </c>
      <c r="H146" s="14" t="s">
        <v>1015</v>
      </c>
      <c r="I146" s="14" t="s">
        <v>1078</v>
      </c>
      <c r="J146" s="14" t="s">
        <v>1016</v>
      </c>
      <c r="K146" s="14"/>
      <c r="L146" s="14" t="s">
        <v>1079</v>
      </c>
      <c r="M146" s="14" t="s">
        <v>1017</v>
      </c>
      <c r="N146" s="14" t="s">
        <v>1080</v>
      </c>
    </row>
    <row r="147" spans="1:14" ht="43.5" x14ac:dyDescent="0.35">
      <c r="A147" s="14" t="s">
        <v>52</v>
      </c>
      <c r="B147" s="14" t="s">
        <v>1698</v>
      </c>
      <c r="C147" s="14" t="s">
        <v>1076</v>
      </c>
      <c r="D147" s="14" t="s">
        <v>3132</v>
      </c>
      <c r="E147" s="14" t="s">
        <v>3133</v>
      </c>
      <c r="F147" s="14" t="s">
        <v>3134</v>
      </c>
      <c r="G147" s="14" t="s">
        <v>1014</v>
      </c>
      <c r="H147" s="14" t="s">
        <v>1015</v>
      </c>
      <c r="I147" s="14"/>
      <c r="J147" s="14" t="s">
        <v>1016</v>
      </c>
      <c r="K147" s="14"/>
      <c r="L147" s="14" t="s">
        <v>1079</v>
      </c>
      <c r="M147" s="14" t="s">
        <v>1017</v>
      </c>
      <c r="N147" s="14" t="s">
        <v>1080</v>
      </c>
    </row>
    <row r="148" spans="1:14" ht="43.5" x14ac:dyDescent="0.35">
      <c r="A148" s="14" t="s">
        <v>52</v>
      </c>
      <c r="B148" s="14" t="s">
        <v>1748</v>
      </c>
      <c r="C148" s="14" t="s">
        <v>1076</v>
      </c>
      <c r="D148" s="14" t="s">
        <v>3135</v>
      </c>
      <c r="E148" s="14" t="s">
        <v>3136</v>
      </c>
      <c r="F148" s="14" t="s">
        <v>3137</v>
      </c>
      <c r="G148" s="14" t="s">
        <v>1014</v>
      </c>
      <c r="H148" s="14" t="s">
        <v>1015</v>
      </c>
      <c r="I148" s="14"/>
      <c r="J148" s="14" t="s">
        <v>1016</v>
      </c>
      <c r="K148" s="14"/>
      <c r="L148" s="14" t="s">
        <v>1079</v>
      </c>
      <c r="M148" s="14" t="s">
        <v>1017</v>
      </c>
      <c r="N148" s="14" t="s">
        <v>1080</v>
      </c>
    </row>
    <row r="149" spans="1:14" ht="43.5" x14ac:dyDescent="0.35">
      <c r="A149" s="14" t="s">
        <v>52</v>
      </c>
      <c r="B149" s="14" t="s">
        <v>1748</v>
      </c>
      <c r="C149" s="14" t="s">
        <v>1076</v>
      </c>
      <c r="D149" s="14" t="s">
        <v>3138</v>
      </c>
      <c r="E149" s="14" t="s">
        <v>2947</v>
      </c>
      <c r="F149" s="14" t="s">
        <v>3139</v>
      </c>
      <c r="G149" s="14" t="s">
        <v>1014</v>
      </c>
      <c r="H149" s="14" t="s">
        <v>1015</v>
      </c>
      <c r="I149" s="14" t="s">
        <v>1078</v>
      </c>
      <c r="J149" s="14" t="s">
        <v>1016</v>
      </c>
      <c r="K149" s="14"/>
      <c r="L149" s="14" t="s">
        <v>1079</v>
      </c>
      <c r="M149" s="14" t="s">
        <v>1017</v>
      </c>
      <c r="N149" s="14" t="s">
        <v>1080</v>
      </c>
    </row>
    <row r="150" spans="1:14" ht="43.5" x14ac:dyDescent="0.35">
      <c r="A150" s="14" t="s">
        <v>52</v>
      </c>
      <c r="B150" s="14" t="s">
        <v>1748</v>
      </c>
      <c r="C150" s="14" t="s">
        <v>1076</v>
      </c>
      <c r="D150" s="14" t="s">
        <v>3140</v>
      </c>
      <c r="E150" s="14" t="s">
        <v>2786</v>
      </c>
      <c r="F150" s="14" t="s">
        <v>3141</v>
      </c>
      <c r="G150" s="14" t="s">
        <v>1014</v>
      </c>
      <c r="H150" s="14" t="s">
        <v>1015</v>
      </c>
      <c r="I150" s="14" t="s">
        <v>1078</v>
      </c>
      <c r="J150" s="14" t="s">
        <v>1016</v>
      </c>
      <c r="K150" s="14"/>
      <c r="L150" s="14" t="s">
        <v>1079</v>
      </c>
      <c r="M150" s="14" t="s">
        <v>1017</v>
      </c>
      <c r="N150" s="14" t="s">
        <v>1080</v>
      </c>
    </row>
    <row r="151" spans="1:14" ht="43.5" x14ac:dyDescent="0.35">
      <c r="A151" s="14" t="s">
        <v>52</v>
      </c>
      <c r="B151" s="14" t="s">
        <v>1748</v>
      </c>
      <c r="C151" s="14" t="s">
        <v>1076</v>
      </c>
      <c r="D151" s="14" t="s">
        <v>3142</v>
      </c>
      <c r="E151" s="14" t="s">
        <v>3143</v>
      </c>
      <c r="F151" s="14" t="s">
        <v>3144</v>
      </c>
      <c r="G151" s="14" t="s">
        <v>1014</v>
      </c>
      <c r="H151" s="14" t="s">
        <v>1015</v>
      </c>
      <c r="I151" s="14" t="s">
        <v>54</v>
      </c>
      <c r="J151" s="14" t="s">
        <v>1016</v>
      </c>
      <c r="K151" s="14"/>
      <c r="L151" s="14" t="s">
        <v>1079</v>
      </c>
      <c r="M151" s="14" t="s">
        <v>1017</v>
      </c>
      <c r="N151" s="14" t="s">
        <v>1080</v>
      </c>
    </row>
    <row r="152" spans="1:14" ht="43.5" x14ac:dyDescent="0.35">
      <c r="A152" s="14" t="s">
        <v>52</v>
      </c>
      <c r="B152" s="14" t="s">
        <v>1748</v>
      </c>
      <c r="C152" s="14" t="s">
        <v>1076</v>
      </c>
      <c r="D152" s="14" t="s">
        <v>3145</v>
      </c>
      <c r="E152" s="14" t="s">
        <v>3146</v>
      </c>
      <c r="F152" s="14" t="s">
        <v>3147</v>
      </c>
      <c r="G152" s="14" t="s">
        <v>1014</v>
      </c>
      <c r="H152" s="14" t="s">
        <v>1015</v>
      </c>
      <c r="I152" s="14"/>
      <c r="J152" s="14" t="s">
        <v>1016</v>
      </c>
      <c r="K152" s="14"/>
      <c r="L152" s="14" t="s">
        <v>1079</v>
      </c>
      <c r="M152" s="14" t="s">
        <v>1017</v>
      </c>
      <c r="N152" s="14" t="s">
        <v>1080</v>
      </c>
    </row>
    <row r="153" spans="1:14" ht="43.5" x14ac:dyDescent="0.35">
      <c r="A153" s="14" t="s">
        <v>52</v>
      </c>
      <c r="B153" s="14" t="s">
        <v>1748</v>
      </c>
      <c r="C153" s="14" t="s">
        <v>1076</v>
      </c>
      <c r="D153" s="14" t="s">
        <v>3148</v>
      </c>
      <c r="E153" s="14" t="s">
        <v>3002</v>
      </c>
      <c r="F153" s="14" t="s">
        <v>3149</v>
      </c>
      <c r="G153" s="14" t="s">
        <v>1014</v>
      </c>
      <c r="H153" s="14" t="s">
        <v>1015</v>
      </c>
      <c r="I153" s="14"/>
      <c r="J153" s="14" t="s">
        <v>1016</v>
      </c>
      <c r="K153" s="14"/>
      <c r="L153" s="14" t="s">
        <v>1079</v>
      </c>
      <c r="M153" s="14" t="s">
        <v>1017</v>
      </c>
      <c r="N153" s="14" t="s">
        <v>1080</v>
      </c>
    </row>
    <row r="154" spans="1:14" ht="43.5" x14ac:dyDescent="0.35">
      <c r="A154" s="14" t="s">
        <v>52</v>
      </c>
      <c r="B154" s="14" t="s">
        <v>1777</v>
      </c>
      <c r="C154" s="14" t="s">
        <v>1076</v>
      </c>
      <c r="D154" s="14" t="s">
        <v>2868</v>
      </c>
      <c r="E154" s="14" t="s">
        <v>3140</v>
      </c>
      <c r="F154" s="14" t="s">
        <v>3150</v>
      </c>
      <c r="G154" s="14" t="s">
        <v>1014</v>
      </c>
      <c r="H154" s="14" t="s">
        <v>1015</v>
      </c>
      <c r="I154" s="14"/>
      <c r="J154" s="14" t="s">
        <v>1016</v>
      </c>
      <c r="K154" s="14"/>
      <c r="L154" s="14" t="s">
        <v>1079</v>
      </c>
      <c r="M154" s="14" t="s">
        <v>1017</v>
      </c>
      <c r="N154" s="14" t="s">
        <v>1080</v>
      </c>
    </row>
    <row r="155" spans="1:14" ht="43.5" x14ac:dyDescent="0.35">
      <c r="A155" s="14" t="s">
        <v>52</v>
      </c>
      <c r="B155" s="14" t="s">
        <v>1777</v>
      </c>
      <c r="C155" s="14" t="s">
        <v>1076</v>
      </c>
      <c r="D155" s="14" t="s">
        <v>3151</v>
      </c>
      <c r="E155" s="14" t="s">
        <v>2979</v>
      </c>
      <c r="F155" s="14" t="s">
        <v>3152</v>
      </c>
      <c r="G155" s="14" t="s">
        <v>1014</v>
      </c>
      <c r="H155" s="14" t="s">
        <v>1015</v>
      </c>
      <c r="I155" s="14"/>
      <c r="J155" s="14" t="s">
        <v>1016</v>
      </c>
      <c r="K155" s="14"/>
      <c r="L155" s="14" t="s">
        <v>1079</v>
      </c>
      <c r="M155" s="14" t="s">
        <v>1017</v>
      </c>
      <c r="N155" s="14" t="s">
        <v>1080</v>
      </c>
    </row>
    <row r="156" spans="1:14" ht="43.5" x14ac:dyDescent="0.35">
      <c r="A156" s="14" t="s">
        <v>52</v>
      </c>
      <c r="B156" s="14" t="s">
        <v>1777</v>
      </c>
      <c r="C156" s="14" t="s">
        <v>1076</v>
      </c>
      <c r="D156" s="14" t="s">
        <v>3074</v>
      </c>
      <c r="E156" s="14" t="s">
        <v>3153</v>
      </c>
      <c r="F156" s="14" t="s">
        <v>3154</v>
      </c>
      <c r="G156" s="14" t="s">
        <v>1014</v>
      </c>
      <c r="H156" s="14" t="s">
        <v>1015</v>
      </c>
      <c r="I156" s="14"/>
      <c r="J156" s="14" t="s">
        <v>1016</v>
      </c>
      <c r="K156" s="14"/>
      <c r="L156" s="14" t="s">
        <v>1079</v>
      </c>
      <c r="M156" s="14" t="s">
        <v>1017</v>
      </c>
      <c r="N156" s="14" t="s">
        <v>1080</v>
      </c>
    </row>
    <row r="157" spans="1:14" ht="43.5" x14ac:dyDescent="0.35">
      <c r="A157" s="14" t="s">
        <v>52</v>
      </c>
      <c r="B157" s="14" t="s">
        <v>1777</v>
      </c>
      <c r="C157" s="14" t="s">
        <v>1076</v>
      </c>
      <c r="D157" s="14" t="s">
        <v>3155</v>
      </c>
      <c r="E157" s="14" t="s">
        <v>3156</v>
      </c>
      <c r="F157" s="14" t="s">
        <v>3157</v>
      </c>
      <c r="G157" s="14" t="s">
        <v>1014</v>
      </c>
      <c r="H157" s="14" t="s">
        <v>1015</v>
      </c>
      <c r="I157" s="14" t="s">
        <v>1078</v>
      </c>
      <c r="J157" s="14" t="s">
        <v>1016</v>
      </c>
      <c r="K157" s="14"/>
      <c r="L157" s="14" t="s">
        <v>1079</v>
      </c>
      <c r="M157" s="14" t="s">
        <v>1017</v>
      </c>
      <c r="N157" s="14" t="s">
        <v>1080</v>
      </c>
    </row>
    <row r="158" spans="1:14" ht="43.5" x14ac:dyDescent="0.35">
      <c r="A158" s="14" t="s">
        <v>52</v>
      </c>
      <c r="B158" s="14" t="s">
        <v>1777</v>
      </c>
      <c r="C158" s="14" t="s">
        <v>1076</v>
      </c>
      <c r="D158" s="14" t="s">
        <v>3017</v>
      </c>
      <c r="E158" s="14" t="s">
        <v>3158</v>
      </c>
      <c r="F158" s="14" t="s">
        <v>3159</v>
      </c>
      <c r="G158" s="14" t="s">
        <v>1014</v>
      </c>
      <c r="H158" s="14" t="s">
        <v>1015</v>
      </c>
      <c r="I158" s="14" t="s">
        <v>1078</v>
      </c>
      <c r="J158" s="14" t="s">
        <v>1016</v>
      </c>
      <c r="K158" s="14"/>
      <c r="L158" s="14" t="s">
        <v>1079</v>
      </c>
      <c r="M158" s="14" t="s">
        <v>1017</v>
      </c>
      <c r="N158" s="14" t="s">
        <v>1080</v>
      </c>
    </row>
    <row r="159" spans="1:14" ht="43.5" x14ac:dyDescent="0.35">
      <c r="A159" s="14" t="s">
        <v>52</v>
      </c>
      <c r="B159" s="14" t="s">
        <v>1832</v>
      </c>
      <c r="C159" s="14" t="s">
        <v>1076</v>
      </c>
      <c r="D159" s="14" t="s">
        <v>3160</v>
      </c>
      <c r="E159" s="14" t="s">
        <v>3161</v>
      </c>
      <c r="F159" s="14" t="s">
        <v>3162</v>
      </c>
      <c r="G159" s="14" t="s">
        <v>1014</v>
      </c>
      <c r="H159" s="14" t="s">
        <v>1015</v>
      </c>
      <c r="I159" s="14"/>
      <c r="J159" s="14" t="s">
        <v>1016</v>
      </c>
      <c r="K159" s="14"/>
      <c r="L159" s="14" t="s">
        <v>1079</v>
      </c>
      <c r="M159" s="14" t="s">
        <v>1017</v>
      </c>
      <c r="N159" s="14" t="s">
        <v>1080</v>
      </c>
    </row>
    <row r="160" spans="1:14" ht="43.5" x14ac:dyDescent="0.35">
      <c r="A160" s="14" t="s">
        <v>52</v>
      </c>
      <c r="B160" s="14" t="s">
        <v>1832</v>
      </c>
      <c r="C160" s="14" t="s">
        <v>1076</v>
      </c>
      <c r="D160" s="14" t="s">
        <v>3096</v>
      </c>
      <c r="E160" s="14" t="s">
        <v>3163</v>
      </c>
      <c r="F160" s="14" t="s">
        <v>3164</v>
      </c>
      <c r="G160" s="14" t="s">
        <v>1014</v>
      </c>
      <c r="H160" s="14" t="s">
        <v>1015</v>
      </c>
      <c r="I160" s="14"/>
      <c r="J160" s="14" t="s">
        <v>1016</v>
      </c>
      <c r="K160" s="14"/>
      <c r="L160" s="14" t="s">
        <v>1079</v>
      </c>
      <c r="M160" s="14" t="s">
        <v>1017</v>
      </c>
      <c r="N160" s="14" t="s">
        <v>1080</v>
      </c>
    </row>
    <row r="161" spans="1:14" ht="43.5" x14ac:dyDescent="0.35">
      <c r="A161" s="14" t="s">
        <v>52</v>
      </c>
      <c r="B161" s="14" t="s">
        <v>1832</v>
      </c>
      <c r="C161" s="14" t="s">
        <v>1076</v>
      </c>
      <c r="D161" s="14" t="s">
        <v>2988</v>
      </c>
      <c r="E161" s="14" t="s">
        <v>3165</v>
      </c>
      <c r="F161" s="14" t="s">
        <v>3166</v>
      </c>
      <c r="G161" s="14" t="s">
        <v>1014</v>
      </c>
      <c r="H161" s="14" t="s">
        <v>1015</v>
      </c>
      <c r="I161" s="14" t="s">
        <v>1078</v>
      </c>
      <c r="J161" s="14" t="s">
        <v>1016</v>
      </c>
      <c r="K161" s="14"/>
      <c r="L161" s="14" t="s">
        <v>1079</v>
      </c>
      <c r="M161" s="14" t="s">
        <v>1017</v>
      </c>
      <c r="N161" s="14" t="s">
        <v>1080</v>
      </c>
    </row>
    <row r="162" spans="1:14" ht="43.5" x14ac:dyDescent="0.35">
      <c r="A162" s="14" t="s">
        <v>52</v>
      </c>
      <c r="B162" s="14" t="s">
        <v>1832</v>
      </c>
      <c r="C162" s="14" t="s">
        <v>1076</v>
      </c>
      <c r="D162" s="14" t="s">
        <v>3167</v>
      </c>
      <c r="E162" s="14" t="s">
        <v>3168</v>
      </c>
      <c r="F162" s="14" t="s">
        <v>3169</v>
      </c>
      <c r="G162" s="14" t="s">
        <v>1014</v>
      </c>
      <c r="H162" s="14" t="s">
        <v>1015</v>
      </c>
      <c r="I162" s="14" t="s">
        <v>1078</v>
      </c>
      <c r="J162" s="14" t="s">
        <v>1016</v>
      </c>
      <c r="K162" s="14"/>
      <c r="L162" s="14" t="s">
        <v>1079</v>
      </c>
      <c r="M162" s="14" t="s">
        <v>1017</v>
      </c>
      <c r="N162" s="14" t="s">
        <v>1080</v>
      </c>
    </row>
    <row r="163" spans="1:14" ht="43.5" x14ac:dyDescent="0.35">
      <c r="A163" s="14" t="s">
        <v>52</v>
      </c>
      <c r="B163" s="14" t="s">
        <v>1832</v>
      </c>
      <c r="C163" s="14" t="s">
        <v>1076</v>
      </c>
      <c r="D163" s="14" t="s">
        <v>3170</v>
      </c>
      <c r="E163" s="14" t="s">
        <v>3171</v>
      </c>
      <c r="F163" s="14" t="s">
        <v>3172</v>
      </c>
      <c r="G163" s="14" t="s">
        <v>1014</v>
      </c>
      <c r="H163" s="14" t="s">
        <v>1015</v>
      </c>
      <c r="I163" s="14" t="s">
        <v>1078</v>
      </c>
      <c r="J163" s="14" t="s">
        <v>1016</v>
      </c>
      <c r="K163" s="14"/>
      <c r="L163" s="14" t="s">
        <v>1079</v>
      </c>
      <c r="M163" s="14" t="s">
        <v>1017</v>
      </c>
      <c r="N163" s="14" t="s">
        <v>1080</v>
      </c>
    </row>
    <row r="164" spans="1:14" ht="43.5" x14ac:dyDescent="0.35">
      <c r="A164" s="14" t="s">
        <v>52</v>
      </c>
      <c r="B164" s="14" t="s">
        <v>1832</v>
      </c>
      <c r="C164" s="14" t="s">
        <v>1076</v>
      </c>
      <c r="D164" s="14" t="s">
        <v>2891</v>
      </c>
      <c r="E164" s="14" t="s">
        <v>3173</v>
      </c>
      <c r="F164" s="14" t="s">
        <v>3174</v>
      </c>
      <c r="G164" s="14" t="s">
        <v>1014</v>
      </c>
      <c r="H164" s="14" t="s">
        <v>1015</v>
      </c>
      <c r="I164" s="14" t="s">
        <v>54</v>
      </c>
      <c r="J164" s="14" t="s">
        <v>1016</v>
      </c>
      <c r="K164" s="14"/>
      <c r="L164" s="14" t="s">
        <v>1079</v>
      </c>
      <c r="M164" s="14" t="s">
        <v>1017</v>
      </c>
      <c r="N164" s="14" t="s">
        <v>1080</v>
      </c>
    </row>
    <row r="165" spans="1:14" ht="43.5" x14ac:dyDescent="0.35">
      <c r="A165" s="14" t="s">
        <v>52</v>
      </c>
      <c r="B165" s="14" t="s">
        <v>1876</v>
      </c>
      <c r="C165" s="14" t="s">
        <v>1076</v>
      </c>
      <c r="D165" s="14" t="s">
        <v>2832</v>
      </c>
      <c r="E165" s="14" t="s">
        <v>3175</v>
      </c>
      <c r="F165" s="14" t="s">
        <v>3176</v>
      </c>
      <c r="G165" s="14" t="s">
        <v>1014</v>
      </c>
      <c r="H165" s="14" t="s">
        <v>1015</v>
      </c>
      <c r="I165" s="14"/>
      <c r="J165" s="14" t="s">
        <v>1016</v>
      </c>
      <c r="K165" s="14"/>
      <c r="L165" s="14" t="s">
        <v>1079</v>
      </c>
      <c r="M165" s="14" t="s">
        <v>1017</v>
      </c>
      <c r="N165" s="14" t="s">
        <v>1080</v>
      </c>
    </row>
    <row r="166" spans="1:14" ht="43.5" x14ac:dyDescent="0.35">
      <c r="A166" s="14" t="s">
        <v>52</v>
      </c>
      <c r="B166" s="14" t="s">
        <v>1876</v>
      </c>
      <c r="C166" s="14" t="s">
        <v>1076</v>
      </c>
      <c r="D166" s="14" t="s">
        <v>3177</v>
      </c>
      <c r="E166" s="14" t="s">
        <v>2797</v>
      </c>
      <c r="F166" s="14" t="s">
        <v>3178</v>
      </c>
      <c r="G166" s="14" t="s">
        <v>1014</v>
      </c>
      <c r="H166" s="14" t="s">
        <v>1015</v>
      </c>
      <c r="I166" s="14" t="s">
        <v>1078</v>
      </c>
      <c r="J166" s="14" t="s">
        <v>1016</v>
      </c>
      <c r="K166" s="14"/>
      <c r="L166" s="14" t="s">
        <v>1079</v>
      </c>
      <c r="M166" s="14" t="s">
        <v>1017</v>
      </c>
      <c r="N166" s="14" t="s">
        <v>1080</v>
      </c>
    </row>
    <row r="167" spans="1:14" ht="29" x14ac:dyDescent="0.35">
      <c r="A167" s="14" t="s">
        <v>52</v>
      </c>
      <c r="B167" s="14" t="s">
        <v>1876</v>
      </c>
      <c r="C167" s="14" t="s">
        <v>3005</v>
      </c>
      <c r="D167" s="14" t="s">
        <v>3179</v>
      </c>
      <c r="E167" s="14" t="s">
        <v>3072</v>
      </c>
      <c r="F167" s="14" t="s">
        <v>3180</v>
      </c>
      <c r="G167" s="14" t="s">
        <v>1014</v>
      </c>
      <c r="H167" s="14" t="s">
        <v>1015</v>
      </c>
      <c r="I167" s="14" t="s">
        <v>1078</v>
      </c>
      <c r="J167" s="14" t="s">
        <v>1016</v>
      </c>
      <c r="K167" s="14"/>
      <c r="L167" s="14" t="s">
        <v>1229</v>
      </c>
      <c r="M167" s="14" t="s">
        <v>1017</v>
      </c>
      <c r="N167" s="14" t="s">
        <v>3007</v>
      </c>
    </row>
    <row r="168" spans="1:14" ht="29" x14ac:dyDescent="0.35">
      <c r="A168" s="14" t="s">
        <v>52</v>
      </c>
      <c r="B168" s="14" t="s">
        <v>1876</v>
      </c>
      <c r="C168" s="14" t="s">
        <v>2825</v>
      </c>
      <c r="D168" s="14" t="s">
        <v>3181</v>
      </c>
      <c r="E168" s="14" t="s">
        <v>3182</v>
      </c>
      <c r="F168" s="14" t="s">
        <v>3183</v>
      </c>
      <c r="G168" s="14" t="s">
        <v>1014</v>
      </c>
      <c r="H168" s="14" t="s">
        <v>1015</v>
      </c>
      <c r="I168" s="14" t="s">
        <v>1078</v>
      </c>
      <c r="J168" s="14" t="s">
        <v>1016</v>
      </c>
      <c r="K168" s="14"/>
      <c r="L168" s="14" t="s">
        <v>2830</v>
      </c>
      <c r="M168" s="14" t="s">
        <v>1017</v>
      </c>
      <c r="N168" s="14" t="s">
        <v>2831</v>
      </c>
    </row>
    <row r="169" spans="1:14" ht="43.5" x14ac:dyDescent="0.35">
      <c r="A169" s="14" t="s">
        <v>52</v>
      </c>
      <c r="B169" s="14" t="s">
        <v>1931</v>
      </c>
      <c r="C169" s="14" t="s">
        <v>1076</v>
      </c>
      <c r="D169" s="14" t="s">
        <v>3184</v>
      </c>
      <c r="E169" s="14" t="s">
        <v>3185</v>
      </c>
      <c r="F169" s="14" t="s">
        <v>3186</v>
      </c>
      <c r="G169" s="14" t="s">
        <v>1014</v>
      </c>
      <c r="H169" s="14" t="s">
        <v>1015</v>
      </c>
      <c r="I169" s="14"/>
      <c r="J169" s="14" t="s">
        <v>1016</v>
      </c>
      <c r="K169" s="14"/>
      <c r="L169" s="14" t="s">
        <v>1079</v>
      </c>
      <c r="M169" s="14" t="s">
        <v>1017</v>
      </c>
      <c r="N169" s="14" t="s">
        <v>1080</v>
      </c>
    </row>
    <row r="170" spans="1:14" ht="43.5" x14ac:dyDescent="0.35">
      <c r="A170" s="14" t="s">
        <v>52</v>
      </c>
      <c r="B170" s="14" t="s">
        <v>1931</v>
      </c>
      <c r="C170" s="14" t="s">
        <v>1076</v>
      </c>
      <c r="D170" s="14" t="s">
        <v>3187</v>
      </c>
      <c r="E170" s="14" t="s">
        <v>3188</v>
      </c>
      <c r="F170" s="14" t="s">
        <v>3150</v>
      </c>
      <c r="G170" s="14" t="s">
        <v>1014</v>
      </c>
      <c r="H170" s="14" t="s">
        <v>1015</v>
      </c>
      <c r="I170" s="14"/>
      <c r="J170" s="14" t="s">
        <v>1016</v>
      </c>
      <c r="K170" s="14"/>
      <c r="L170" s="14" t="s">
        <v>1079</v>
      </c>
      <c r="M170" s="14" t="s">
        <v>1017</v>
      </c>
      <c r="N170" s="14" t="s">
        <v>1080</v>
      </c>
    </row>
    <row r="171" spans="1:14" ht="43.5" x14ac:dyDescent="0.35">
      <c r="A171" s="14" t="s">
        <v>52</v>
      </c>
      <c r="B171" s="14" t="s">
        <v>1931</v>
      </c>
      <c r="C171" s="14" t="s">
        <v>1076</v>
      </c>
      <c r="D171" s="14" t="s">
        <v>3189</v>
      </c>
      <c r="E171" s="14" t="s">
        <v>3190</v>
      </c>
      <c r="F171" s="14" t="s">
        <v>3152</v>
      </c>
      <c r="G171" s="14" t="s">
        <v>1014</v>
      </c>
      <c r="H171" s="14" t="s">
        <v>1015</v>
      </c>
      <c r="I171" s="14"/>
      <c r="J171" s="14" t="s">
        <v>1016</v>
      </c>
      <c r="K171" s="14"/>
      <c r="L171" s="14" t="s">
        <v>1079</v>
      </c>
      <c r="M171" s="14" t="s">
        <v>1017</v>
      </c>
      <c r="N171" s="14" t="s">
        <v>1080</v>
      </c>
    </row>
    <row r="172" spans="1:14" ht="43.5" x14ac:dyDescent="0.35">
      <c r="A172" s="14" t="s">
        <v>52</v>
      </c>
      <c r="B172" s="14" t="s">
        <v>1931</v>
      </c>
      <c r="C172" s="14" t="s">
        <v>1076</v>
      </c>
      <c r="D172" s="14" t="s">
        <v>3191</v>
      </c>
      <c r="E172" s="14" t="s">
        <v>3192</v>
      </c>
      <c r="F172" s="14" t="s">
        <v>3154</v>
      </c>
      <c r="G172" s="14" t="s">
        <v>1014</v>
      </c>
      <c r="H172" s="14" t="s">
        <v>1015</v>
      </c>
      <c r="I172" s="14"/>
      <c r="J172" s="14" t="s">
        <v>1016</v>
      </c>
      <c r="K172" s="14"/>
      <c r="L172" s="14" t="s">
        <v>1079</v>
      </c>
      <c r="M172" s="14" t="s">
        <v>1017</v>
      </c>
      <c r="N172" s="14" t="s">
        <v>1080</v>
      </c>
    </row>
    <row r="173" spans="1:14" ht="43.5" x14ac:dyDescent="0.35">
      <c r="A173" s="14" t="s">
        <v>52</v>
      </c>
      <c r="B173" s="14" t="s">
        <v>1931</v>
      </c>
      <c r="C173" s="14" t="s">
        <v>1076</v>
      </c>
      <c r="D173" s="14" t="s">
        <v>2906</v>
      </c>
      <c r="E173" s="14" t="s">
        <v>3193</v>
      </c>
      <c r="F173" s="14" t="s">
        <v>3194</v>
      </c>
      <c r="G173" s="14" t="s">
        <v>1014</v>
      </c>
      <c r="H173" s="14" t="s">
        <v>1015</v>
      </c>
      <c r="I173" s="14" t="s">
        <v>1078</v>
      </c>
      <c r="J173" s="14" t="s">
        <v>1016</v>
      </c>
      <c r="K173" s="14"/>
      <c r="L173" s="14" t="s">
        <v>1079</v>
      </c>
      <c r="M173" s="14" t="s">
        <v>1017</v>
      </c>
      <c r="N173" s="14" t="s">
        <v>1080</v>
      </c>
    </row>
    <row r="174" spans="1:14" ht="43.5" x14ac:dyDescent="0.35">
      <c r="A174" s="14" t="s">
        <v>52</v>
      </c>
      <c r="B174" s="14" t="s">
        <v>1931</v>
      </c>
      <c r="C174" s="14" t="s">
        <v>1076</v>
      </c>
      <c r="D174" s="14" t="s">
        <v>3148</v>
      </c>
      <c r="E174" s="14" t="s">
        <v>3195</v>
      </c>
      <c r="F174" s="14" t="s">
        <v>3196</v>
      </c>
      <c r="G174" s="14" t="s">
        <v>1014</v>
      </c>
      <c r="H174" s="14" t="s">
        <v>1015</v>
      </c>
      <c r="I174" s="14" t="s">
        <v>1078</v>
      </c>
      <c r="J174" s="14" t="s">
        <v>1016</v>
      </c>
      <c r="K174" s="14"/>
      <c r="L174" s="14" t="s">
        <v>1079</v>
      </c>
      <c r="M174" s="14" t="s">
        <v>1017</v>
      </c>
      <c r="N174" s="14" t="s">
        <v>1080</v>
      </c>
    </row>
    <row r="175" spans="1:14" ht="43.5" x14ac:dyDescent="0.35">
      <c r="A175" s="14" t="s">
        <v>52</v>
      </c>
      <c r="B175" s="14" t="s">
        <v>1945</v>
      </c>
      <c r="C175" s="14" t="s">
        <v>1076</v>
      </c>
      <c r="D175" s="14" t="s">
        <v>3197</v>
      </c>
      <c r="E175" s="14" t="s">
        <v>3198</v>
      </c>
      <c r="F175" s="14" t="s">
        <v>3199</v>
      </c>
      <c r="G175" s="14" t="s">
        <v>1014</v>
      </c>
      <c r="H175" s="14" t="s">
        <v>1015</v>
      </c>
      <c r="I175" s="14"/>
      <c r="J175" s="14" t="s">
        <v>1016</v>
      </c>
      <c r="K175" s="14"/>
      <c r="L175" s="14" t="s">
        <v>1079</v>
      </c>
      <c r="M175" s="14" t="s">
        <v>1017</v>
      </c>
      <c r="N175" s="14" t="s">
        <v>1080</v>
      </c>
    </row>
    <row r="176" spans="1:14" ht="43.5" x14ac:dyDescent="0.35">
      <c r="A176" s="14" t="s">
        <v>52</v>
      </c>
      <c r="B176" s="14" t="s">
        <v>1945</v>
      </c>
      <c r="C176" s="14" t="s">
        <v>1076</v>
      </c>
      <c r="D176" s="14" t="s">
        <v>3200</v>
      </c>
      <c r="E176" s="14" t="s">
        <v>3201</v>
      </c>
      <c r="F176" s="14" t="s">
        <v>3202</v>
      </c>
      <c r="G176" s="14" t="s">
        <v>1014</v>
      </c>
      <c r="H176" s="14" t="s">
        <v>1015</v>
      </c>
      <c r="I176" s="14" t="s">
        <v>1078</v>
      </c>
      <c r="J176" s="14" t="s">
        <v>1016</v>
      </c>
      <c r="K176" s="14"/>
      <c r="L176" s="14" t="s">
        <v>1079</v>
      </c>
      <c r="M176" s="14" t="s">
        <v>1017</v>
      </c>
      <c r="N176" s="14" t="s">
        <v>1080</v>
      </c>
    </row>
    <row r="177" spans="1:14" ht="43.5" x14ac:dyDescent="0.35">
      <c r="A177" s="14" t="s">
        <v>52</v>
      </c>
      <c r="B177" s="14" t="s">
        <v>1945</v>
      </c>
      <c r="C177" s="14" t="s">
        <v>1076</v>
      </c>
      <c r="D177" s="14" t="s">
        <v>3203</v>
      </c>
      <c r="E177" s="14" t="s">
        <v>3204</v>
      </c>
      <c r="F177" s="14" t="s">
        <v>3205</v>
      </c>
      <c r="G177" s="14" t="s">
        <v>1014</v>
      </c>
      <c r="H177" s="14" t="s">
        <v>1015</v>
      </c>
      <c r="I177" s="14" t="s">
        <v>1078</v>
      </c>
      <c r="J177" s="14" t="s">
        <v>1016</v>
      </c>
      <c r="K177" s="14"/>
      <c r="L177" s="14" t="s">
        <v>1079</v>
      </c>
      <c r="M177" s="14" t="s">
        <v>1017</v>
      </c>
      <c r="N177" s="14" t="s">
        <v>1080</v>
      </c>
    </row>
    <row r="178" spans="1:14" ht="43.5" x14ac:dyDescent="0.35">
      <c r="A178" s="14" t="s">
        <v>52</v>
      </c>
      <c r="B178" s="14" t="s">
        <v>1975</v>
      </c>
      <c r="C178" s="14" t="s">
        <v>1076</v>
      </c>
      <c r="D178" s="14" t="s">
        <v>3051</v>
      </c>
      <c r="E178" s="14" t="s">
        <v>3052</v>
      </c>
      <c r="F178" s="14" t="s">
        <v>3127</v>
      </c>
      <c r="G178" s="14" t="s">
        <v>1014</v>
      </c>
      <c r="H178" s="14" t="s">
        <v>1015</v>
      </c>
      <c r="I178" s="14"/>
      <c r="J178" s="14" t="s">
        <v>1016</v>
      </c>
      <c r="K178" s="14"/>
      <c r="L178" s="14" t="s">
        <v>1079</v>
      </c>
      <c r="M178" s="14" t="s">
        <v>1017</v>
      </c>
      <c r="N178" s="14" t="s">
        <v>1080</v>
      </c>
    </row>
    <row r="179" spans="1:14" ht="43.5" x14ac:dyDescent="0.35">
      <c r="A179" s="14" t="s">
        <v>52</v>
      </c>
      <c r="B179" s="14" t="s">
        <v>1975</v>
      </c>
      <c r="C179" s="14" t="s">
        <v>1076</v>
      </c>
      <c r="D179" s="14" t="s">
        <v>3206</v>
      </c>
      <c r="E179" s="14" t="s">
        <v>3207</v>
      </c>
      <c r="F179" s="14" t="s">
        <v>3128</v>
      </c>
      <c r="G179" s="14" t="s">
        <v>1014</v>
      </c>
      <c r="H179" s="14" t="s">
        <v>1015</v>
      </c>
      <c r="I179" s="14" t="s">
        <v>1078</v>
      </c>
      <c r="J179" s="14" t="s">
        <v>1016</v>
      </c>
      <c r="K179" s="14"/>
      <c r="L179" s="14" t="s">
        <v>1079</v>
      </c>
      <c r="M179" s="14" t="s">
        <v>1017</v>
      </c>
      <c r="N179" s="14" t="s">
        <v>1080</v>
      </c>
    </row>
    <row r="180" spans="1:14" ht="43.5" x14ac:dyDescent="0.35">
      <c r="A180" s="14" t="s">
        <v>52</v>
      </c>
      <c r="B180" s="14" t="s">
        <v>1975</v>
      </c>
      <c r="C180" s="14" t="s">
        <v>1076</v>
      </c>
      <c r="D180" s="14" t="s">
        <v>3208</v>
      </c>
      <c r="E180" s="14" t="s">
        <v>3209</v>
      </c>
      <c r="F180" s="14" t="s">
        <v>3129</v>
      </c>
      <c r="G180" s="14" t="s">
        <v>1014</v>
      </c>
      <c r="H180" s="14" t="s">
        <v>1015</v>
      </c>
      <c r="I180" s="14" t="s">
        <v>1078</v>
      </c>
      <c r="J180" s="14" t="s">
        <v>1016</v>
      </c>
      <c r="K180" s="14"/>
      <c r="L180" s="14" t="s">
        <v>1079</v>
      </c>
      <c r="M180" s="14" t="s">
        <v>1017</v>
      </c>
      <c r="N180" s="14" t="s">
        <v>1080</v>
      </c>
    </row>
    <row r="181" spans="1:14" ht="43.5" x14ac:dyDescent="0.35">
      <c r="A181" s="14" t="s">
        <v>52</v>
      </c>
      <c r="B181" s="14" t="s">
        <v>1975</v>
      </c>
      <c r="C181" s="14" t="s">
        <v>1076</v>
      </c>
      <c r="D181" s="14" t="s">
        <v>3210</v>
      </c>
      <c r="E181" s="14" t="s">
        <v>3211</v>
      </c>
      <c r="F181" s="14" t="s">
        <v>3131</v>
      </c>
      <c r="G181" s="14" t="s">
        <v>1014</v>
      </c>
      <c r="H181" s="14" t="s">
        <v>1015</v>
      </c>
      <c r="I181" s="14" t="s">
        <v>1078</v>
      </c>
      <c r="J181" s="14" t="s">
        <v>1016</v>
      </c>
      <c r="K181" s="14"/>
      <c r="L181" s="14" t="s">
        <v>1079</v>
      </c>
      <c r="M181" s="14" t="s">
        <v>1017</v>
      </c>
      <c r="N181" s="14" t="s">
        <v>1080</v>
      </c>
    </row>
    <row r="182" spans="1:14" ht="29" x14ac:dyDescent="0.35">
      <c r="A182" s="14" t="s">
        <v>52</v>
      </c>
      <c r="B182" s="14" t="s">
        <v>1975</v>
      </c>
      <c r="C182" s="14" t="s">
        <v>3005</v>
      </c>
      <c r="D182" s="14" t="s">
        <v>3098</v>
      </c>
      <c r="E182" s="14" t="s">
        <v>3099</v>
      </c>
      <c r="F182" s="14" t="s">
        <v>3212</v>
      </c>
      <c r="G182" s="14" t="s">
        <v>1014</v>
      </c>
      <c r="H182" s="14" t="s">
        <v>1015</v>
      </c>
      <c r="I182" s="14"/>
      <c r="J182" s="14" t="s">
        <v>1016</v>
      </c>
      <c r="K182" s="14"/>
      <c r="L182" s="14" t="s">
        <v>1229</v>
      </c>
      <c r="M182" s="14" t="s">
        <v>1017</v>
      </c>
      <c r="N182" s="14" t="s">
        <v>3007</v>
      </c>
    </row>
    <row r="183" spans="1:14" ht="43.5" x14ac:dyDescent="0.35">
      <c r="A183" s="14" t="s">
        <v>52</v>
      </c>
      <c r="B183" s="14" t="s">
        <v>1982</v>
      </c>
      <c r="C183" s="14" t="s">
        <v>1076</v>
      </c>
      <c r="D183" s="14" t="s">
        <v>3135</v>
      </c>
      <c r="E183" s="14" t="s">
        <v>3136</v>
      </c>
      <c r="F183" s="14" t="s">
        <v>3213</v>
      </c>
      <c r="G183" s="14" t="s">
        <v>1014</v>
      </c>
      <c r="H183" s="14" t="s">
        <v>1015</v>
      </c>
      <c r="I183" s="14"/>
      <c r="J183" s="14" t="s">
        <v>1016</v>
      </c>
      <c r="K183" s="14"/>
      <c r="L183" s="14" t="s">
        <v>1079</v>
      </c>
      <c r="M183" s="14" t="s">
        <v>1017</v>
      </c>
      <c r="N183" s="14" t="s">
        <v>1080</v>
      </c>
    </row>
    <row r="184" spans="1:14" ht="43.5" x14ac:dyDescent="0.35">
      <c r="A184" s="14" t="s">
        <v>52</v>
      </c>
      <c r="B184" s="14" t="s">
        <v>1982</v>
      </c>
      <c r="C184" s="14" t="s">
        <v>1076</v>
      </c>
      <c r="D184" s="14" t="s">
        <v>3142</v>
      </c>
      <c r="E184" s="14" t="s">
        <v>3143</v>
      </c>
      <c r="F184" s="14" t="s">
        <v>3144</v>
      </c>
      <c r="G184" s="14" t="s">
        <v>1014</v>
      </c>
      <c r="H184" s="14" t="s">
        <v>1015</v>
      </c>
      <c r="I184" s="14" t="s">
        <v>1078</v>
      </c>
      <c r="J184" s="14" t="s">
        <v>1016</v>
      </c>
      <c r="K184" s="14"/>
      <c r="L184" s="14" t="s">
        <v>1079</v>
      </c>
      <c r="M184" s="14" t="s">
        <v>1017</v>
      </c>
      <c r="N184" s="14" t="s">
        <v>1080</v>
      </c>
    </row>
    <row r="185" spans="1:14" ht="29" x14ac:dyDescent="0.35">
      <c r="A185" s="14" t="s">
        <v>52</v>
      </c>
      <c r="B185" s="14" t="s">
        <v>1982</v>
      </c>
      <c r="C185" s="14" t="s">
        <v>3005</v>
      </c>
      <c r="D185" s="14" t="s">
        <v>3173</v>
      </c>
      <c r="E185" s="14" t="s">
        <v>3177</v>
      </c>
      <c r="F185" s="14" t="s">
        <v>3214</v>
      </c>
      <c r="G185" s="14" t="s">
        <v>1014</v>
      </c>
      <c r="H185" s="14" t="s">
        <v>1015</v>
      </c>
      <c r="I185" s="14"/>
      <c r="J185" s="14" t="s">
        <v>1016</v>
      </c>
      <c r="K185" s="14"/>
      <c r="L185" s="14" t="s">
        <v>1229</v>
      </c>
      <c r="M185" s="14" t="s">
        <v>1017</v>
      </c>
      <c r="N185" s="14" t="s">
        <v>3007</v>
      </c>
    </row>
    <row r="186" spans="1:14" ht="43.5" x14ac:dyDescent="0.35">
      <c r="A186" s="14" t="s">
        <v>52</v>
      </c>
      <c r="B186" s="14" t="s">
        <v>2021</v>
      </c>
      <c r="C186" s="14" t="s">
        <v>1076</v>
      </c>
      <c r="D186" s="14" t="s">
        <v>2995</v>
      </c>
      <c r="E186" s="14" t="s">
        <v>2997</v>
      </c>
      <c r="F186" s="14" t="s">
        <v>3215</v>
      </c>
      <c r="G186" s="14" t="s">
        <v>1014</v>
      </c>
      <c r="H186" s="14" t="s">
        <v>1015</v>
      </c>
      <c r="I186" s="14"/>
      <c r="J186" s="14" t="s">
        <v>1016</v>
      </c>
      <c r="K186" s="14"/>
      <c r="L186" s="14" t="s">
        <v>1079</v>
      </c>
      <c r="M186" s="14" t="s">
        <v>1017</v>
      </c>
      <c r="N186" s="14" t="s">
        <v>1080</v>
      </c>
    </row>
    <row r="187" spans="1:14" ht="43.5" x14ac:dyDescent="0.35">
      <c r="A187" s="14" t="s">
        <v>52</v>
      </c>
      <c r="B187" s="14" t="s">
        <v>2021</v>
      </c>
      <c r="C187" s="14" t="s">
        <v>1076</v>
      </c>
      <c r="D187" s="14" t="s">
        <v>2841</v>
      </c>
      <c r="E187" s="14" t="s">
        <v>2807</v>
      </c>
      <c r="F187" s="14" t="s">
        <v>3216</v>
      </c>
      <c r="G187" s="14" t="s">
        <v>1014</v>
      </c>
      <c r="H187" s="14" t="s">
        <v>1015</v>
      </c>
      <c r="I187" s="14"/>
      <c r="J187" s="14" t="s">
        <v>1016</v>
      </c>
      <c r="K187" s="14"/>
      <c r="L187" s="14" t="s">
        <v>1079</v>
      </c>
      <c r="M187" s="14" t="s">
        <v>1017</v>
      </c>
      <c r="N187" s="14" t="s">
        <v>1080</v>
      </c>
    </row>
    <row r="188" spans="1:14" ht="43.5" x14ac:dyDescent="0.35">
      <c r="A188" s="14" t="s">
        <v>52</v>
      </c>
      <c r="B188" s="14" t="s">
        <v>2021</v>
      </c>
      <c r="C188" s="14" t="s">
        <v>1076</v>
      </c>
      <c r="D188" s="14" t="s">
        <v>3217</v>
      </c>
      <c r="E188" s="14" t="s">
        <v>2787</v>
      </c>
      <c r="F188" s="14" t="s">
        <v>3218</v>
      </c>
      <c r="G188" s="14" t="s">
        <v>1014</v>
      </c>
      <c r="H188" s="14" t="s">
        <v>1015</v>
      </c>
      <c r="I188" s="14"/>
      <c r="J188" s="14" t="s">
        <v>1016</v>
      </c>
      <c r="K188" s="14"/>
      <c r="L188" s="14" t="s">
        <v>1079</v>
      </c>
      <c r="M188" s="14" t="s">
        <v>1017</v>
      </c>
      <c r="N188" s="14" t="s">
        <v>1080</v>
      </c>
    </row>
    <row r="189" spans="1:14" ht="43.5" x14ac:dyDescent="0.35">
      <c r="A189" s="14" t="s">
        <v>52</v>
      </c>
      <c r="B189" s="14" t="s">
        <v>2021</v>
      </c>
      <c r="C189" s="14" t="s">
        <v>1076</v>
      </c>
      <c r="D189" s="14" t="s">
        <v>3219</v>
      </c>
      <c r="E189" s="14" t="s">
        <v>3151</v>
      </c>
      <c r="F189" s="14" t="s">
        <v>3220</v>
      </c>
      <c r="G189" s="14" t="s">
        <v>1014</v>
      </c>
      <c r="H189" s="14" t="s">
        <v>1015</v>
      </c>
      <c r="I189" s="14"/>
      <c r="J189" s="14" t="s">
        <v>1016</v>
      </c>
      <c r="K189" s="14"/>
      <c r="L189" s="14" t="s">
        <v>1079</v>
      </c>
      <c r="M189" s="14" t="s">
        <v>1017</v>
      </c>
      <c r="N189" s="14" t="s">
        <v>1080</v>
      </c>
    </row>
    <row r="190" spans="1:14" ht="43.5" x14ac:dyDescent="0.35">
      <c r="A190" s="14" t="s">
        <v>52</v>
      </c>
      <c r="B190" s="14" t="s">
        <v>2021</v>
      </c>
      <c r="C190" s="14" t="s">
        <v>1076</v>
      </c>
      <c r="D190" s="14" t="s">
        <v>2788</v>
      </c>
      <c r="E190" s="14" t="s">
        <v>3221</v>
      </c>
      <c r="F190" s="14" t="s">
        <v>3222</v>
      </c>
      <c r="G190" s="14" t="s">
        <v>1014</v>
      </c>
      <c r="H190" s="14" t="s">
        <v>1015</v>
      </c>
      <c r="I190" s="14"/>
      <c r="J190" s="14" t="s">
        <v>1016</v>
      </c>
      <c r="K190" s="14"/>
      <c r="L190" s="14" t="s">
        <v>1079</v>
      </c>
      <c r="M190" s="14" t="s">
        <v>1017</v>
      </c>
      <c r="N190" s="14" t="s">
        <v>1080</v>
      </c>
    </row>
    <row r="191" spans="1:14" ht="43.5" x14ac:dyDescent="0.35">
      <c r="A191" s="14" t="s">
        <v>52</v>
      </c>
      <c r="B191" s="14" t="s">
        <v>2021</v>
      </c>
      <c r="C191" s="14" t="s">
        <v>1076</v>
      </c>
      <c r="D191" s="14" t="s">
        <v>3182</v>
      </c>
      <c r="E191" s="14" t="s">
        <v>3206</v>
      </c>
      <c r="F191" s="14" t="s">
        <v>3223</v>
      </c>
      <c r="G191" s="14" t="s">
        <v>1014</v>
      </c>
      <c r="H191" s="14" t="s">
        <v>1015</v>
      </c>
      <c r="I191" s="14"/>
      <c r="J191" s="14" t="s">
        <v>1016</v>
      </c>
      <c r="K191" s="14"/>
      <c r="L191" s="14" t="s">
        <v>1079</v>
      </c>
      <c r="M191" s="14" t="s">
        <v>1017</v>
      </c>
      <c r="N191" s="14" t="s">
        <v>1080</v>
      </c>
    </row>
    <row r="192" spans="1:14" ht="43.5" x14ac:dyDescent="0.35">
      <c r="A192" s="14" t="s">
        <v>52</v>
      </c>
      <c r="B192" s="14" t="s">
        <v>2021</v>
      </c>
      <c r="C192" s="14" t="s">
        <v>1076</v>
      </c>
      <c r="D192" s="14" t="s">
        <v>3224</v>
      </c>
      <c r="E192" s="14" t="s">
        <v>3225</v>
      </c>
      <c r="F192" s="14" t="s">
        <v>3226</v>
      </c>
      <c r="G192" s="14" t="s">
        <v>1014</v>
      </c>
      <c r="H192" s="14" t="s">
        <v>1015</v>
      </c>
      <c r="I192" s="14"/>
      <c r="J192" s="14" t="s">
        <v>1016</v>
      </c>
      <c r="K192" s="14"/>
      <c r="L192" s="14" t="s">
        <v>1079</v>
      </c>
      <c r="M192" s="14" t="s">
        <v>1017</v>
      </c>
      <c r="N192" s="14" t="s">
        <v>1080</v>
      </c>
    </row>
    <row r="193" spans="1:14" ht="43.5" x14ac:dyDescent="0.35">
      <c r="A193" s="14" t="s">
        <v>52</v>
      </c>
      <c r="B193" s="14" t="s">
        <v>2021</v>
      </c>
      <c r="C193" s="14" t="s">
        <v>1076</v>
      </c>
      <c r="D193" s="14" t="s">
        <v>3227</v>
      </c>
      <c r="E193" s="14" t="s">
        <v>3228</v>
      </c>
      <c r="F193" s="14" t="s">
        <v>3229</v>
      </c>
      <c r="G193" s="14" t="s">
        <v>1014</v>
      </c>
      <c r="H193" s="14" t="s">
        <v>1015</v>
      </c>
      <c r="I193" s="14" t="s">
        <v>1078</v>
      </c>
      <c r="J193" s="14" t="s">
        <v>1016</v>
      </c>
      <c r="K193" s="14"/>
      <c r="L193" s="14" t="s">
        <v>1079</v>
      </c>
      <c r="M193" s="14" t="s">
        <v>1017</v>
      </c>
      <c r="N193" s="14" t="s">
        <v>1080</v>
      </c>
    </row>
    <row r="194" spans="1:14" ht="43.5" x14ac:dyDescent="0.35">
      <c r="A194" s="14" t="s">
        <v>52</v>
      </c>
      <c r="B194" s="14" t="s">
        <v>2021</v>
      </c>
      <c r="C194" s="14" t="s">
        <v>1076</v>
      </c>
      <c r="D194" s="14" t="s">
        <v>3230</v>
      </c>
      <c r="E194" s="14" t="s">
        <v>3231</v>
      </c>
      <c r="F194" s="14" t="s">
        <v>3232</v>
      </c>
      <c r="G194" s="14" t="s">
        <v>1014</v>
      </c>
      <c r="H194" s="14" t="s">
        <v>1015</v>
      </c>
      <c r="I194" s="14" t="s">
        <v>1078</v>
      </c>
      <c r="J194" s="14" t="s">
        <v>1016</v>
      </c>
      <c r="K194" s="14"/>
      <c r="L194" s="14" t="s">
        <v>1079</v>
      </c>
      <c r="M194" s="14" t="s">
        <v>1017</v>
      </c>
      <c r="N194" s="14" t="s">
        <v>1080</v>
      </c>
    </row>
    <row r="195" spans="1:14" ht="43.5" x14ac:dyDescent="0.35">
      <c r="A195" s="14" t="s">
        <v>52</v>
      </c>
      <c r="B195" s="14" t="s">
        <v>2021</v>
      </c>
      <c r="C195" s="14" t="s">
        <v>1076</v>
      </c>
      <c r="D195" s="14" t="s">
        <v>2780</v>
      </c>
      <c r="E195" s="14" t="s">
        <v>3233</v>
      </c>
      <c r="F195" s="14" t="s">
        <v>3234</v>
      </c>
      <c r="G195" s="14" t="s">
        <v>1014</v>
      </c>
      <c r="H195" s="14" t="s">
        <v>1015</v>
      </c>
      <c r="I195" s="14" t="s">
        <v>1078</v>
      </c>
      <c r="J195" s="14" t="s">
        <v>1016</v>
      </c>
      <c r="K195" s="14"/>
      <c r="L195" s="14" t="s">
        <v>1079</v>
      </c>
      <c r="M195" s="14" t="s">
        <v>1017</v>
      </c>
      <c r="N195" s="14" t="s">
        <v>1080</v>
      </c>
    </row>
    <row r="196" spans="1:14" ht="43.5" x14ac:dyDescent="0.35">
      <c r="A196" s="14" t="s">
        <v>52</v>
      </c>
      <c r="B196" s="14" t="s">
        <v>2036</v>
      </c>
      <c r="C196" s="14" t="s">
        <v>1076</v>
      </c>
      <c r="D196" s="14" t="s">
        <v>2953</v>
      </c>
      <c r="E196" s="14" t="s">
        <v>3235</v>
      </c>
      <c r="F196" s="14" t="s">
        <v>2989</v>
      </c>
      <c r="G196" s="14" t="s">
        <v>1014</v>
      </c>
      <c r="H196" s="14" t="s">
        <v>1015</v>
      </c>
      <c r="I196" s="14" t="s">
        <v>2829</v>
      </c>
      <c r="J196" s="14" t="s">
        <v>1016</v>
      </c>
      <c r="K196" s="14"/>
      <c r="L196" s="14" t="s">
        <v>1079</v>
      </c>
      <c r="M196" s="14" t="s">
        <v>1017</v>
      </c>
      <c r="N196" s="14" t="s">
        <v>1080</v>
      </c>
    </row>
    <row r="197" spans="1:14" ht="43.5" x14ac:dyDescent="0.35">
      <c r="A197" s="14" t="s">
        <v>52</v>
      </c>
      <c r="B197" s="14" t="s">
        <v>2036</v>
      </c>
      <c r="C197" s="14" t="s">
        <v>1076</v>
      </c>
      <c r="D197" s="14" t="s">
        <v>3125</v>
      </c>
      <c r="E197" s="14" t="s">
        <v>3236</v>
      </c>
      <c r="F197" s="14" t="s">
        <v>2992</v>
      </c>
      <c r="G197" s="14" t="s">
        <v>1014</v>
      </c>
      <c r="H197" s="14" t="s">
        <v>1015</v>
      </c>
      <c r="I197" s="14" t="s">
        <v>1078</v>
      </c>
      <c r="J197" s="14" t="s">
        <v>1016</v>
      </c>
      <c r="K197" s="14"/>
      <c r="L197" s="14" t="s">
        <v>1079</v>
      </c>
      <c r="M197" s="14" t="s">
        <v>1017</v>
      </c>
      <c r="N197" s="14" t="s">
        <v>1080</v>
      </c>
    </row>
    <row r="198" spans="1:14" ht="29" x14ac:dyDescent="0.35">
      <c r="A198" s="14" t="s">
        <v>52</v>
      </c>
      <c r="B198" s="14" t="s">
        <v>2036</v>
      </c>
      <c r="C198" s="14" t="s">
        <v>3005</v>
      </c>
      <c r="D198" s="14" t="s">
        <v>3237</v>
      </c>
      <c r="E198" s="14" t="s">
        <v>3238</v>
      </c>
      <c r="F198" s="14" t="s">
        <v>3239</v>
      </c>
      <c r="G198" s="14" t="s">
        <v>1014</v>
      </c>
      <c r="H198" s="14" t="s">
        <v>1015</v>
      </c>
      <c r="I198" s="14"/>
      <c r="J198" s="14" t="s">
        <v>1016</v>
      </c>
      <c r="K198" s="14"/>
      <c r="L198" s="14" t="s">
        <v>1229</v>
      </c>
      <c r="M198" s="14" t="s">
        <v>1017</v>
      </c>
      <c r="N198" s="14" t="s">
        <v>3007</v>
      </c>
    </row>
    <row r="199" spans="1:14" ht="29" x14ac:dyDescent="0.35">
      <c r="A199" s="14" t="s">
        <v>52</v>
      </c>
      <c r="B199" s="14" t="s">
        <v>2036</v>
      </c>
      <c r="C199" s="14" t="s">
        <v>2825</v>
      </c>
      <c r="D199" s="14" t="s">
        <v>3240</v>
      </c>
      <c r="E199" s="14" t="s">
        <v>3095</v>
      </c>
      <c r="F199" s="14" t="s">
        <v>3241</v>
      </c>
      <c r="G199" s="14" t="s">
        <v>1014</v>
      </c>
      <c r="H199" s="14" t="s">
        <v>1015</v>
      </c>
      <c r="I199" s="14"/>
      <c r="J199" s="14" t="s">
        <v>1016</v>
      </c>
      <c r="K199" s="14"/>
      <c r="L199" s="14" t="s">
        <v>2830</v>
      </c>
      <c r="M199" s="14" t="s">
        <v>1017</v>
      </c>
      <c r="N199" s="14" t="s">
        <v>2831</v>
      </c>
    </row>
    <row r="200" spans="1:14" ht="43.5" x14ac:dyDescent="0.35">
      <c r="A200" s="14" t="s">
        <v>52</v>
      </c>
      <c r="B200" s="14" t="s">
        <v>2069</v>
      </c>
      <c r="C200" s="14" t="s">
        <v>1076</v>
      </c>
      <c r="D200" s="14" t="s">
        <v>3096</v>
      </c>
      <c r="E200" s="14" t="s">
        <v>3242</v>
      </c>
      <c r="F200" s="14" t="s">
        <v>3243</v>
      </c>
      <c r="G200" s="14" t="s">
        <v>1014</v>
      </c>
      <c r="H200" s="14" t="s">
        <v>1015</v>
      </c>
      <c r="I200" s="14" t="s">
        <v>1078</v>
      </c>
      <c r="J200" s="14" t="s">
        <v>1016</v>
      </c>
      <c r="K200" s="14"/>
      <c r="L200" s="14" t="s">
        <v>1079</v>
      </c>
      <c r="M200" s="14" t="s">
        <v>1017</v>
      </c>
      <c r="N200" s="14" t="s">
        <v>1080</v>
      </c>
    </row>
    <row r="201" spans="1:14" ht="43.5" x14ac:dyDescent="0.35">
      <c r="A201" s="14" t="s">
        <v>52</v>
      </c>
      <c r="B201" s="14" t="s">
        <v>2069</v>
      </c>
      <c r="C201" s="14" t="s">
        <v>1076</v>
      </c>
      <c r="D201" s="14" t="s">
        <v>3244</v>
      </c>
      <c r="E201" s="14" t="s">
        <v>3245</v>
      </c>
      <c r="F201" s="14" t="s">
        <v>3246</v>
      </c>
      <c r="G201" s="14" t="s">
        <v>1014</v>
      </c>
      <c r="H201" s="14" t="s">
        <v>1015</v>
      </c>
      <c r="I201" s="14" t="s">
        <v>1078</v>
      </c>
      <c r="J201" s="14" t="s">
        <v>1016</v>
      </c>
      <c r="K201" s="14"/>
      <c r="L201" s="14" t="s">
        <v>1079</v>
      </c>
      <c r="M201" s="14" t="s">
        <v>1017</v>
      </c>
      <c r="N201" s="14" t="s">
        <v>1080</v>
      </c>
    </row>
    <row r="202" spans="1:14" ht="43.5" x14ac:dyDescent="0.35">
      <c r="A202" s="14" t="s">
        <v>52</v>
      </c>
      <c r="B202" s="14" t="s">
        <v>2069</v>
      </c>
      <c r="C202" s="14" t="s">
        <v>1076</v>
      </c>
      <c r="D202" s="14" t="s">
        <v>3247</v>
      </c>
      <c r="E202" s="14" t="s">
        <v>3248</v>
      </c>
      <c r="F202" s="14" t="s">
        <v>3249</v>
      </c>
      <c r="G202" s="14" t="s">
        <v>1014</v>
      </c>
      <c r="H202" s="14" t="s">
        <v>1015</v>
      </c>
      <c r="I202" s="14"/>
      <c r="J202" s="14" t="s">
        <v>1016</v>
      </c>
      <c r="K202" s="14"/>
      <c r="L202" s="14" t="s">
        <v>1079</v>
      </c>
      <c r="M202" s="14" t="s">
        <v>1017</v>
      </c>
      <c r="N202" s="14" t="s">
        <v>1080</v>
      </c>
    </row>
    <row r="203" spans="1:14" ht="43.5" x14ac:dyDescent="0.35">
      <c r="A203" s="14" t="s">
        <v>52</v>
      </c>
      <c r="B203" s="14" t="s">
        <v>2069</v>
      </c>
      <c r="C203" s="14" t="s">
        <v>1076</v>
      </c>
      <c r="D203" s="14" t="s">
        <v>3250</v>
      </c>
      <c r="E203" s="14" t="s">
        <v>3251</v>
      </c>
      <c r="F203" s="14" t="s">
        <v>3252</v>
      </c>
      <c r="G203" s="14" t="s">
        <v>1014</v>
      </c>
      <c r="H203" s="14" t="s">
        <v>1015</v>
      </c>
      <c r="I203" s="14" t="s">
        <v>3253</v>
      </c>
      <c r="J203" s="14" t="s">
        <v>1016</v>
      </c>
      <c r="K203" s="14"/>
      <c r="L203" s="14" t="s">
        <v>1079</v>
      </c>
      <c r="M203" s="14" t="s">
        <v>1017</v>
      </c>
      <c r="N203" s="14" t="s">
        <v>1080</v>
      </c>
    </row>
    <row r="204" spans="1:14" ht="43.5" x14ac:dyDescent="0.35">
      <c r="A204" s="14" t="s">
        <v>52</v>
      </c>
      <c r="B204" s="14" t="s">
        <v>2069</v>
      </c>
      <c r="C204" s="14" t="s">
        <v>1076</v>
      </c>
      <c r="D204" s="14" t="s">
        <v>3198</v>
      </c>
      <c r="E204" s="14" t="s">
        <v>3254</v>
      </c>
      <c r="F204" s="14" t="s">
        <v>3255</v>
      </c>
      <c r="G204" s="14" t="s">
        <v>1014</v>
      </c>
      <c r="H204" s="14" t="s">
        <v>1015</v>
      </c>
      <c r="I204" s="14"/>
      <c r="J204" s="14" t="s">
        <v>1016</v>
      </c>
      <c r="K204" s="14"/>
      <c r="L204" s="14" t="s">
        <v>1079</v>
      </c>
      <c r="M204" s="14" t="s">
        <v>1017</v>
      </c>
      <c r="N204" s="14" t="s">
        <v>1080</v>
      </c>
    </row>
    <row r="205" spans="1:14" ht="43.5" x14ac:dyDescent="0.35">
      <c r="A205" s="14" t="s">
        <v>52</v>
      </c>
      <c r="B205" s="14" t="s">
        <v>2090</v>
      </c>
      <c r="C205" s="14" t="s">
        <v>1076</v>
      </c>
      <c r="D205" s="14" t="s">
        <v>2946</v>
      </c>
      <c r="E205" s="14" t="s">
        <v>2947</v>
      </c>
      <c r="F205" s="14" t="s">
        <v>2948</v>
      </c>
      <c r="G205" s="14" t="s">
        <v>1014</v>
      </c>
      <c r="H205" s="14" t="s">
        <v>1015</v>
      </c>
      <c r="I205" s="14" t="s">
        <v>1078</v>
      </c>
      <c r="J205" s="14" t="s">
        <v>1016</v>
      </c>
      <c r="K205" s="14"/>
      <c r="L205" s="14" t="s">
        <v>1079</v>
      </c>
      <c r="M205" s="14" t="s">
        <v>1017</v>
      </c>
      <c r="N205" s="14" t="s">
        <v>1080</v>
      </c>
    </row>
    <row r="206" spans="1:14" ht="43.5" x14ac:dyDescent="0.35">
      <c r="A206" s="14" t="s">
        <v>52</v>
      </c>
      <c r="B206" s="14" t="s">
        <v>2090</v>
      </c>
      <c r="C206" s="14" t="s">
        <v>1076</v>
      </c>
      <c r="D206" s="14" t="s">
        <v>2949</v>
      </c>
      <c r="E206" s="14" t="s">
        <v>2950</v>
      </c>
      <c r="F206" s="14" t="s">
        <v>2951</v>
      </c>
      <c r="G206" s="14" t="s">
        <v>1014</v>
      </c>
      <c r="H206" s="14" t="s">
        <v>1015</v>
      </c>
      <c r="I206" s="14" t="s">
        <v>1078</v>
      </c>
      <c r="J206" s="14" t="s">
        <v>1016</v>
      </c>
      <c r="K206" s="14"/>
      <c r="L206" s="14" t="s">
        <v>1079</v>
      </c>
      <c r="M206" s="14" t="s">
        <v>1017</v>
      </c>
      <c r="N206" s="14" t="s">
        <v>1080</v>
      </c>
    </row>
    <row r="207" spans="1:14" ht="43.5" x14ac:dyDescent="0.35">
      <c r="A207" s="14" t="s">
        <v>52</v>
      </c>
      <c r="B207" s="14" t="s">
        <v>2090</v>
      </c>
      <c r="C207" s="14" t="s">
        <v>1076</v>
      </c>
      <c r="D207" s="14" t="s">
        <v>2952</v>
      </c>
      <c r="E207" s="14" t="s">
        <v>2953</v>
      </c>
      <c r="F207" s="14" t="s">
        <v>2954</v>
      </c>
      <c r="G207" s="14" t="s">
        <v>1014</v>
      </c>
      <c r="H207" s="14" t="s">
        <v>1015</v>
      </c>
      <c r="I207" s="14" t="s">
        <v>1078</v>
      </c>
      <c r="J207" s="14" t="s">
        <v>1016</v>
      </c>
      <c r="K207" s="14"/>
      <c r="L207" s="14" t="s">
        <v>1079</v>
      </c>
      <c r="M207" s="14" t="s">
        <v>1017</v>
      </c>
      <c r="N207" s="14" t="s">
        <v>1080</v>
      </c>
    </row>
    <row r="208" spans="1:14" ht="43.5" x14ac:dyDescent="0.35">
      <c r="A208" s="14" t="s">
        <v>52</v>
      </c>
      <c r="B208" s="14" t="s">
        <v>2098</v>
      </c>
      <c r="C208" s="14" t="s">
        <v>1076</v>
      </c>
      <c r="D208" s="14" t="s">
        <v>3256</v>
      </c>
      <c r="E208" s="14" t="s">
        <v>3257</v>
      </c>
      <c r="F208" s="14" t="s">
        <v>3258</v>
      </c>
      <c r="G208" s="14" t="s">
        <v>1014</v>
      </c>
      <c r="H208" s="14" t="s">
        <v>1015</v>
      </c>
      <c r="I208" s="14" t="s">
        <v>1078</v>
      </c>
      <c r="J208" s="14" t="s">
        <v>1016</v>
      </c>
      <c r="K208" s="14"/>
      <c r="L208" s="14" t="s">
        <v>1079</v>
      </c>
      <c r="M208" s="14" t="s">
        <v>1017</v>
      </c>
      <c r="N208" s="14" t="s">
        <v>1080</v>
      </c>
    </row>
    <row r="209" spans="1:14" ht="43.5" x14ac:dyDescent="0.35">
      <c r="A209" s="14" t="s">
        <v>52</v>
      </c>
      <c r="B209" s="14" t="s">
        <v>2098</v>
      </c>
      <c r="C209" s="14" t="s">
        <v>1076</v>
      </c>
      <c r="D209" s="14" t="s">
        <v>3105</v>
      </c>
      <c r="E209" s="14" t="s">
        <v>3259</v>
      </c>
      <c r="F209" s="14" t="s">
        <v>3260</v>
      </c>
      <c r="G209" s="14" t="s">
        <v>1014</v>
      </c>
      <c r="H209" s="14" t="s">
        <v>1015</v>
      </c>
      <c r="I209" s="14" t="s">
        <v>1078</v>
      </c>
      <c r="J209" s="14" t="s">
        <v>1016</v>
      </c>
      <c r="K209" s="14"/>
      <c r="L209" s="14" t="s">
        <v>1079</v>
      </c>
      <c r="M209" s="14" t="s">
        <v>1017</v>
      </c>
      <c r="N209" s="14" t="s">
        <v>1080</v>
      </c>
    </row>
    <row r="210" spans="1:14" ht="43.5" x14ac:dyDescent="0.35">
      <c r="A210" s="14" t="s">
        <v>52</v>
      </c>
      <c r="B210" s="14" t="s">
        <v>2102</v>
      </c>
      <c r="C210" s="14" t="s">
        <v>1076</v>
      </c>
      <c r="D210" s="14" t="s">
        <v>3261</v>
      </c>
      <c r="E210" s="14" t="s">
        <v>3262</v>
      </c>
      <c r="F210" s="14" t="s">
        <v>2892</v>
      </c>
      <c r="G210" s="14" t="s">
        <v>1014</v>
      </c>
      <c r="H210" s="14" t="s">
        <v>1015</v>
      </c>
      <c r="I210" s="14" t="s">
        <v>1078</v>
      </c>
      <c r="J210" s="14" t="s">
        <v>1016</v>
      </c>
      <c r="K210" s="14"/>
      <c r="L210" s="14" t="s">
        <v>1079</v>
      </c>
      <c r="M210" s="14" t="s">
        <v>1017</v>
      </c>
      <c r="N210" s="14" t="s">
        <v>1080</v>
      </c>
    </row>
    <row r="211" spans="1:14" ht="43.5" x14ac:dyDescent="0.35">
      <c r="A211" s="14" t="s">
        <v>52</v>
      </c>
      <c r="B211" s="14" t="s">
        <v>2102</v>
      </c>
      <c r="C211" s="14" t="s">
        <v>1076</v>
      </c>
      <c r="D211" s="14" t="s">
        <v>3014</v>
      </c>
      <c r="E211" s="14" t="s">
        <v>3015</v>
      </c>
      <c r="F211" s="14" t="s">
        <v>2895</v>
      </c>
      <c r="G211" s="14" t="s">
        <v>1014</v>
      </c>
      <c r="H211" s="14" t="s">
        <v>1015</v>
      </c>
      <c r="I211" s="14"/>
      <c r="J211" s="14" t="s">
        <v>1016</v>
      </c>
      <c r="K211" s="14"/>
      <c r="L211" s="14" t="s">
        <v>1079</v>
      </c>
      <c r="M211" s="14" t="s">
        <v>1017</v>
      </c>
      <c r="N211" s="14" t="s">
        <v>1080</v>
      </c>
    </row>
    <row r="212" spans="1:14" ht="43.5" x14ac:dyDescent="0.35">
      <c r="A212" s="14" t="s">
        <v>52</v>
      </c>
      <c r="B212" s="14" t="s">
        <v>2124</v>
      </c>
      <c r="C212" s="14" t="s">
        <v>1076</v>
      </c>
      <c r="D212" s="14" t="s">
        <v>2955</v>
      </c>
      <c r="E212" s="14" t="s">
        <v>3062</v>
      </c>
      <c r="F212" s="14" t="s">
        <v>3263</v>
      </c>
      <c r="G212" s="14" t="s">
        <v>1014</v>
      </c>
      <c r="H212" s="14" t="s">
        <v>1015</v>
      </c>
      <c r="I212" s="14"/>
      <c r="J212" s="14" t="s">
        <v>1016</v>
      </c>
      <c r="K212" s="14"/>
      <c r="L212" s="14" t="s">
        <v>1079</v>
      </c>
      <c r="M212" s="14" t="s">
        <v>1017</v>
      </c>
      <c r="N212" s="14" t="s">
        <v>1080</v>
      </c>
    </row>
    <row r="213" spans="1:14" ht="43.5" x14ac:dyDescent="0.35">
      <c r="A213" s="14" t="s">
        <v>52</v>
      </c>
      <c r="B213" s="14" t="s">
        <v>2124</v>
      </c>
      <c r="C213" s="14" t="s">
        <v>1076</v>
      </c>
      <c r="D213" s="14" t="s">
        <v>3264</v>
      </c>
      <c r="E213" s="14" t="s">
        <v>3265</v>
      </c>
      <c r="F213" s="14" t="s">
        <v>3066</v>
      </c>
      <c r="G213" s="14" t="s">
        <v>1014</v>
      </c>
      <c r="H213" s="14" t="s">
        <v>1015</v>
      </c>
      <c r="I213" s="14"/>
      <c r="J213" s="14" t="s">
        <v>1016</v>
      </c>
      <c r="K213" s="14"/>
      <c r="L213" s="14" t="s">
        <v>1079</v>
      </c>
      <c r="M213" s="14" t="s">
        <v>1017</v>
      </c>
      <c r="N213" s="14" t="s">
        <v>1080</v>
      </c>
    </row>
    <row r="214" spans="1:14" ht="43.5" x14ac:dyDescent="0.35">
      <c r="A214" s="14" t="s">
        <v>52</v>
      </c>
      <c r="B214" s="14" t="s">
        <v>2124</v>
      </c>
      <c r="C214" s="14" t="s">
        <v>1076</v>
      </c>
      <c r="D214" s="14" t="s">
        <v>2771</v>
      </c>
      <c r="E214" s="14" t="s">
        <v>3266</v>
      </c>
      <c r="F214" s="14" t="s">
        <v>3069</v>
      </c>
      <c r="G214" s="14" t="s">
        <v>1014</v>
      </c>
      <c r="H214" s="14" t="s">
        <v>1015</v>
      </c>
      <c r="I214" s="14" t="s">
        <v>1078</v>
      </c>
      <c r="J214" s="14" t="s">
        <v>1016</v>
      </c>
      <c r="K214" s="14"/>
      <c r="L214" s="14" t="s">
        <v>1079</v>
      </c>
      <c r="M214" s="14" t="s">
        <v>1017</v>
      </c>
      <c r="N214" s="14" t="s">
        <v>1080</v>
      </c>
    </row>
    <row r="215" spans="1:14" ht="43.5" x14ac:dyDescent="0.35">
      <c r="A215" s="14" t="s">
        <v>52</v>
      </c>
      <c r="B215" s="14" t="s">
        <v>2124</v>
      </c>
      <c r="C215" s="14" t="s">
        <v>1076</v>
      </c>
      <c r="D215" s="14" t="s">
        <v>3032</v>
      </c>
      <c r="E215" s="14" t="s">
        <v>3267</v>
      </c>
      <c r="F215" s="14" t="s">
        <v>3071</v>
      </c>
      <c r="G215" s="14" t="s">
        <v>1014</v>
      </c>
      <c r="H215" s="14" t="s">
        <v>1015</v>
      </c>
      <c r="I215" s="14" t="s">
        <v>54</v>
      </c>
      <c r="J215" s="14" t="s">
        <v>1016</v>
      </c>
      <c r="K215" s="14"/>
      <c r="L215" s="14" t="s">
        <v>1079</v>
      </c>
      <c r="M215" s="14" t="s">
        <v>1017</v>
      </c>
      <c r="N215" s="14" t="s">
        <v>1080</v>
      </c>
    </row>
    <row r="216" spans="1:14" ht="43.5" x14ac:dyDescent="0.35">
      <c r="A216" s="14" t="s">
        <v>52</v>
      </c>
      <c r="B216" s="14" t="s">
        <v>2124</v>
      </c>
      <c r="C216" s="14" t="s">
        <v>1076</v>
      </c>
      <c r="D216" s="14" t="s">
        <v>3059</v>
      </c>
      <c r="E216" s="14" t="s">
        <v>3268</v>
      </c>
      <c r="F216" s="14" t="s">
        <v>2983</v>
      </c>
      <c r="G216" s="14" t="s">
        <v>1014</v>
      </c>
      <c r="H216" s="14" t="s">
        <v>1015</v>
      </c>
      <c r="I216" s="14" t="s">
        <v>54</v>
      </c>
      <c r="J216" s="14" t="s">
        <v>1016</v>
      </c>
      <c r="K216" s="14"/>
      <c r="L216" s="14" t="s">
        <v>1079</v>
      </c>
      <c r="M216" s="14" t="s">
        <v>1017</v>
      </c>
      <c r="N216" s="14" t="s">
        <v>1080</v>
      </c>
    </row>
    <row r="217" spans="1:14" ht="43.5" x14ac:dyDescent="0.35">
      <c r="A217" s="14" t="s">
        <v>52</v>
      </c>
      <c r="B217" s="14" t="s">
        <v>2124</v>
      </c>
      <c r="C217" s="14" t="s">
        <v>1076</v>
      </c>
      <c r="D217" s="14" t="s">
        <v>3225</v>
      </c>
      <c r="E217" s="14" t="s">
        <v>3269</v>
      </c>
      <c r="F217" s="14" t="s">
        <v>3076</v>
      </c>
      <c r="G217" s="14" t="s">
        <v>1014</v>
      </c>
      <c r="H217" s="14" t="s">
        <v>1015</v>
      </c>
      <c r="I217" s="14" t="s">
        <v>54</v>
      </c>
      <c r="J217" s="14" t="s">
        <v>1016</v>
      </c>
      <c r="K217" s="14"/>
      <c r="L217" s="14" t="s">
        <v>1079</v>
      </c>
      <c r="M217" s="14" t="s">
        <v>1017</v>
      </c>
      <c r="N217" s="14" t="s">
        <v>1080</v>
      </c>
    </row>
    <row r="218" spans="1:14" ht="43.5" x14ac:dyDescent="0.35">
      <c r="A218" s="14" t="s">
        <v>52</v>
      </c>
      <c r="B218" s="14" t="s">
        <v>2193</v>
      </c>
      <c r="C218" s="14" t="s">
        <v>1076</v>
      </c>
      <c r="D218" s="14" t="s">
        <v>2914</v>
      </c>
      <c r="E218" s="14" t="s">
        <v>2915</v>
      </c>
      <c r="F218" s="14" t="s">
        <v>2916</v>
      </c>
      <c r="G218" s="14" t="s">
        <v>1014</v>
      </c>
      <c r="H218" s="14" t="s">
        <v>1015</v>
      </c>
      <c r="I218" s="14"/>
      <c r="J218" s="14" t="s">
        <v>1016</v>
      </c>
      <c r="K218" s="14"/>
      <c r="L218" s="14" t="s">
        <v>1079</v>
      </c>
      <c r="M218" s="14" t="s">
        <v>1017</v>
      </c>
      <c r="N218" s="14" t="s">
        <v>1080</v>
      </c>
    </row>
    <row r="219" spans="1:14" ht="43.5" x14ac:dyDescent="0.35">
      <c r="A219" s="14" t="s">
        <v>52</v>
      </c>
      <c r="B219" s="14" t="s">
        <v>2193</v>
      </c>
      <c r="C219" s="14" t="s">
        <v>1076</v>
      </c>
      <c r="D219" s="14" t="s">
        <v>2917</v>
      </c>
      <c r="E219" s="14" t="s">
        <v>3270</v>
      </c>
      <c r="F219" s="14" t="s">
        <v>3271</v>
      </c>
      <c r="G219" s="14" t="s">
        <v>1014</v>
      </c>
      <c r="H219" s="14" t="s">
        <v>1015</v>
      </c>
      <c r="I219" s="14"/>
      <c r="J219" s="14" t="s">
        <v>1016</v>
      </c>
      <c r="K219" s="14"/>
      <c r="L219" s="14" t="s">
        <v>1079</v>
      </c>
      <c r="M219" s="14" t="s">
        <v>1017</v>
      </c>
      <c r="N219" s="14" t="s">
        <v>1080</v>
      </c>
    </row>
    <row r="220" spans="1:14" ht="43.5" x14ac:dyDescent="0.35">
      <c r="A220" s="14" t="s">
        <v>52</v>
      </c>
      <c r="B220" s="14" t="s">
        <v>2193</v>
      </c>
      <c r="C220" s="14" t="s">
        <v>1076</v>
      </c>
      <c r="D220" s="14" t="s">
        <v>2920</v>
      </c>
      <c r="E220" s="14" t="s">
        <v>2768</v>
      </c>
      <c r="F220" s="14" t="s">
        <v>2921</v>
      </c>
      <c r="G220" s="14" t="s">
        <v>1014</v>
      </c>
      <c r="H220" s="14" t="s">
        <v>1015</v>
      </c>
      <c r="I220" s="14"/>
      <c r="J220" s="14" t="s">
        <v>1016</v>
      </c>
      <c r="K220" s="14"/>
      <c r="L220" s="14" t="s">
        <v>1079</v>
      </c>
      <c r="M220" s="14" t="s">
        <v>1017</v>
      </c>
      <c r="N220" s="14" t="s">
        <v>1080</v>
      </c>
    </row>
    <row r="221" spans="1:14" ht="43.5" x14ac:dyDescent="0.35">
      <c r="A221" s="14" t="s">
        <v>52</v>
      </c>
      <c r="B221" s="14" t="s">
        <v>2193</v>
      </c>
      <c r="C221" s="14" t="s">
        <v>1076</v>
      </c>
      <c r="D221" s="14" t="s">
        <v>3110</v>
      </c>
      <c r="E221" s="14" t="s">
        <v>3272</v>
      </c>
      <c r="F221" s="14" t="s">
        <v>2924</v>
      </c>
      <c r="G221" s="14" t="s">
        <v>1014</v>
      </c>
      <c r="H221" s="14" t="s">
        <v>1015</v>
      </c>
      <c r="I221" s="14" t="s">
        <v>1078</v>
      </c>
      <c r="J221" s="14" t="s">
        <v>1016</v>
      </c>
      <c r="K221" s="14"/>
      <c r="L221" s="14" t="s">
        <v>1079</v>
      </c>
      <c r="M221" s="14" t="s">
        <v>1017</v>
      </c>
      <c r="N221" s="14" t="s">
        <v>1080</v>
      </c>
    </row>
    <row r="222" spans="1:14" ht="43.5" x14ac:dyDescent="0.35">
      <c r="A222" s="14" t="s">
        <v>52</v>
      </c>
      <c r="B222" s="14" t="s">
        <v>2193</v>
      </c>
      <c r="C222" s="14" t="s">
        <v>1076</v>
      </c>
      <c r="D222" s="14" t="s">
        <v>2906</v>
      </c>
      <c r="E222" s="14" t="s">
        <v>3193</v>
      </c>
      <c r="F222" s="14" t="s">
        <v>2927</v>
      </c>
      <c r="G222" s="14" t="s">
        <v>1014</v>
      </c>
      <c r="H222" s="14" t="s">
        <v>1015</v>
      </c>
      <c r="I222" s="14" t="s">
        <v>1078</v>
      </c>
      <c r="J222" s="14" t="s">
        <v>1016</v>
      </c>
      <c r="K222" s="14"/>
      <c r="L222" s="14" t="s">
        <v>1079</v>
      </c>
      <c r="M222" s="14" t="s">
        <v>1017</v>
      </c>
      <c r="N222" s="14" t="s">
        <v>1080</v>
      </c>
    </row>
    <row r="223" spans="1:14" ht="43.5" x14ac:dyDescent="0.35">
      <c r="A223" s="14" t="s">
        <v>52</v>
      </c>
      <c r="B223" s="14" t="s">
        <v>2193</v>
      </c>
      <c r="C223" s="14" t="s">
        <v>1076</v>
      </c>
      <c r="D223" s="14" t="s">
        <v>3273</v>
      </c>
      <c r="E223" s="14" t="s">
        <v>3274</v>
      </c>
      <c r="F223" s="14" t="s">
        <v>3275</v>
      </c>
      <c r="G223" s="14" t="s">
        <v>1014</v>
      </c>
      <c r="H223" s="14" t="s">
        <v>1015</v>
      </c>
      <c r="I223" s="14" t="s">
        <v>1078</v>
      </c>
      <c r="J223" s="14" t="s">
        <v>1016</v>
      </c>
      <c r="K223" s="14"/>
      <c r="L223" s="14" t="s">
        <v>1079</v>
      </c>
      <c r="M223" s="14" t="s">
        <v>1017</v>
      </c>
      <c r="N223" s="14" t="s">
        <v>1080</v>
      </c>
    </row>
    <row r="224" spans="1:14" ht="43.5" x14ac:dyDescent="0.35">
      <c r="A224" s="14" t="s">
        <v>52</v>
      </c>
      <c r="B224" s="14" t="s">
        <v>2193</v>
      </c>
      <c r="C224" s="14" t="s">
        <v>1076</v>
      </c>
      <c r="D224" s="14" t="s">
        <v>3276</v>
      </c>
      <c r="E224" s="14" t="s">
        <v>3277</v>
      </c>
      <c r="F224" s="14" t="s">
        <v>3278</v>
      </c>
      <c r="G224" s="14" t="s">
        <v>1014</v>
      </c>
      <c r="H224" s="14" t="s">
        <v>1015</v>
      </c>
      <c r="I224" s="14"/>
      <c r="J224" s="14" t="s">
        <v>1016</v>
      </c>
      <c r="K224" s="14"/>
      <c r="L224" s="14" t="s">
        <v>1079</v>
      </c>
      <c r="M224" s="14" t="s">
        <v>1017</v>
      </c>
      <c r="N224" s="14" t="s">
        <v>1080</v>
      </c>
    </row>
    <row r="225" spans="1:14" ht="29" x14ac:dyDescent="0.35">
      <c r="A225" s="14" t="s">
        <v>52</v>
      </c>
      <c r="B225" s="14" t="s">
        <v>2193</v>
      </c>
      <c r="C225" s="14" t="s">
        <v>3005</v>
      </c>
      <c r="D225" s="14" t="s">
        <v>3279</v>
      </c>
      <c r="E225" s="14" t="s">
        <v>3280</v>
      </c>
      <c r="F225" s="14" t="s">
        <v>3281</v>
      </c>
      <c r="G225" s="14" t="s">
        <v>1014</v>
      </c>
      <c r="H225" s="14" t="s">
        <v>1015</v>
      </c>
      <c r="I225" s="14"/>
      <c r="J225" s="14" t="s">
        <v>1016</v>
      </c>
      <c r="K225" s="14"/>
      <c r="L225" s="14" t="s">
        <v>1229</v>
      </c>
      <c r="M225" s="14" t="s">
        <v>1017</v>
      </c>
      <c r="N225" s="14" t="s">
        <v>3007</v>
      </c>
    </row>
    <row r="226" spans="1:14" ht="29" x14ac:dyDescent="0.35">
      <c r="A226" s="14" t="s">
        <v>52</v>
      </c>
      <c r="B226" s="14" t="s">
        <v>2193</v>
      </c>
      <c r="C226" s="14" t="s">
        <v>2825</v>
      </c>
      <c r="D226" s="14" t="s">
        <v>3282</v>
      </c>
      <c r="E226" s="14" t="s">
        <v>3283</v>
      </c>
      <c r="F226" s="14" t="s">
        <v>3284</v>
      </c>
      <c r="G226" s="14" t="s">
        <v>1014</v>
      </c>
      <c r="H226" s="14" t="s">
        <v>1015</v>
      </c>
      <c r="I226" s="14"/>
      <c r="J226" s="14" t="s">
        <v>1016</v>
      </c>
      <c r="K226" s="14"/>
      <c r="L226" s="14" t="s">
        <v>2830</v>
      </c>
      <c r="M226" s="14" t="s">
        <v>1017</v>
      </c>
      <c r="N226" s="14" t="s">
        <v>2831</v>
      </c>
    </row>
    <row r="227" spans="1:14" ht="43.5" x14ac:dyDescent="0.35">
      <c r="A227" s="14" t="s">
        <v>52</v>
      </c>
      <c r="B227" s="14" t="s">
        <v>2215</v>
      </c>
      <c r="C227" s="14" t="s">
        <v>1076</v>
      </c>
      <c r="D227" s="14" t="s">
        <v>3285</v>
      </c>
      <c r="E227" s="14" t="s">
        <v>3286</v>
      </c>
      <c r="F227" s="14" t="s">
        <v>3287</v>
      </c>
      <c r="G227" s="14" t="s">
        <v>1014</v>
      </c>
      <c r="H227" s="14" t="s">
        <v>1015</v>
      </c>
      <c r="I227" s="14" t="s">
        <v>1229</v>
      </c>
      <c r="J227" s="14" t="s">
        <v>1016</v>
      </c>
      <c r="K227" s="14"/>
      <c r="L227" s="14" t="s">
        <v>1079</v>
      </c>
      <c r="M227" s="14" t="s">
        <v>1017</v>
      </c>
      <c r="N227" s="14" t="s">
        <v>1080</v>
      </c>
    </row>
    <row r="228" spans="1:14" ht="43.5" x14ac:dyDescent="0.35">
      <c r="A228" s="14" t="s">
        <v>52</v>
      </c>
      <c r="B228" s="14" t="s">
        <v>2215</v>
      </c>
      <c r="C228" s="14" t="s">
        <v>1076</v>
      </c>
      <c r="D228" s="14" t="s">
        <v>3240</v>
      </c>
      <c r="E228" s="14" t="s">
        <v>3160</v>
      </c>
      <c r="F228" s="14" t="s">
        <v>3288</v>
      </c>
      <c r="G228" s="14" t="s">
        <v>1014</v>
      </c>
      <c r="H228" s="14" t="s">
        <v>1015</v>
      </c>
      <c r="I228" s="14" t="s">
        <v>1229</v>
      </c>
      <c r="J228" s="14" t="s">
        <v>1016</v>
      </c>
      <c r="K228" s="14"/>
      <c r="L228" s="14" t="s">
        <v>1079</v>
      </c>
      <c r="M228" s="14" t="s">
        <v>1017</v>
      </c>
      <c r="N228" s="14" t="s">
        <v>1080</v>
      </c>
    </row>
    <row r="229" spans="1:14" ht="43.5" x14ac:dyDescent="0.35">
      <c r="A229" s="14" t="s">
        <v>52</v>
      </c>
      <c r="B229" s="14" t="s">
        <v>2215</v>
      </c>
      <c r="C229" s="14" t="s">
        <v>1076</v>
      </c>
      <c r="D229" s="14" t="s">
        <v>3289</v>
      </c>
      <c r="E229" s="14" t="s">
        <v>3290</v>
      </c>
      <c r="F229" s="14" t="s">
        <v>3291</v>
      </c>
      <c r="G229" s="14" t="s">
        <v>1014</v>
      </c>
      <c r="H229" s="14" t="s">
        <v>1015</v>
      </c>
      <c r="I229" s="14"/>
      <c r="J229" s="14" t="s">
        <v>1016</v>
      </c>
      <c r="K229" s="14"/>
      <c r="L229" s="14" t="s">
        <v>1079</v>
      </c>
      <c r="M229" s="14" t="s">
        <v>1017</v>
      </c>
      <c r="N229" s="14" t="s">
        <v>1080</v>
      </c>
    </row>
    <row r="230" spans="1:14" ht="43.5" x14ac:dyDescent="0.35">
      <c r="A230" s="14" t="s">
        <v>52</v>
      </c>
      <c r="B230" s="14" t="s">
        <v>2215</v>
      </c>
      <c r="C230" s="14" t="s">
        <v>1076</v>
      </c>
      <c r="D230" s="14" t="s">
        <v>3292</v>
      </c>
      <c r="E230" s="14" t="s">
        <v>3293</v>
      </c>
      <c r="F230" s="14" t="s">
        <v>3294</v>
      </c>
      <c r="G230" s="14" t="s">
        <v>1014</v>
      </c>
      <c r="H230" s="14" t="s">
        <v>1015</v>
      </c>
      <c r="I230" s="14" t="s">
        <v>58</v>
      </c>
      <c r="J230" s="14" t="s">
        <v>1016</v>
      </c>
      <c r="K230" s="14"/>
      <c r="L230" s="14" t="s">
        <v>1079</v>
      </c>
      <c r="M230" s="14" t="s">
        <v>1017</v>
      </c>
      <c r="N230" s="14" t="s">
        <v>1080</v>
      </c>
    </row>
    <row r="231" spans="1:14" ht="29" x14ac:dyDescent="0.35">
      <c r="A231" s="14" t="s">
        <v>52</v>
      </c>
      <c r="B231" s="14" t="s">
        <v>2215</v>
      </c>
      <c r="C231" s="14" t="s">
        <v>3005</v>
      </c>
      <c r="D231" s="14" t="s">
        <v>2891</v>
      </c>
      <c r="E231" s="14" t="s">
        <v>3173</v>
      </c>
      <c r="F231" s="14" t="s">
        <v>3295</v>
      </c>
      <c r="G231" s="14" t="s">
        <v>1014</v>
      </c>
      <c r="H231" s="14" t="s">
        <v>1015</v>
      </c>
      <c r="I231" s="14" t="s">
        <v>58</v>
      </c>
      <c r="J231" s="14" t="s">
        <v>1016</v>
      </c>
      <c r="K231" s="14"/>
      <c r="L231" s="14" t="s">
        <v>1229</v>
      </c>
      <c r="M231" s="14" t="s">
        <v>1017</v>
      </c>
      <c r="N231" s="14" t="s">
        <v>3007</v>
      </c>
    </row>
    <row r="232" spans="1:14" ht="43.5" x14ac:dyDescent="0.35">
      <c r="A232" s="14" t="s">
        <v>52</v>
      </c>
      <c r="B232" s="14" t="s">
        <v>2228</v>
      </c>
      <c r="C232" s="14" t="s">
        <v>1076</v>
      </c>
      <c r="D232" s="14" t="s">
        <v>2899</v>
      </c>
      <c r="E232" s="14" t="s">
        <v>2772</v>
      </c>
      <c r="F232" s="14" t="s">
        <v>3296</v>
      </c>
      <c r="G232" s="14" t="s">
        <v>1014</v>
      </c>
      <c r="H232" s="14" t="s">
        <v>1015</v>
      </c>
      <c r="I232" s="14" t="s">
        <v>1229</v>
      </c>
      <c r="J232" s="14" t="s">
        <v>1016</v>
      </c>
      <c r="K232" s="14"/>
      <c r="L232" s="14" t="s">
        <v>1079</v>
      </c>
      <c r="M232" s="14" t="s">
        <v>1017</v>
      </c>
      <c r="N232" s="14" t="s">
        <v>1080</v>
      </c>
    </row>
    <row r="233" spans="1:14" ht="43.5" x14ac:dyDescent="0.35">
      <c r="A233" s="14" t="s">
        <v>52</v>
      </c>
      <c r="B233" s="14" t="s">
        <v>2228</v>
      </c>
      <c r="C233" s="14" t="s">
        <v>1076</v>
      </c>
      <c r="D233" s="14" t="s">
        <v>2901</v>
      </c>
      <c r="E233" s="14" t="s">
        <v>2902</v>
      </c>
      <c r="F233" s="14" t="s">
        <v>3297</v>
      </c>
      <c r="G233" s="14" t="s">
        <v>1014</v>
      </c>
      <c r="H233" s="14" t="s">
        <v>1015</v>
      </c>
      <c r="I233" s="14" t="s">
        <v>2829</v>
      </c>
      <c r="J233" s="14" t="s">
        <v>1016</v>
      </c>
      <c r="K233" s="14"/>
      <c r="L233" s="14" t="s">
        <v>1079</v>
      </c>
      <c r="M233" s="14" t="s">
        <v>1017</v>
      </c>
      <c r="N233" s="14" t="s">
        <v>1080</v>
      </c>
    </row>
    <row r="234" spans="1:14" ht="43.5" x14ac:dyDescent="0.35">
      <c r="A234" s="14" t="s">
        <v>52</v>
      </c>
      <c r="B234" s="14" t="s">
        <v>2228</v>
      </c>
      <c r="C234" s="14" t="s">
        <v>1076</v>
      </c>
      <c r="D234" s="14" t="s">
        <v>2904</v>
      </c>
      <c r="E234" s="14" t="s">
        <v>2890</v>
      </c>
      <c r="F234" s="14" t="s">
        <v>2905</v>
      </c>
      <c r="G234" s="14" t="s">
        <v>1014</v>
      </c>
      <c r="H234" s="14" t="s">
        <v>1015</v>
      </c>
      <c r="I234" s="14" t="s">
        <v>1078</v>
      </c>
      <c r="J234" s="14" t="s">
        <v>1016</v>
      </c>
      <c r="K234" s="14"/>
      <c r="L234" s="14" t="s">
        <v>1079</v>
      </c>
      <c r="M234" s="14" t="s">
        <v>1017</v>
      </c>
      <c r="N234" s="14" t="s">
        <v>1080</v>
      </c>
    </row>
    <row r="235" spans="1:14" ht="43.5" x14ac:dyDescent="0.35">
      <c r="A235" s="14" t="s">
        <v>52</v>
      </c>
      <c r="B235" s="14" t="s">
        <v>2228</v>
      </c>
      <c r="C235" s="14" t="s">
        <v>1076</v>
      </c>
      <c r="D235" s="14" t="s">
        <v>2881</v>
      </c>
      <c r="E235" s="14" t="s">
        <v>2906</v>
      </c>
      <c r="F235" s="14" t="s">
        <v>2907</v>
      </c>
      <c r="G235" s="14" t="s">
        <v>1014</v>
      </c>
      <c r="H235" s="14" t="s">
        <v>1015</v>
      </c>
      <c r="I235" s="14" t="s">
        <v>1078</v>
      </c>
      <c r="J235" s="14" t="s">
        <v>1016</v>
      </c>
      <c r="K235" s="14"/>
      <c r="L235" s="14" t="s">
        <v>1079</v>
      </c>
      <c r="M235" s="14" t="s">
        <v>1017</v>
      </c>
      <c r="N235" s="14" t="s">
        <v>1080</v>
      </c>
    </row>
    <row r="236" spans="1:14" ht="43.5" x14ac:dyDescent="0.35">
      <c r="A236" s="14" t="s">
        <v>52</v>
      </c>
      <c r="B236" s="14" t="s">
        <v>2228</v>
      </c>
      <c r="C236" s="14" t="s">
        <v>1076</v>
      </c>
      <c r="D236" s="14" t="s">
        <v>2908</v>
      </c>
      <c r="E236" s="14" t="s">
        <v>2909</v>
      </c>
      <c r="F236" s="14" t="s">
        <v>2910</v>
      </c>
      <c r="G236" s="14" t="s">
        <v>1014</v>
      </c>
      <c r="H236" s="14" t="s">
        <v>1015</v>
      </c>
      <c r="I236" s="14" t="s">
        <v>1078</v>
      </c>
      <c r="J236" s="14" t="s">
        <v>1016</v>
      </c>
      <c r="K236" s="14"/>
      <c r="L236" s="14" t="s">
        <v>1079</v>
      </c>
      <c r="M236" s="14" t="s">
        <v>1017</v>
      </c>
      <c r="N236" s="14" t="s">
        <v>1080</v>
      </c>
    </row>
    <row r="237" spans="1:14" ht="43.5" x14ac:dyDescent="0.35">
      <c r="A237" s="14" t="s">
        <v>52</v>
      </c>
      <c r="B237" s="14" t="s">
        <v>2230</v>
      </c>
      <c r="C237" s="14" t="s">
        <v>1076</v>
      </c>
      <c r="D237" s="14" t="s">
        <v>2994</v>
      </c>
      <c r="E237" s="14" t="s">
        <v>2995</v>
      </c>
      <c r="F237" s="14" t="s">
        <v>2996</v>
      </c>
      <c r="G237" s="14" t="s">
        <v>1014</v>
      </c>
      <c r="H237" s="14" t="s">
        <v>1015</v>
      </c>
      <c r="I237" s="14" t="s">
        <v>1078</v>
      </c>
      <c r="J237" s="14" t="s">
        <v>1016</v>
      </c>
      <c r="K237" s="14"/>
      <c r="L237" s="14" t="s">
        <v>1079</v>
      </c>
      <c r="M237" s="14" t="s">
        <v>1017</v>
      </c>
      <c r="N237" s="14" t="s">
        <v>1080</v>
      </c>
    </row>
    <row r="238" spans="1:14" ht="43.5" x14ac:dyDescent="0.35">
      <c r="A238" s="14" t="s">
        <v>52</v>
      </c>
      <c r="B238" s="14" t="s">
        <v>2230</v>
      </c>
      <c r="C238" s="14" t="s">
        <v>1076</v>
      </c>
      <c r="D238" s="14" t="s">
        <v>2995</v>
      </c>
      <c r="E238" s="14" t="s">
        <v>2997</v>
      </c>
      <c r="F238" s="14" t="s">
        <v>2998</v>
      </c>
      <c r="G238" s="14" t="s">
        <v>1014</v>
      </c>
      <c r="H238" s="14" t="s">
        <v>1015</v>
      </c>
      <c r="I238" s="14" t="s">
        <v>1078</v>
      </c>
      <c r="J238" s="14" t="s">
        <v>1016</v>
      </c>
      <c r="K238" s="14"/>
      <c r="L238" s="14" t="s">
        <v>1079</v>
      </c>
      <c r="M238" s="14" t="s">
        <v>1017</v>
      </c>
      <c r="N238" s="14" t="s">
        <v>1080</v>
      </c>
    </row>
    <row r="239" spans="1:14" ht="43.5" x14ac:dyDescent="0.35">
      <c r="A239" s="14" t="s">
        <v>52</v>
      </c>
      <c r="B239" s="14" t="s">
        <v>2230</v>
      </c>
      <c r="C239" s="14" t="s">
        <v>1076</v>
      </c>
      <c r="D239" s="14" t="s">
        <v>2999</v>
      </c>
      <c r="E239" s="14" t="s">
        <v>3000</v>
      </c>
      <c r="F239" s="14" t="s">
        <v>3001</v>
      </c>
      <c r="G239" s="14" t="s">
        <v>1014</v>
      </c>
      <c r="H239" s="14" t="s">
        <v>1015</v>
      </c>
      <c r="I239" s="14" t="s">
        <v>1078</v>
      </c>
      <c r="J239" s="14" t="s">
        <v>1016</v>
      </c>
      <c r="K239" s="14"/>
      <c r="L239" s="14" t="s">
        <v>1079</v>
      </c>
      <c r="M239" s="14" t="s">
        <v>1017</v>
      </c>
      <c r="N239" s="14" t="s">
        <v>1080</v>
      </c>
    </row>
    <row r="240" spans="1:14" ht="43.5" x14ac:dyDescent="0.35">
      <c r="A240" s="14" t="s">
        <v>52</v>
      </c>
      <c r="B240" s="14" t="s">
        <v>2230</v>
      </c>
      <c r="C240" s="14" t="s">
        <v>1076</v>
      </c>
      <c r="D240" s="14" t="s">
        <v>3298</v>
      </c>
      <c r="E240" s="14" t="s">
        <v>3195</v>
      </c>
      <c r="F240" s="14" t="s">
        <v>3299</v>
      </c>
      <c r="G240" s="14" t="s">
        <v>1014</v>
      </c>
      <c r="H240" s="14" t="s">
        <v>1015</v>
      </c>
      <c r="I240" s="14"/>
      <c r="J240" s="14" t="s">
        <v>1016</v>
      </c>
      <c r="K240" s="14"/>
      <c r="L240" s="14" t="s">
        <v>1079</v>
      </c>
      <c r="M240" s="14" t="s">
        <v>1017</v>
      </c>
      <c r="N240" s="14" t="s">
        <v>1080</v>
      </c>
    </row>
    <row r="241" spans="1:14" ht="29" x14ac:dyDescent="0.35">
      <c r="A241" s="14" t="s">
        <v>52</v>
      </c>
      <c r="B241" s="14" t="s">
        <v>2230</v>
      </c>
      <c r="C241" s="14" t="s">
        <v>3005</v>
      </c>
      <c r="D241" s="14" t="s">
        <v>2912</v>
      </c>
      <c r="E241" s="14" t="s">
        <v>2914</v>
      </c>
      <c r="F241" s="14" t="s">
        <v>3006</v>
      </c>
      <c r="G241" s="14" t="s">
        <v>1014</v>
      </c>
      <c r="H241" s="14" t="s">
        <v>1015</v>
      </c>
      <c r="I241" s="14"/>
      <c r="J241" s="14" t="s">
        <v>1016</v>
      </c>
      <c r="K241" s="14"/>
      <c r="L241" s="14" t="s">
        <v>1229</v>
      </c>
      <c r="M241" s="14" t="s">
        <v>1017</v>
      </c>
      <c r="N241" s="14" t="s">
        <v>3007</v>
      </c>
    </row>
    <row r="242" spans="1:14" ht="29" x14ac:dyDescent="0.35">
      <c r="A242" s="14" t="s">
        <v>52</v>
      </c>
      <c r="B242" s="14" t="s">
        <v>2230</v>
      </c>
      <c r="C242" s="14" t="s">
        <v>2825</v>
      </c>
      <c r="D242" s="14" t="s">
        <v>2833</v>
      </c>
      <c r="E242" s="14" t="s">
        <v>2958</v>
      </c>
      <c r="F242" s="14" t="s">
        <v>3008</v>
      </c>
      <c r="G242" s="14" t="s">
        <v>1014</v>
      </c>
      <c r="H242" s="14" t="s">
        <v>1015</v>
      </c>
      <c r="I242" s="14"/>
      <c r="J242" s="14" t="s">
        <v>1016</v>
      </c>
      <c r="K242" s="14"/>
      <c r="L242" s="14" t="s">
        <v>2830</v>
      </c>
      <c r="M242" s="14" t="s">
        <v>1017</v>
      </c>
      <c r="N242" s="14" t="s">
        <v>2831</v>
      </c>
    </row>
    <row r="243" spans="1:14" ht="43.5" x14ac:dyDescent="0.35">
      <c r="A243" s="14" t="s">
        <v>52</v>
      </c>
      <c r="B243" s="14" t="s">
        <v>2234</v>
      </c>
      <c r="C243" s="14" t="s">
        <v>1076</v>
      </c>
      <c r="D243" s="14" t="s">
        <v>3300</v>
      </c>
      <c r="E243" s="14" t="s">
        <v>3301</v>
      </c>
      <c r="F243" s="14" t="s">
        <v>3302</v>
      </c>
      <c r="G243" s="14" t="s">
        <v>1014</v>
      </c>
      <c r="H243" s="14" t="s">
        <v>1015</v>
      </c>
      <c r="I243" s="14"/>
      <c r="J243" s="14" t="s">
        <v>1016</v>
      </c>
      <c r="K243" s="14"/>
      <c r="L243" s="14" t="s">
        <v>1079</v>
      </c>
      <c r="M243" s="14" t="s">
        <v>1017</v>
      </c>
      <c r="N243" s="14" t="s">
        <v>1080</v>
      </c>
    </row>
    <row r="244" spans="1:14" ht="43.5" x14ac:dyDescent="0.35">
      <c r="A244" s="14" t="s">
        <v>52</v>
      </c>
      <c r="B244" s="14" t="s">
        <v>2234</v>
      </c>
      <c r="C244" s="14" t="s">
        <v>1076</v>
      </c>
      <c r="D244" s="14" t="s">
        <v>3303</v>
      </c>
      <c r="E244" s="14" t="s">
        <v>3304</v>
      </c>
      <c r="F244" s="14" t="s">
        <v>3305</v>
      </c>
      <c r="G244" s="14" t="s">
        <v>1014</v>
      </c>
      <c r="H244" s="14" t="s">
        <v>1015</v>
      </c>
      <c r="I244" s="14"/>
      <c r="J244" s="14" t="s">
        <v>1016</v>
      </c>
      <c r="K244" s="14"/>
      <c r="L244" s="14" t="s">
        <v>1079</v>
      </c>
      <c r="M244" s="14" t="s">
        <v>1017</v>
      </c>
      <c r="N244" s="14" t="s">
        <v>1080</v>
      </c>
    </row>
    <row r="245" spans="1:14" ht="43.5" x14ac:dyDescent="0.35">
      <c r="A245" s="14" t="s">
        <v>52</v>
      </c>
      <c r="B245" s="14" t="s">
        <v>2234</v>
      </c>
      <c r="C245" s="14" t="s">
        <v>1076</v>
      </c>
      <c r="D245" s="14" t="s">
        <v>3208</v>
      </c>
      <c r="E245" s="14" t="s">
        <v>3209</v>
      </c>
      <c r="F245" s="14" t="s">
        <v>3306</v>
      </c>
      <c r="G245" s="14" t="s">
        <v>1014</v>
      </c>
      <c r="H245" s="14" t="s">
        <v>1015</v>
      </c>
      <c r="I245" s="14"/>
      <c r="J245" s="14" t="s">
        <v>1016</v>
      </c>
      <c r="K245" s="14"/>
      <c r="L245" s="14" t="s">
        <v>1079</v>
      </c>
      <c r="M245" s="14" t="s">
        <v>1017</v>
      </c>
      <c r="N245" s="14" t="s">
        <v>1080</v>
      </c>
    </row>
    <row r="246" spans="1:14" ht="43.5" x14ac:dyDescent="0.35">
      <c r="A246" s="14" t="s">
        <v>52</v>
      </c>
      <c r="B246" s="14" t="s">
        <v>2234</v>
      </c>
      <c r="C246" s="14" t="s">
        <v>1076</v>
      </c>
      <c r="D246" s="14" t="s">
        <v>3307</v>
      </c>
      <c r="E246" s="14" t="s">
        <v>3308</v>
      </c>
      <c r="F246" s="14" t="s">
        <v>3016</v>
      </c>
      <c r="G246" s="14" t="s">
        <v>1014</v>
      </c>
      <c r="H246" s="14" t="s">
        <v>1015</v>
      </c>
      <c r="I246" s="14"/>
      <c r="J246" s="14" t="s">
        <v>1016</v>
      </c>
      <c r="K246" s="14"/>
      <c r="L246" s="14" t="s">
        <v>1079</v>
      </c>
      <c r="M246" s="14" t="s">
        <v>1017</v>
      </c>
      <c r="N246" s="14" t="s">
        <v>1080</v>
      </c>
    </row>
    <row r="247" spans="1:14" ht="43.5" x14ac:dyDescent="0.35">
      <c r="A247" s="14" t="s">
        <v>52</v>
      </c>
      <c r="B247" s="14" t="s">
        <v>2234</v>
      </c>
      <c r="C247" s="14" t="s">
        <v>1076</v>
      </c>
      <c r="D247" s="14" t="s">
        <v>3309</v>
      </c>
      <c r="E247" s="14" t="s">
        <v>2981</v>
      </c>
      <c r="F247" s="14" t="s">
        <v>3310</v>
      </c>
      <c r="G247" s="14" t="s">
        <v>1014</v>
      </c>
      <c r="H247" s="14" t="s">
        <v>1015</v>
      </c>
      <c r="I247" s="14"/>
      <c r="J247" s="14" t="s">
        <v>1016</v>
      </c>
      <c r="K247" s="14"/>
      <c r="L247" s="14" t="s">
        <v>1079</v>
      </c>
      <c r="M247" s="14" t="s">
        <v>1017</v>
      </c>
      <c r="N247" s="14" t="s">
        <v>1080</v>
      </c>
    </row>
    <row r="248" spans="1:14" ht="43.5" x14ac:dyDescent="0.35">
      <c r="A248" s="14" t="s">
        <v>52</v>
      </c>
      <c r="B248" s="14" t="s">
        <v>2234</v>
      </c>
      <c r="C248" s="14" t="s">
        <v>1076</v>
      </c>
      <c r="D248" s="14" t="s">
        <v>3311</v>
      </c>
      <c r="E248" s="14" t="s">
        <v>3312</v>
      </c>
      <c r="F248" s="14" t="s">
        <v>3313</v>
      </c>
      <c r="G248" s="14" t="s">
        <v>1014</v>
      </c>
      <c r="H248" s="14" t="s">
        <v>1015</v>
      </c>
      <c r="I248" s="14"/>
      <c r="J248" s="14" t="s">
        <v>1016</v>
      </c>
      <c r="K248" s="14"/>
      <c r="L248" s="14" t="s">
        <v>1079</v>
      </c>
      <c r="M248" s="14" t="s">
        <v>1017</v>
      </c>
      <c r="N248" s="14" t="s">
        <v>1080</v>
      </c>
    </row>
    <row r="249" spans="1:14" ht="43.5" x14ac:dyDescent="0.35">
      <c r="A249" s="14" t="s">
        <v>52</v>
      </c>
      <c r="B249" s="14" t="s">
        <v>2239</v>
      </c>
      <c r="C249" s="14" t="s">
        <v>1076</v>
      </c>
      <c r="D249" s="14" t="s">
        <v>2955</v>
      </c>
      <c r="E249" s="14" t="s">
        <v>2956</v>
      </c>
      <c r="F249" s="14" t="s">
        <v>2957</v>
      </c>
      <c r="G249" s="14" t="s">
        <v>1014</v>
      </c>
      <c r="H249" s="14" t="s">
        <v>1015</v>
      </c>
      <c r="I249" s="14"/>
      <c r="J249" s="14" t="s">
        <v>1016</v>
      </c>
      <c r="K249" s="14"/>
      <c r="L249" s="14" t="s">
        <v>1079</v>
      </c>
      <c r="M249" s="14" t="s">
        <v>1017</v>
      </c>
      <c r="N249" s="14" t="s">
        <v>1080</v>
      </c>
    </row>
    <row r="250" spans="1:14" ht="43.5" x14ac:dyDescent="0.35">
      <c r="A250" s="14" t="s">
        <v>52</v>
      </c>
      <c r="B250" s="14" t="s">
        <v>2239</v>
      </c>
      <c r="C250" s="14" t="s">
        <v>1076</v>
      </c>
      <c r="D250" s="14" t="s">
        <v>2788</v>
      </c>
      <c r="E250" s="14" t="s">
        <v>2793</v>
      </c>
      <c r="F250" s="14" t="s">
        <v>2963</v>
      </c>
      <c r="G250" s="14" t="s">
        <v>1014</v>
      </c>
      <c r="H250" s="14" t="s">
        <v>1015</v>
      </c>
      <c r="I250" s="14" t="s">
        <v>1078</v>
      </c>
      <c r="J250" s="14" t="s">
        <v>1016</v>
      </c>
      <c r="K250" s="14"/>
      <c r="L250" s="14" t="s">
        <v>1079</v>
      </c>
      <c r="M250" s="14" t="s">
        <v>1017</v>
      </c>
      <c r="N250" s="14" t="s">
        <v>1080</v>
      </c>
    </row>
    <row r="251" spans="1:14" ht="43.5" x14ac:dyDescent="0.35">
      <c r="A251" s="14" t="s">
        <v>52</v>
      </c>
      <c r="B251" s="14" t="s">
        <v>2239</v>
      </c>
      <c r="C251" s="14" t="s">
        <v>1076</v>
      </c>
      <c r="D251" s="14" t="s">
        <v>3314</v>
      </c>
      <c r="E251" s="14" t="s">
        <v>3031</v>
      </c>
      <c r="F251" s="14" t="s">
        <v>2966</v>
      </c>
      <c r="G251" s="14" t="s">
        <v>1014</v>
      </c>
      <c r="H251" s="14" t="s">
        <v>1015</v>
      </c>
      <c r="I251" s="14" t="s">
        <v>1078</v>
      </c>
      <c r="J251" s="14" t="s">
        <v>1016</v>
      </c>
      <c r="K251" s="14"/>
      <c r="L251" s="14" t="s">
        <v>1079</v>
      </c>
      <c r="M251" s="14" t="s">
        <v>1017</v>
      </c>
      <c r="N251" s="14" t="s">
        <v>1080</v>
      </c>
    </row>
    <row r="252" spans="1:14" ht="43.5" x14ac:dyDescent="0.35">
      <c r="A252" s="14" t="s">
        <v>52</v>
      </c>
      <c r="B252" s="14" t="s">
        <v>2239</v>
      </c>
      <c r="C252" s="14" t="s">
        <v>1076</v>
      </c>
      <c r="D252" s="14" t="s">
        <v>3268</v>
      </c>
      <c r="E252" s="14" t="s">
        <v>2817</v>
      </c>
      <c r="F252" s="14" t="s">
        <v>2968</v>
      </c>
      <c r="G252" s="14" t="s">
        <v>1014</v>
      </c>
      <c r="H252" s="14" t="s">
        <v>1015</v>
      </c>
      <c r="I252" s="14" t="s">
        <v>1078</v>
      </c>
      <c r="J252" s="14" t="s">
        <v>1016</v>
      </c>
      <c r="K252" s="14"/>
      <c r="L252" s="14" t="s">
        <v>1079</v>
      </c>
      <c r="M252" s="14" t="s">
        <v>1017</v>
      </c>
      <c r="N252" s="14" t="s">
        <v>1080</v>
      </c>
    </row>
    <row r="253" spans="1:14" ht="43.5" x14ac:dyDescent="0.35">
      <c r="A253" s="14" t="s">
        <v>52</v>
      </c>
      <c r="B253" s="14" t="s">
        <v>2243</v>
      </c>
      <c r="C253" s="14" t="s">
        <v>1076</v>
      </c>
      <c r="D253" s="14" t="s">
        <v>3315</v>
      </c>
      <c r="E253" s="14" t="s">
        <v>3316</v>
      </c>
      <c r="F253" s="14" t="s">
        <v>3317</v>
      </c>
      <c r="G253" s="14" t="s">
        <v>1014</v>
      </c>
      <c r="H253" s="14" t="s">
        <v>1015</v>
      </c>
      <c r="I253" s="14"/>
      <c r="J253" s="14" t="s">
        <v>1016</v>
      </c>
      <c r="K253" s="14"/>
      <c r="L253" s="14" t="s">
        <v>1079</v>
      </c>
      <c r="M253" s="14" t="s">
        <v>1017</v>
      </c>
      <c r="N253" s="14" t="s">
        <v>1080</v>
      </c>
    </row>
    <row r="254" spans="1:14" ht="43.5" x14ac:dyDescent="0.35">
      <c r="A254" s="14" t="s">
        <v>52</v>
      </c>
      <c r="B254" s="14" t="s">
        <v>2243</v>
      </c>
      <c r="C254" s="14" t="s">
        <v>1076</v>
      </c>
      <c r="D254" s="14" t="s">
        <v>3318</v>
      </c>
      <c r="E254" s="14" t="s">
        <v>3319</v>
      </c>
      <c r="F254" s="14" t="s">
        <v>3320</v>
      </c>
      <c r="G254" s="14" t="s">
        <v>1014</v>
      </c>
      <c r="H254" s="14" t="s">
        <v>1015</v>
      </c>
      <c r="I254" s="14"/>
      <c r="J254" s="14" t="s">
        <v>1016</v>
      </c>
      <c r="K254" s="14"/>
      <c r="L254" s="14" t="s">
        <v>1079</v>
      </c>
      <c r="M254" s="14" t="s">
        <v>1017</v>
      </c>
      <c r="N254" s="14" t="s">
        <v>1080</v>
      </c>
    </row>
    <row r="255" spans="1:14" ht="43.5" x14ac:dyDescent="0.35">
      <c r="A255" s="14" t="s">
        <v>52</v>
      </c>
      <c r="B255" s="14" t="s">
        <v>2250</v>
      </c>
      <c r="C255" s="14" t="s">
        <v>1076</v>
      </c>
      <c r="D255" s="14" t="s">
        <v>3321</v>
      </c>
      <c r="E255" s="14" t="s">
        <v>3322</v>
      </c>
      <c r="F255" s="14" t="s">
        <v>3323</v>
      </c>
      <c r="G255" s="14" t="s">
        <v>1014</v>
      </c>
      <c r="H255" s="14" t="s">
        <v>1015</v>
      </c>
      <c r="I255" s="14"/>
      <c r="J255" s="14" t="s">
        <v>1016</v>
      </c>
      <c r="K255" s="14"/>
      <c r="L255" s="14" t="s">
        <v>1079</v>
      </c>
      <c r="M255" s="14" t="s">
        <v>1017</v>
      </c>
      <c r="N255" s="14" t="s">
        <v>1080</v>
      </c>
    </row>
    <row r="256" spans="1:14" ht="29" x14ac:dyDescent="0.35">
      <c r="A256" s="14" t="s">
        <v>52</v>
      </c>
      <c r="B256" s="14" t="s">
        <v>2250</v>
      </c>
      <c r="C256" s="14" t="s">
        <v>2825</v>
      </c>
      <c r="D256" s="14" t="s">
        <v>3095</v>
      </c>
      <c r="E256" s="14" t="s">
        <v>3096</v>
      </c>
      <c r="F256" s="14" t="s">
        <v>3097</v>
      </c>
      <c r="G256" s="14" t="s">
        <v>1014</v>
      </c>
      <c r="H256" s="14" t="s">
        <v>1015</v>
      </c>
      <c r="I256" s="14"/>
      <c r="J256" s="14" t="s">
        <v>1016</v>
      </c>
      <c r="K256" s="14"/>
      <c r="L256" s="14" t="s">
        <v>2830</v>
      </c>
      <c r="M256" s="14" t="s">
        <v>1017</v>
      </c>
      <c r="N256" s="14" t="s">
        <v>2831</v>
      </c>
    </row>
    <row r="257" spans="1:14" ht="43.5" x14ac:dyDescent="0.35">
      <c r="A257" s="14" t="s">
        <v>52</v>
      </c>
      <c r="B257" s="14" t="s">
        <v>2292</v>
      </c>
      <c r="C257" s="14" t="s">
        <v>1076</v>
      </c>
      <c r="D257" s="14" t="s">
        <v>2977</v>
      </c>
      <c r="E257" s="14" t="s">
        <v>2788</v>
      </c>
      <c r="F257" s="14" t="s">
        <v>3324</v>
      </c>
      <c r="G257" s="14" t="s">
        <v>1014</v>
      </c>
      <c r="H257" s="14" t="s">
        <v>1015</v>
      </c>
      <c r="I257" s="14"/>
      <c r="J257" s="14" t="s">
        <v>1016</v>
      </c>
      <c r="K257" s="14"/>
      <c r="L257" s="14" t="s">
        <v>1079</v>
      </c>
      <c r="M257" s="14" t="s">
        <v>1017</v>
      </c>
      <c r="N257" s="14" t="s">
        <v>1080</v>
      </c>
    </row>
    <row r="258" spans="1:14" ht="43.5" x14ac:dyDescent="0.35">
      <c r="A258" s="14" t="s">
        <v>52</v>
      </c>
      <c r="B258" s="14" t="s">
        <v>2292</v>
      </c>
      <c r="C258" s="14" t="s">
        <v>1076</v>
      </c>
      <c r="D258" s="14" t="s">
        <v>2961</v>
      </c>
      <c r="E258" s="14" t="s">
        <v>2793</v>
      </c>
      <c r="F258" s="14" t="s">
        <v>3325</v>
      </c>
      <c r="G258" s="14" t="s">
        <v>1014</v>
      </c>
      <c r="H258" s="14" t="s">
        <v>1015</v>
      </c>
      <c r="I258" s="14"/>
      <c r="J258" s="14" t="s">
        <v>1016</v>
      </c>
      <c r="K258" s="14"/>
      <c r="L258" s="14" t="s">
        <v>1079</v>
      </c>
      <c r="M258" s="14" t="s">
        <v>1017</v>
      </c>
      <c r="N258" s="14" t="s">
        <v>1080</v>
      </c>
    </row>
    <row r="259" spans="1:14" ht="43.5" x14ac:dyDescent="0.35">
      <c r="A259" s="14" t="s">
        <v>52</v>
      </c>
      <c r="B259" s="14" t="s">
        <v>2295</v>
      </c>
      <c r="C259" s="14" t="s">
        <v>1076</v>
      </c>
      <c r="D259" s="14" t="s">
        <v>2790</v>
      </c>
      <c r="E259" s="14" t="s">
        <v>3326</v>
      </c>
      <c r="F259" s="14" t="s">
        <v>3327</v>
      </c>
      <c r="G259" s="14" t="s">
        <v>1014</v>
      </c>
      <c r="H259" s="14" t="s">
        <v>1015</v>
      </c>
      <c r="I259" s="14"/>
      <c r="J259" s="14" t="s">
        <v>1016</v>
      </c>
      <c r="K259" s="14"/>
      <c r="L259" s="14" t="s">
        <v>1079</v>
      </c>
      <c r="M259" s="14" t="s">
        <v>1017</v>
      </c>
      <c r="N259" s="14" t="s">
        <v>1080</v>
      </c>
    </row>
    <row r="260" spans="1:14" ht="43.5" x14ac:dyDescent="0.35">
      <c r="A260" s="14" t="s">
        <v>52</v>
      </c>
      <c r="B260" s="14" t="s">
        <v>2295</v>
      </c>
      <c r="C260" s="14" t="s">
        <v>1076</v>
      </c>
      <c r="D260" s="14" t="s">
        <v>3328</v>
      </c>
      <c r="E260" s="14" t="s">
        <v>3087</v>
      </c>
      <c r="F260" s="14" t="s">
        <v>3329</v>
      </c>
      <c r="G260" s="14" t="s">
        <v>1014</v>
      </c>
      <c r="H260" s="14" t="s">
        <v>1015</v>
      </c>
      <c r="I260" s="14" t="s">
        <v>1078</v>
      </c>
      <c r="J260" s="14" t="s">
        <v>1016</v>
      </c>
      <c r="K260" s="14"/>
      <c r="L260" s="14" t="s">
        <v>1079</v>
      </c>
      <c r="M260" s="14" t="s">
        <v>1017</v>
      </c>
      <c r="N260" s="14" t="s">
        <v>1080</v>
      </c>
    </row>
    <row r="261" spans="1:14" ht="43.5" x14ac:dyDescent="0.35">
      <c r="A261" s="14" t="s">
        <v>52</v>
      </c>
      <c r="B261" s="14" t="s">
        <v>2295</v>
      </c>
      <c r="C261" s="14" t="s">
        <v>1076</v>
      </c>
      <c r="D261" s="14" t="s">
        <v>3330</v>
      </c>
      <c r="E261" s="14" t="s">
        <v>2775</v>
      </c>
      <c r="F261" s="14" t="s">
        <v>3331</v>
      </c>
      <c r="G261" s="14" t="s">
        <v>1014</v>
      </c>
      <c r="H261" s="14" t="s">
        <v>1015</v>
      </c>
      <c r="I261" s="14" t="s">
        <v>58</v>
      </c>
      <c r="J261" s="14" t="s">
        <v>1016</v>
      </c>
      <c r="K261" s="14"/>
      <c r="L261" s="14" t="s">
        <v>1079</v>
      </c>
      <c r="M261" s="14" t="s">
        <v>1017</v>
      </c>
      <c r="N261" s="14" t="s">
        <v>1080</v>
      </c>
    </row>
    <row r="262" spans="1:14" ht="43.5" x14ac:dyDescent="0.35">
      <c r="A262" s="14" t="s">
        <v>52</v>
      </c>
      <c r="B262" s="14" t="s">
        <v>2295</v>
      </c>
      <c r="C262" s="14" t="s">
        <v>1076</v>
      </c>
      <c r="D262" s="14" t="s">
        <v>3332</v>
      </c>
      <c r="E262" s="14" t="s">
        <v>2897</v>
      </c>
      <c r="F262" s="14" t="s">
        <v>3333</v>
      </c>
      <c r="G262" s="14" t="s">
        <v>1014</v>
      </c>
      <c r="H262" s="14" t="s">
        <v>1015</v>
      </c>
      <c r="I262" s="14"/>
      <c r="J262" s="14" t="s">
        <v>1016</v>
      </c>
      <c r="K262" s="14"/>
      <c r="L262" s="14" t="s">
        <v>1079</v>
      </c>
      <c r="M262" s="14" t="s">
        <v>1017</v>
      </c>
      <c r="N262" s="14" t="s">
        <v>1080</v>
      </c>
    </row>
    <row r="263" spans="1:14" ht="43.5" x14ac:dyDescent="0.35">
      <c r="A263" s="14" t="s">
        <v>52</v>
      </c>
      <c r="B263" s="14" t="s">
        <v>2336</v>
      </c>
      <c r="C263" s="14" t="s">
        <v>1076</v>
      </c>
      <c r="D263" s="14" t="s">
        <v>2940</v>
      </c>
      <c r="E263" s="14" t="s">
        <v>3334</v>
      </c>
      <c r="F263" s="14" t="s">
        <v>3335</v>
      </c>
      <c r="G263" s="14" t="s">
        <v>1014</v>
      </c>
      <c r="H263" s="14" t="s">
        <v>1015</v>
      </c>
      <c r="I263" s="14" t="s">
        <v>1078</v>
      </c>
      <c r="J263" s="14" t="s">
        <v>1016</v>
      </c>
      <c r="K263" s="14"/>
      <c r="L263" s="14" t="s">
        <v>1079</v>
      </c>
      <c r="M263" s="14" t="s">
        <v>1017</v>
      </c>
      <c r="N263" s="14" t="s">
        <v>1080</v>
      </c>
    </row>
    <row r="264" spans="1:14" ht="43.5" x14ac:dyDescent="0.35">
      <c r="A264" s="14" t="s">
        <v>52</v>
      </c>
      <c r="B264" s="14" t="s">
        <v>2336</v>
      </c>
      <c r="C264" s="14" t="s">
        <v>1076</v>
      </c>
      <c r="D264" s="14" t="s">
        <v>2838</v>
      </c>
      <c r="E264" s="14" t="s">
        <v>3336</v>
      </c>
      <c r="F264" s="14" t="s">
        <v>3337</v>
      </c>
      <c r="G264" s="14" t="s">
        <v>1014</v>
      </c>
      <c r="H264" s="14" t="s">
        <v>1015</v>
      </c>
      <c r="I264" s="14" t="s">
        <v>1078</v>
      </c>
      <c r="J264" s="14" t="s">
        <v>1016</v>
      </c>
      <c r="K264" s="14"/>
      <c r="L264" s="14" t="s">
        <v>1079</v>
      </c>
      <c r="M264" s="14" t="s">
        <v>1017</v>
      </c>
      <c r="N264" s="14" t="s">
        <v>1080</v>
      </c>
    </row>
    <row r="265" spans="1:14" ht="43.5" x14ac:dyDescent="0.35">
      <c r="A265" s="14" t="s">
        <v>52</v>
      </c>
      <c r="B265" s="14" t="s">
        <v>2336</v>
      </c>
      <c r="C265" s="14" t="s">
        <v>1076</v>
      </c>
      <c r="D265" s="14" t="s">
        <v>2943</v>
      </c>
      <c r="E265" s="14" t="s">
        <v>2944</v>
      </c>
      <c r="F265" s="14" t="s">
        <v>3338</v>
      </c>
      <c r="G265" s="14" t="s">
        <v>1014</v>
      </c>
      <c r="H265" s="14" t="s">
        <v>1015</v>
      </c>
      <c r="I265" s="14" t="s">
        <v>1078</v>
      </c>
      <c r="J265" s="14" t="s">
        <v>1016</v>
      </c>
      <c r="K265" s="14"/>
      <c r="L265" s="14" t="s">
        <v>1079</v>
      </c>
      <c r="M265" s="14" t="s">
        <v>1017</v>
      </c>
      <c r="N265" s="14" t="s">
        <v>1080</v>
      </c>
    </row>
    <row r="266" spans="1:14" ht="43.5" x14ac:dyDescent="0.35">
      <c r="A266" s="14" t="s">
        <v>52</v>
      </c>
      <c r="B266" s="14" t="s">
        <v>2376</v>
      </c>
      <c r="C266" s="14" t="s">
        <v>1076</v>
      </c>
      <c r="D266" s="14" t="s">
        <v>2899</v>
      </c>
      <c r="E266" s="14" t="s">
        <v>2772</v>
      </c>
      <c r="F266" s="14" t="s">
        <v>2900</v>
      </c>
      <c r="G266" s="14" t="s">
        <v>1014</v>
      </c>
      <c r="H266" s="14" t="s">
        <v>1015</v>
      </c>
      <c r="I266" s="14" t="s">
        <v>1229</v>
      </c>
      <c r="J266" s="14" t="s">
        <v>1016</v>
      </c>
      <c r="K266" s="14"/>
      <c r="L266" s="14" t="s">
        <v>1079</v>
      </c>
      <c r="M266" s="14" t="s">
        <v>1017</v>
      </c>
      <c r="N266" s="14" t="s">
        <v>1080</v>
      </c>
    </row>
    <row r="267" spans="1:14" ht="43.5" x14ac:dyDescent="0.35">
      <c r="A267" s="14" t="s">
        <v>52</v>
      </c>
      <c r="B267" s="14" t="s">
        <v>2376</v>
      </c>
      <c r="C267" s="14" t="s">
        <v>1076</v>
      </c>
      <c r="D267" s="14" t="s">
        <v>2901</v>
      </c>
      <c r="E267" s="14" t="s">
        <v>2902</v>
      </c>
      <c r="F267" s="14" t="s">
        <v>3297</v>
      </c>
      <c r="G267" s="14" t="s">
        <v>1014</v>
      </c>
      <c r="H267" s="14" t="s">
        <v>1015</v>
      </c>
      <c r="I267" s="14" t="s">
        <v>2829</v>
      </c>
      <c r="J267" s="14" t="s">
        <v>1016</v>
      </c>
      <c r="K267" s="14"/>
      <c r="L267" s="14" t="s">
        <v>1079</v>
      </c>
      <c r="M267" s="14" t="s">
        <v>1017</v>
      </c>
      <c r="N267" s="14" t="s">
        <v>1080</v>
      </c>
    </row>
    <row r="268" spans="1:14" ht="43.5" x14ac:dyDescent="0.35">
      <c r="A268" s="14" t="s">
        <v>52</v>
      </c>
      <c r="B268" s="14" t="s">
        <v>2376</v>
      </c>
      <c r="C268" s="14" t="s">
        <v>1076</v>
      </c>
      <c r="D268" s="14" t="s">
        <v>2904</v>
      </c>
      <c r="E268" s="14" t="s">
        <v>2890</v>
      </c>
      <c r="F268" s="14" t="s">
        <v>2905</v>
      </c>
      <c r="G268" s="14" t="s">
        <v>1014</v>
      </c>
      <c r="H268" s="14" t="s">
        <v>1015</v>
      </c>
      <c r="I268" s="14" t="s">
        <v>1078</v>
      </c>
      <c r="J268" s="14" t="s">
        <v>1016</v>
      </c>
      <c r="K268" s="14"/>
      <c r="L268" s="14" t="s">
        <v>1079</v>
      </c>
      <c r="M268" s="14" t="s">
        <v>1017</v>
      </c>
      <c r="N268" s="14" t="s">
        <v>1080</v>
      </c>
    </row>
    <row r="269" spans="1:14" ht="43.5" x14ac:dyDescent="0.35">
      <c r="A269" s="14" t="s">
        <v>52</v>
      </c>
      <c r="B269" s="14" t="s">
        <v>2376</v>
      </c>
      <c r="C269" s="14" t="s">
        <v>1076</v>
      </c>
      <c r="D269" s="14" t="s">
        <v>2881</v>
      </c>
      <c r="E269" s="14" t="s">
        <v>2906</v>
      </c>
      <c r="F269" s="14" t="s">
        <v>2907</v>
      </c>
      <c r="G269" s="14" t="s">
        <v>1014</v>
      </c>
      <c r="H269" s="14" t="s">
        <v>1015</v>
      </c>
      <c r="I269" s="14" t="s">
        <v>1078</v>
      </c>
      <c r="J269" s="14" t="s">
        <v>1016</v>
      </c>
      <c r="K269" s="14"/>
      <c r="L269" s="14" t="s">
        <v>1079</v>
      </c>
      <c r="M269" s="14" t="s">
        <v>1017</v>
      </c>
      <c r="N269" s="14" t="s">
        <v>1080</v>
      </c>
    </row>
    <row r="270" spans="1:14" ht="43.5" x14ac:dyDescent="0.35">
      <c r="A270" s="14" t="s">
        <v>52</v>
      </c>
      <c r="B270" s="14" t="s">
        <v>2376</v>
      </c>
      <c r="C270" s="14" t="s">
        <v>1076</v>
      </c>
      <c r="D270" s="14" t="s">
        <v>2908</v>
      </c>
      <c r="E270" s="14" t="s">
        <v>2909</v>
      </c>
      <c r="F270" s="14" t="s">
        <v>2910</v>
      </c>
      <c r="G270" s="14" t="s">
        <v>1014</v>
      </c>
      <c r="H270" s="14" t="s">
        <v>1015</v>
      </c>
      <c r="I270" s="14" t="s">
        <v>1078</v>
      </c>
      <c r="J270" s="14" t="s">
        <v>1016</v>
      </c>
      <c r="K270" s="14"/>
      <c r="L270" s="14" t="s">
        <v>1079</v>
      </c>
      <c r="M270" s="14" t="s">
        <v>1017</v>
      </c>
      <c r="N270" s="14" t="s">
        <v>1080</v>
      </c>
    </row>
    <row r="271" spans="1:14" ht="43.5" x14ac:dyDescent="0.35">
      <c r="A271" s="14" t="s">
        <v>52</v>
      </c>
      <c r="B271" s="14" t="s">
        <v>2381</v>
      </c>
      <c r="C271" s="14" t="s">
        <v>1076</v>
      </c>
      <c r="D271" s="14" t="s">
        <v>2800</v>
      </c>
      <c r="E271" s="14" t="s">
        <v>2801</v>
      </c>
      <c r="F271" s="14" t="s">
        <v>2802</v>
      </c>
      <c r="G271" s="14" t="s">
        <v>1014</v>
      </c>
      <c r="H271" s="14" t="s">
        <v>1015</v>
      </c>
      <c r="I271" s="14" t="s">
        <v>1078</v>
      </c>
      <c r="J271" s="14" t="s">
        <v>1016</v>
      </c>
      <c r="K271" s="14"/>
      <c r="L271" s="14" t="s">
        <v>1079</v>
      </c>
      <c r="M271" s="14" t="s">
        <v>1017</v>
      </c>
      <c r="N271" s="14" t="s">
        <v>1080</v>
      </c>
    </row>
    <row r="272" spans="1:14" ht="43.5" x14ac:dyDescent="0.35">
      <c r="A272" s="14" t="s">
        <v>52</v>
      </c>
      <c r="B272" s="14" t="s">
        <v>2381</v>
      </c>
      <c r="C272" s="14" t="s">
        <v>1076</v>
      </c>
      <c r="D272" s="14" t="s">
        <v>2803</v>
      </c>
      <c r="E272" s="14" t="s">
        <v>2804</v>
      </c>
      <c r="F272" s="14" t="s">
        <v>2805</v>
      </c>
      <c r="G272" s="14" t="s">
        <v>1014</v>
      </c>
      <c r="H272" s="14" t="s">
        <v>1015</v>
      </c>
      <c r="I272" s="14" t="s">
        <v>1078</v>
      </c>
      <c r="J272" s="14" t="s">
        <v>1016</v>
      </c>
      <c r="K272" s="14"/>
      <c r="L272" s="14" t="s">
        <v>1079</v>
      </c>
      <c r="M272" s="14" t="s">
        <v>1017</v>
      </c>
      <c r="N272" s="14" t="s">
        <v>1080</v>
      </c>
    </row>
    <row r="273" spans="1:14" ht="43.5" x14ac:dyDescent="0.35">
      <c r="A273" s="14" t="s">
        <v>52</v>
      </c>
      <c r="B273" s="14" t="s">
        <v>2381</v>
      </c>
      <c r="C273" s="14" t="s">
        <v>1076</v>
      </c>
      <c r="D273" s="14" t="s">
        <v>2806</v>
      </c>
      <c r="E273" s="14" t="s">
        <v>2807</v>
      </c>
      <c r="F273" s="14" t="s">
        <v>2808</v>
      </c>
      <c r="G273" s="14" t="s">
        <v>1014</v>
      </c>
      <c r="H273" s="14" t="s">
        <v>1015</v>
      </c>
      <c r="I273" s="14" t="s">
        <v>1078</v>
      </c>
      <c r="J273" s="14" t="s">
        <v>1016</v>
      </c>
      <c r="K273" s="14"/>
      <c r="L273" s="14" t="s">
        <v>1079</v>
      </c>
      <c r="M273" s="14" t="s">
        <v>1017</v>
      </c>
      <c r="N273" s="14" t="s">
        <v>1080</v>
      </c>
    </row>
    <row r="274" spans="1:14" ht="43.5" x14ac:dyDescent="0.35">
      <c r="A274" s="14" t="s">
        <v>52</v>
      </c>
      <c r="B274" s="14" t="s">
        <v>2381</v>
      </c>
      <c r="C274" s="14" t="s">
        <v>1076</v>
      </c>
      <c r="D274" s="14" t="s">
        <v>2809</v>
      </c>
      <c r="E274" s="14" t="s">
        <v>2810</v>
      </c>
      <c r="F274" s="14" t="s">
        <v>2811</v>
      </c>
      <c r="G274" s="14" t="s">
        <v>1014</v>
      </c>
      <c r="H274" s="14" t="s">
        <v>1015</v>
      </c>
      <c r="I274" s="14"/>
      <c r="J274" s="14" t="s">
        <v>1016</v>
      </c>
      <c r="K274" s="14"/>
      <c r="L274" s="14" t="s">
        <v>1079</v>
      </c>
      <c r="M274" s="14" t="s">
        <v>1017</v>
      </c>
      <c r="N274" s="14" t="s">
        <v>1080</v>
      </c>
    </row>
    <row r="275" spans="1:14" ht="43.5" x14ac:dyDescent="0.35">
      <c r="A275" s="14" t="s">
        <v>52</v>
      </c>
      <c r="B275" s="14" t="s">
        <v>2383</v>
      </c>
      <c r="C275" s="14" t="s">
        <v>1076</v>
      </c>
      <c r="D275" s="14" t="s">
        <v>2835</v>
      </c>
      <c r="E275" s="14" t="s">
        <v>2836</v>
      </c>
      <c r="F275" s="14" t="s">
        <v>3339</v>
      </c>
      <c r="G275" s="14" t="s">
        <v>1014</v>
      </c>
      <c r="H275" s="14" t="s">
        <v>1015</v>
      </c>
      <c r="I275" s="14"/>
      <c r="J275" s="14" t="s">
        <v>1016</v>
      </c>
      <c r="K275" s="14"/>
      <c r="L275" s="14" t="s">
        <v>1079</v>
      </c>
      <c r="M275" s="14" t="s">
        <v>1017</v>
      </c>
      <c r="N275" s="14" t="s">
        <v>1080</v>
      </c>
    </row>
    <row r="276" spans="1:14" ht="43.5" x14ac:dyDescent="0.35">
      <c r="A276" s="14" t="s">
        <v>52</v>
      </c>
      <c r="B276" s="14" t="s">
        <v>2383</v>
      </c>
      <c r="C276" s="14" t="s">
        <v>1076</v>
      </c>
      <c r="D276" s="14" t="s">
        <v>2840</v>
      </c>
      <c r="E276" s="14" t="s">
        <v>2841</v>
      </c>
      <c r="F276" s="14" t="s">
        <v>3340</v>
      </c>
      <c r="G276" s="14" t="s">
        <v>1014</v>
      </c>
      <c r="H276" s="14" t="s">
        <v>1015</v>
      </c>
      <c r="I276" s="14"/>
      <c r="J276" s="14" t="s">
        <v>1016</v>
      </c>
      <c r="K276" s="14"/>
      <c r="L276" s="14" t="s">
        <v>1079</v>
      </c>
      <c r="M276" s="14" t="s">
        <v>1017</v>
      </c>
      <c r="N276" s="14" t="s">
        <v>1080</v>
      </c>
    </row>
    <row r="277" spans="1:14" ht="43.5" x14ac:dyDescent="0.35">
      <c r="A277" s="14" t="s">
        <v>52</v>
      </c>
      <c r="B277" s="14" t="s">
        <v>2383</v>
      </c>
      <c r="C277" s="14" t="s">
        <v>1076</v>
      </c>
      <c r="D277" s="14" t="s">
        <v>3341</v>
      </c>
      <c r="E277" s="14" t="s">
        <v>3342</v>
      </c>
      <c r="F277" s="14" t="s">
        <v>3343</v>
      </c>
      <c r="G277" s="14" t="s">
        <v>1014</v>
      </c>
      <c r="H277" s="14" t="s">
        <v>1015</v>
      </c>
      <c r="I277" s="14"/>
      <c r="J277" s="14" t="s">
        <v>1016</v>
      </c>
      <c r="K277" s="14"/>
      <c r="L277" s="14" t="s">
        <v>1079</v>
      </c>
      <c r="M277" s="14" t="s">
        <v>1017</v>
      </c>
      <c r="N277" s="14" t="s">
        <v>1080</v>
      </c>
    </row>
    <row r="278" spans="1:14" ht="43.5" x14ac:dyDescent="0.35">
      <c r="A278" s="14" t="s">
        <v>52</v>
      </c>
      <c r="B278" s="14" t="s">
        <v>2383</v>
      </c>
      <c r="C278" s="14" t="s">
        <v>1076</v>
      </c>
      <c r="D278" s="14" t="s">
        <v>2874</v>
      </c>
      <c r="E278" s="14" t="s">
        <v>3107</v>
      </c>
      <c r="F278" s="14" t="s">
        <v>3344</v>
      </c>
      <c r="G278" s="14" t="s">
        <v>1014</v>
      </c>
      <c r="H278" s="14" t="s">
        <v>1015</v>
      </c>
      <c r="I278" s="14" t="s">
        <v>1078</v>
      </c>
      <c r="J278" s="14" t="s">
        <v>1016</v>
      </c>
      <c r="K278" s="14"/>
      <c r="L278" s="14" t="s">
        <v>1079</v>
      </c>
      <c r="M278" s="14" t="s">
        <v>1017</v>
      </c>
      <c r="N278" s="14" t="s">
        <v>1080</v>
      </c>
    </row>
    <row r="279" spans="1:14" ht="43.5" x14ac:dyDescent="0.35">
      <c r="A279" s="14" t="s">
        <v>52</v>
      </c>
      <c r="B279" s="14" t="s">
        <v>2383</v>
      </c>
      <c r="C279" s="14" t="s">
        <v>1076</v>
      </c>
      <c r="D279" s="14" t="s">
        <v>3236</v>
      </c>
      <c r="E279" s="14" t="s">
        <v>3345</v>
      </c>
      <c r="F279" s="14" t="s">
        <v>2851</v>
      </c>
      <c r="G279" s="14" t="s">
        <v>1014</v>
      </c>
      <c r="H279" s="14" t="s">
        <v>1015</v>
      </c>
      <c r="I279" s="14" t="s">
        <v>1078</v>
      </c>
      <c r="J279" s="14" t="s">
        <v>1016</v>
      </c>
      <c r="K279" s="14"/>
      <c r="L279" s="14" t="s">
        <v>1079</v>
      </c>
      <c r="M279" s="14" t="s">
        <v>1017</v>
      </c>
      <c r="N279" s="14" t="s">
        <v>1080</v>
      </c>
    </row>
    <row r="280" spans="1:14" ht="43.5" x14ac:dyDescent="0.35">
      <c r="A280" s="14" t="s">
        <v>52</v>
      </c>
      <c r="B280" s="14" t="s">
        <v>2383</v>
      </c>
      <c r="C280" s="14" t="s">
        <v>1076</v>
      </c>
      <c r="D280" s="14" t="s">
        <v>3346</v>
      </c>
      <c r="E280" s="14" t="s">
        <v>3347</v>
      </c>
      <c r="F280" s="14" t="s">
        <v>2854</v>
      </c>
      <c r="G280" s="14" t="s">
        <v>1014</v>
      </c>
      <c r="H280" s="14" t="s">
        <v>1015</v>
      </c>
      <c r="I280" s="14" t="s">
        <v>1078</v>
      </c>
      <c r="J280" s="14" t="s">
        <v>1016</v>
      </c>
      <c r="K280" s="14"/>
      <c r="L280" s="14" t="s">
        <v>1079</v>
      </c>
      <c r="M280" s="14" t="s">
        <v>1017</v>
      </c>
      <c r="N280" s="14" t="s">
        <v>1080</v>
      </c>
    </row>
    <row r="281" spans="1:14" ht="43.5" x14ac:dyDescent="0.35">
      <c r="A281" s="14" t="s">
        <v>52</v>
      </c>
      <c r="B281" s="14" t="s">
        <v>2383</v>
      </c>
      <c r="C281" s="14" t="s">
        <v>1076</v>
      </c>
      <c r="D281" s="14" t="s">
        <v>3348</v>
      </c>
      <c r="E281" s="14" t="s">
        <v>3349</v>
      </c>
      <c r="F281" s="14" t="s">
        <v>3350</v>
      </c>
      <c r="G281" s="14" t="s">
        <v>1014</v>
      </c>
      <c r="H281" s="14" t="s">
        <v>1015</v>
      </c>
      <c r="I281" s="14"/>
      <c r="J281" s="14" t="s">
        <v>1016</v>
      </c>
      <c r="K281" s="14"/>
      <c r="L281" s="14" t="s">
        <v>1079</v>
      </c>
      <c r="M281" s="14" t="s">
        <v>1017</v>
      </c>
      <c r="N281" s="14" t="s">
        <v>1080</v>
      </c>
    </row>
    <row r="282" spans="1:14" ht="43.5" x14ac:dyDescent="0.35">
      <c r="A282" s="14" t="s">
        <v>52</v>
      </c>
      <c r="B282" s="14" t="s">
        <v>2383</v>
      </c>
      <c r="C282" s="14" t="s">
        <v>1076</v>
      </c>
      <c r="D282" s="14" t="s">
        <v>3351</v>
      </c>
      <c r="E282" s="14" t="s">
        <v>3352</v>
      </c>
      <c r="F282" s="14" t="s">
        <v>2860</v>
      </c>
      <c r="G282" s="14" t="s">
        <v>1014</v>
      </c>
      <c r="H282" s="14" t="s">
        <v>1015</v>
      </c>
      <c r="I282" s="14"/>
      <c r="J282" s="14" t="s">
        <v>1016</v>
      </c>
      <c r="K282" s="14"/>
      <c r="L282" s="14" t="s">
        <v>1079</v>
      </c>
      <c r="M282" s="14" t="s">
        <v>1017</v>
      </c>
      <c r="N282" s="14" t="s">
        <v>1080</v>
      </c>
    </row>
    <row r="283" spans="1:14" ht="43.5" x14ac:dyDescent="0.35">
      <c r="A283" s="14" t="s">
        <v>52</v>
      </c>
      <c r="B283" s="14" t="s">
        <v>2405</v>
      </c>
      <c r="C283" s="14" t="s">
        <v>1076</v>
      </c>
      <c r="D283" s="14" t="s">
        <v>2787</v>
      </c>
      <c r="E283" s="14" t="s">
        <v>3353</v>
      </c>
      <c r="F283" s="14" t="s">
        <v>2877</v>
      </c>
      <c r="G283" s="14" t="s">
        <v>1014</v>
      </c>
      <c r="H283" s="14" t="s">
        <v>1015</v>
      </c>
      <c r="I283" s="14" t="s">
        <v>1078</v>
      </c>
      <c r="J283" s="14" t="s">
        <v>1016</v>
      </c>
      <c r="K283" s="14"/>
      <c r="L283" s="14" t="s">
        <v>1079</v>
      </c>
      <c r="M283" s="14" t="s">
        <v>1017</v>
      </c>
      <c r="N283" s="14" t="s">
        <v>1080</v>
      </c>
    </row>
    <row r="284" spans="1:14" ht="43.5" x14ac:dyDescent="0.35">
      <c r="A284" s="14" t="s">
        <v>52</v>
      </c>
      <c r="B284" s="14" t="s">
        <v>2405</v>
      </c>
      <c r="C284" s="14" t="s">
        <v>1076</v>
      </c>
      <c r="D284" s="14" t="s">
        <v>3055</v>
      </c>
      <c r="E284" s="14" t="s">
        <v>3142</v>
      </c>
      <c r="F284" s="14" t="s">
        <v>2880</v>
      </c>
      <c r="G284" s="14" t="s">
        <v>1014</v>
      </c>
      <c r="H284" s="14" t="s">
        <v>1015</v>
      </c>
      <c r="I284" s="14" t="s">
        <v>1078</v>
      </c>
      <c r="J284" s="14" t="s">
        <v>1016</v>
      </c>
      <c r="K284" s="14"/>
      <c r="L284" s="14" t="s">
        <v>1079</v>
      </c>
      <c r="M284" s="14" t="s">
        <v>1017</v>
      </c>
      <c r="N284" s="14" t="s">
        <v>1080</v>
      </c>
    </row>
    <row r="285" spans="1:14" ht="43.5" x14ac:dyDescent="0.35">
      <c r="A285" s="14" t="s">
        <v>52</v>
      </c>
      <c r="B285" s="14" t="s">
        <v>2405</v>
      </c>
      <c r="C285" s="14" t="s">
        <v>1076</v>
      </c>
      <c r="D285" s="14" t="s">
        <v>3354</v>
      </c>
      <c r="E285" s="14" t="s">
        <v>3355</v>
      </c>
      <c r="F285" s="14" t="s">
        <v>3356</v>
      </c>
      <c r="G285" s="14" t="s">
        <v>1014</v>
      </c>
      <c r="H285" s="14" t="s">
        <v>1015</v>
      </c>
      <c r="I285" s="14"/>
      <c r="J285" s="14" t="s">
        <v>1016</v>
      </c>
      <c r="K285" s="14"/>
      <c r="L285" s="14" t="s">
        <v>1079</v>
      </c>
      <c r="M285" s="14" t="s">
        <v>1017</v>
      </c>
      <c r="N285" s="14" t="s">
        <v>1080</v>
      </c>
    </row>
    <row r="286" spans="1:14" ht="43.5" x14ac:dyDescent="0.35">
      <c r="A286" s="14" t="s">
        <v>52</v>
      </c>
      <c r="B286" s="14" t="s">
        <v>2405</v>
      </c>
      <c r="C286" s="14" t="s">
        <v>1076</v>
      </c>
      <c r="D286" s="14" t="s">
        <v>3357</v>
      </c>
      <c r="E286" s="14" t="s">
        <v>3358</v>
      </c>
      <c r="F286" s="14" t="s">
        <v>2883</v>
      </c>
      <c r="G286" s="14" t="s">
        <v>1014</v>
      </c>
      <c r="H286" s="14" t="s">
        <v>1015</v>
      </c>
      <c r="I286" s="14"/>
      <c r="J286" s="14" t="s">
        <v>1016</v>
      </c>
      <c r="K286" s="14"/>
      <c r="L286" s="14" t="s">
        <v>1079</v>
      </c>
      <c r="M286" s="14" t="s">
        <v>1017</v>
      </c>
      <c r="N286" s="14" t="s">
        <v>1080</v>
      </c>
    </row>
    <row r="287" spans="1:14" ht="43.5" x14ac:dyDescent="0.35">
      <c r="A287" s="14" t="s">
        <v>52</v>
      </c>
      <c r="B287" s="14" t="s">
        <v>2405</v>
      </c>
      <c r="C287" s="14" t="s">
        <v>1076</v>
      </c>
      <c r="D287" s="14" t="s">
        <v>3023</v>
      </c>
      <c r="E287" s="14" t="s">
        <v>3024</v>
      </c>
      <c r="F287" s="14" t="s">
        <v>3359</v>
      </c>
      <c r="G287" s="14" t="s">
        <v>1014</v>
      </c>
      <c r="H287" s="14" t="s">
        <v>1015</v>
      </c>
      <c r="I287" s="14"/>
      <c r="J287" s="14" t="s">
        <v>1016</v>
      </c>
      <c r="K287" s="14"/>
      <c r="L287" s="14" t="s">
        <v>1079</v>
      </c>
      <c r="M287" s="14" t="s">
        <v>1017</v>
      </c>
      <c r="N287" s="14" t="s">
        <v>1080</v>
      </c>
    </row>
    <row r="288" spans="1:14" ht="43.5" x14ac:dyDescent="0.35">
      <c r="A288" s="14" t="s">
        <v>52</v>
      </c>
      <c r="B288" s="14" t="s">
        <v>2417</v>
      </c>
      <c r="C288" s="14" t="s">
        <v>1076</v>
      </c>
      <c r="D288" s="14" t="s">
        <v>2870</v>
      </c>
      <c r="E288" s="14" t="s">
        <v>2871</v>
      </c>
      <c r="F288" s="14" t="s">
        <v>3128</v>
      </c>
      <c r="G288" s="14" t="s">
        <v>1014</v>
      </c>
      <c r="H288" s="14" t="s">
        <v>1015</v>
      </c>
      <c r="I288" s="14" t="s">
        <v>1078</v>
      </c>
      <c r="J288" s="14" t="s">
        <v>1016</v>
      </c>
      <c r="K288" s="14"/>
      <c r="L288" s="14" t="s">
        <v>1079</v>
      </c>
      <c r="M288" s="14" t="s">
        <v>1017</v>
      </c>
      <c r="N288" s="14" t="s">
        <v>1080</v>
      </c>
    </row>
    <row r="289" spans="1:14" ht="43.5" x14ac:dyDescent="0.35">
      <c r="A289" s="14" t="s">
        <v>52</v>
      </c>
      <c r="B289" s="14" t="s">
        <v>2417</v>
      </c>
      <c r="C289" s="14" t="s">
        <v>1076</v>
      </c>
      <c r="D289" s="14" t="s">
        <v>2890</v>
      </c>
      <c r="E289" s="14" t="s">
        <v>2891</v>
      </c>
      <c r="F289" s="14" t="s">
        <v>3129</v>
      </c>
      <c r="G289" s="14" t="s">
        <v>1014</v>
      </c>
      <c r="H289" s="14" t="s">
        <v>1015</v>
      </c>
      <c r="I289" s="14" t="s">
        <v>1078</v>
      </c>
      <c r="J289" s="14" t="s">
        <v>1016</v>
      </c>
      <c r="K289" s="14"/>
      <c r="L289" s="14" t="s">
        <v>1079</v>
      </c>
      <c r="M289" s="14" t="s">
        <v>1017</v>
      </c>
      <c r="N289" s="14" t="s">
        <v>1080</v>
      </c>
    </row>
    <row r="290" spans="1:14" ht="43.5" x14ac:dyDescent="0.35">
      <c r="A290" s="14" t="s">
        <v>52</v>
      </c>
      <c r="B290" s="14" t="s">
        <v>2417</v>
      </c>
      <c r="C290" s="14" t="s">
        <v>1076</v>
      </c>
      <c r="D290" s="14" t="s">
        <v>3003</v>
      </c>
      <c r="E290" s="14" t="s">
        <v>3130</v>
      </c>
      <c r="F290" s="14" t="s">
        <v>3131</v>
      </c>
      <c r="G290" s="14" t="s">
        <v>1014</v>
      </c>
      <c r="H290" s="14" t="s">
        <v>1015</v>
      </c>
      <c r="I290" s="14" t="s">
        <v>1078</v>
      </c>
      <c r="J290" s="14" t="s">
        <v>1016</v>
      </c>
      <c r="K290" s="14"/>
      <c r="L290" s="14" t="s">
        <v>1079</v>
      </c>
      <c r="M290" s="14" t="s">
        <v>1017</v>
      </c>
      <c r="N290" s="14" t="s">
        <v>1080</v>
      </c>
    </row>
    <row r="291" spans="1:14" ht="43.5" x14ac:dyDescent="0.35">
      <c r="A291" s="14" t="s">
        <v>52</v>
      </c>
      <c r="B291" s="14" t="s">
        <v>2417</v>
      </c>
      <c r="C291" s="14" t="s">
        <v>1076</v>
      </c>
      <c r="D291" s="14" t="s">
        <v>3360</v>
      </c>
      <c r="E291" s="14" t="s">
        <v>3361</v>
      </c>
      <c r="F291" s="14" t="s">
        <v>3362</v>
      </c>
      <c r="G291" s="14" t="s">
        <v>1014</v>
      </c>
      <c r="H291" s="14" t="s">
        <v>1015</v>
      </c>
      <c r="I291" s="14"/>
      <c r="J291" s="14" t="s">
        <v>1016</v>
      </c>
      <c r="K291" s="14"/>
      <c r="L291" s="14" t="s">
        <v>1079</v>
      </c>
      <c r="M291" s="14" t="s">
        <v>1017</v>
      </c>
      <c r="N291" s="14" t="s">
        <v>1080</v>
      </c>
    </row>
    <row r="292" spans="1:14" ht="29" x14ac:dyDescent="0.35">
      <c r="A292" s="14" t="s">
        <v>52</v>
      </c>
      <c r="B292" s="14" t="s">
        <v>2417</v>
      </c>
      <c r="C292" s="14" t="s">
        <v>3005</v>
      </c>
      <c r="D292" s="14" t="s">
        <v>2806</v>
      </c>
      <c r="E292" s="14" t="s">
        <v>2807</v>
      </c>
      <c r="F292" s="14" t="s">
        <v>3363</v>
      </c>
      <c r="G292" s="14" t="s">
        <v>1014</v>
      </c>
      <c r="H292" s="14" t="s">
        <v>1015</v>
      </c>
      <c r="I292" s="14"/>
      <c r="J292" s="14" t="s">
        <v>1016</v>
      </c>
      <c r="K292" s="14"/>
      <c r="L292" s="14" t="s">
        <v>1229</v>
      </c>
      <c r="M292" s="14" t="s">
        <v>1017</v>
      </c>
      <c r="N292" s="14" t="s">
        <v>3007</v>
      </c>
    </row>
    <row r="293" spans="1:14" ht="43.5" x14ac:dyDescent="0.35">
      <c r="A293" s="14" t="s">
        <v>52</v>
      </c>
      <c r="B293" s="14" t="s">
        <v>2429</v>
      </c>
      <c r="C293" s="14" t="s">
        <v>1076</v>
      </c>
      <c r="D293" s="14" t="s">
        <v>2940</v>
      </c>
      <c r="E293" s="14" t="s">
        <v>2941</v>
      </c>
      <c r="F293" s="14" t="s">
        <v>2942</v>
      </c>
      <c r="G293" s="14" t="s">
        <v>1014</v>
      </c>
      <c r="H293" s="14" t="s">
        <v>1015</v>
      </c>
      <c r="I293" s="14" t="s">
        <v>1078</v>
      </c>
      <c r="J293" s="14" t="s">
        <v>1016</v>
      </c>
      <c r="K293" s="14"/>
      <c r="L293" s="14" t="s">
        <v>1079</v>
      </c>
      <c r="M293" s="14" t="s">
        <v>1017</v>
      </c>
      <c r="N293" s="14" t="s">
        <v>1080</v>
      </c>
    </row>
    <row r="294" spans="1:14" ht="43.5" x14ac:dyDescent="0.35">
      <c r="A294" s="14" t="s">
        <v>52</v>
      </c>
      <c r="B294" s="14" t="s">
        <v>2429</v>
      </c>
      <c r="C294" s="14" t="s">
        <v>1076</v>
      </c>
      <c r="D294" s="14" t="s">
        <v>2838</v>
      </c>
      <c r="E294" s="14" t="s">
        <v>3336</v>
      </c>
      <c r="F294" s="14" t="s">
        <v>3364</v>
      </c>
      <c r="G294" s="14" t="s">
        <v>1014</v>
      </c>
      <c r="H294" s="14" t="s">
        <v>1015</v>
      </c>
      <c r="I294" s="14" t="s">
        <v>1078</v>
      </c>
      <c r="J294" s="14" t="s">
        <v>1016</v>
      </c>
      <c r="K294" s="14"/>
      <c r="L294" s="14" t="s">
        <v>1079</v>
      </c>
      <c r="M294" s="14" t="s">
        <v>1017</v>
      </c>
      <c r="N294" s="14" t="s">
        <v>1080</v>
      </c>
    </row>
    <row r="295" spans="1:14" ht="43.5" x14ac:dyDescent="0.35">
      <c r="A295" s="14" t="s">
        <v>52</v>
      </c>
      <c r="B295" s="14" t="s">
        <v>2429</v>
      </c>
      <c r="C295" s="14" t="s">
        <v>1076</v>
      </c>
      <c r="D295" s="14" t="s">
        <v>2943</v>
      </c>
      <c r="E295" s="14" t="s">
        <v>2944</v>
      </c>
      <c r="F295" s="14" t="s">
        <v>2945</v>
      </c>
      <c r="G295" s="14" t="s">
        <v>1014</v>
      </c>
      <c r="H295" s="14" t="s">
        <v>1015</v>
      </c>
      <c r="I295" s="14" t="s">
        <v>1078</v>
      </c>
      <c r="J295" s="14" t="s">
        <v>1016</v>
      </c>
      <c r="K295" s="14"/>
      <c r="L295" s="14" t="s">
        <v>1079</v>
      </c>
      <c r="M295" s="14" t="s">
        <v>1017</v>
      </c>
      <c r="N295" s="14" t="s">
        <v>1080</v>
      </c>
    </row>
    <row r="296" spans="1:14" ht="43.5" x14ac:dyDescent="0.35">
      <c r="A296" s="14" t="s">
        <v>52</v>
      </c>
      <c r="B296" s="14" t="s">
        <v>2447</v>
      </c>
      <c r="C296" s="14" t="s">
        <v>1076</v>
      </c>
      <c r="D296" s="14" t="s">
        <v>2868</v>
      </c>
      <c r="E296" s="14" t="s">
        <v>3140</v>
      </c>
      <c r="F296" s="14" t="s">
        <v>3150</v>
      </c>
      <c r="G296" s="14" t="s">
        <v>1014</v>
      </c>
      <c r="H296" s="14" t="s">
        <v>1015</v>
      </c>
      <c r="I296" s="14"/>
      <c r="J296" s="14" t="s">
        <v>1016</v>
      </c>
      <c r="K296" s="14"/>
      <c r="L296" s="14" t="s">
        <v>1079</v>
      </c>
      <c r="M296" s="14" t="s">
        <v>1017</v>
      </c>
      <c r="N296" s="14" t="s">
        <v>1080</v>
      </c>
    </row>
    <row r="297" spans="1:14" ht="43.5" x14ac:dyDescent="0.35">
      <c r="A297" s="14" t="s">
        <v>52</v>
      </c>
      <c r="B297" s="14" t="s">
        <v>2447</v>
      </c>
      <c r="C297" s="14" t="s">
        <v>1076</v>
      </c>
      <c r="D297" s="14" t="s">
        <v>3151</v>
      </c>
      <c r="E297" s="14" t="s">
        <v>2979</v>
      </c>
      <c r="F297" s="14" t="s">
        <v>3152</v>
      </c>
      <c r="G297" s="14" t="s">
        <v>1014</v>
      </c>
      <c r="H297" s="14" t="s">
        <v>1015</v>
      </c>
      <c r="I297" s="14"/>
      <c r="J297" s="14" t="s">
        <v>1016</v>
      </c>
      <c r="K297" s="14"/>
      <c r="L297" s="14" t="s">
        <v>1079</v>
      </c>
      <c r="M297" s="14" t="s">
        <v>1017</v>
      </c>
      <c r="N297" s="14" t="s">
        <v>1080</v>
      </c>
    </row>
    <row r="298" spans="1:14" ht="43.5" x14ac:dyDescent="0.35">
      <c r="A298" s="14" t="s">
        <v>52</v>
      </c>
      <c r="B298" s="14" t="s">
        <v>2447</v>
      </c>
      <c r="C298" s="14" t="s">
        <v>1076</v>
      </c>
      <c r="D298" s="14" t="s">
        <v>3155</v>
      </c>
      <c r="E298" s="14" t="s">
        <v>3156</v>
      </c>
      <c r="F298" s="14" t="s">
        <v>3157</v>
      </c>
      <c r="G298" s="14" t="s">
        <v>1014</v>
      </c>
      <c r="H298" s="14" t="s">
        <v>1015</v>
      </c>
      <c r="I298" s="14" t="s">
        <v>1078</v>
      </c>
      <c r="J298" s="14" t="s">
        <v>1016</v>
      </c>
      <c r="K298" s="14"/>
      <c r="L298" s="14" t="s">
        <v>1079</v>
      </c>
      <c r="M298" s="14" t="s">
        <v>1017</v>
      </c>
      <c r="N298" s="14" t="s">
        <v>1080</v>
      </c>
    </row>
    <row r="299" spans="1:14" ht="43.5" x14ac:dyDescent="0.35">
      <c r="A299" s="14" t="s">
        <v>52</v>
      </c>
      <c r="B299" s="14" t="s">
        <v>2447</v>
      </c>
      <c r="C299" s="14" t="s">
        <v>1076</v>
      </c>
      <c r="D299" s="14" t="s">
        <v>3017</v>
      </c>
      <c r="E299" s="14" t="s">
        <v>3158</v>
      </c>
      <c r="F299" s="14" t="s">
        <v>3159</v>
      </c>
      <c r="G299" s="14" t="s">
        <v>1014</v>
      </c>
      <c r="H299" s="14" t="s">
        <v>1015</v>
      </c>
      <c r="I299" s="14" t="s">
        <v>1078</v>
      </c>
      <c r="J299" s="14" t="s">
        <v>1016</v>
      </c>
      <c r="K299" s="14"/>
      <c r="L299" s="14" t="s">
        <v>1079</v>
      </c>
      <c r="M299" s="14" t="s">
        <v>1017</v>
      </c>
      <c r="N299" s="14" t="s">
        <v>1080</v>
      </c>
    </row>
    <row r="300" spans="1:14" ht="43.5" x14ac:dyDescent="0.35">
      <c r="A300" s="14" t="s">
        <v>52</v>
      </c>
      <c r="B300" s="14" t="s">
        <v>2473</v>
      </c>
      <c r="C300" s="14" t="s">
        <v>1076</v>
      </c>
      <c r="D300" s="14" t="s">
        <v>2955</v>
      </c>
      <c r="E300" s="14" t="s">
        <v>2956</v>
      </c>
      <c r="F300" s="14" t="s">
        <v>2957</v>
      </c>
      <c r="G300" s="14" t="s">
        <v>1014</v>
      </c>
      <c r="H300" s="14" t="s">
        <v>1015</v>
      </c>
      <c r="I300" s="14"/>
      <c r="J300" s="14" t="s">
        <v>1016</v>
      </c>
      <c r="K300" s="14"/>
      <c r="L300" s="14" t="s">
        <v>1079</v>
      </c>
      <c r="M300" s="14" t="s">
        <v>1017</v>
      </c>
      <c r="N300" s="14" t="s">
        <v>1080</v>
      </c>
    </row>
    <row r="301" spans="1:14" ht="43.5" x14ac:dyDescent="0.35">
      <c r="A301" s="14" t="s">
        <v>52</v>
      </c>
      <c r="B301" s="14" t="s">
        <v>2473</v>
      </c>
      <c r="C301" s="14" t="s">
        <v>1076</v>
      </c>
      <c r="D301" s="14" t="s">
        <v>2961</v>
      </c>
      <c r="E301" s="14" t="s">
        <v>2962</v>
      </c>
      <c r="F301" s="14" t="s">
        <v>2963</v>
      </c>
      <c r="G301" s="14" t="s">
        <v>1014</v>
      </c>
      <c r="H301" s="14" t="s">
        <v>1015</v>
      </c>
      <c r="I301" s="14" t="s">
        <v>1078</v>
      </c>
      <c r="J301" s="14" t="s">
        <v>1016</v>
      </c>
      <c r="K301" s="14"/>
      <c r="L301" s="14" t="s">
        <v>1079</v>
      </c>
      <c r="M301" s="14" t="s">
        <v>1017</v>
      </c>
      <c r="N301" s="14" t="s">
        <v>1080</v>
      </c>
    </row>
    <row r="302" spans="1:14" ht="43.5" x14ac:dyDescent="0.35">
      <c r="A302" s="14" t="s">
        <v>52</v>
      </c>
      <c r="B302" s="14" t="s">
        <v>2473</v>
      </c>
      <c r="C302" s="14" t="s">
        <v>1076</v>
      </c>
      <c r="D302" s="14" t="s">
        <v>2964</v>
      </c>
      <c r="E302" s="14" t="s">
        <v>2965</v>
      </c>
      <c r="F302" s="14" t="s">
        <v>2966</v>
      </c>
      <c r="G302" s="14" t="s">
        <v>1014</v>
      </c>
      <c r="H302" s="14" t="s">
        <v>1015</v>
      </c>
      <c r="I302" s="14" t="s">
        <v>1078</v>
      </c>
      <c r="J302" s="14" t="s">
        <v>1016</v>
      </c>
      <c r="K302" s="14"/>
      <c r="L302" s="14" t="s">
        <v>1079</v>
      </c>
      <c r="M302" s="14" t="s">
        <v>1017</v>
      </c>
      <c r="N302" s="14" t="s">
        <v>1080</v>
      </c>
    </row>
    <row r="303" spans="1:14" ht="43.5" x14ac:dyDescent="0.35">
      <c r="A303" s="14" t="s">
        <v>52</v>
      </c>
      <c r="B303" s="14" t="s">
        <v>2473</v>
      </c>
      <c r="C303" s="14" t="s">
        <v>1076</v>
      </c>
      <c r="D303" s="14" t="s">
        <v>2816</v>
      </c>
      <c r="E303" s="14" t="s">
        <v>2967</v>
      </c>
      <c r="F303" s="14" t="s">
        <v>2968</v>
      </c>
      <c r="G303" s="14" t="s">
        <v>1014</v>
      </c>
      <c r="H303" s="14" t="s">
        <v>1015</v>
      </c>
      <c r="I303" s="14" t="s">
        <v>1078</v>
      </c>
      <c r="J303" s="14" t="s">
        <v>1016</v>
      </c>
      <c r="K303" s="14"/>
      <c r="L303" s="14" t="s">
        <v>1079</v>
      </c>
      <c r="M303" s="14" t="s">
        <v>1017</v>
      </c>
      <c r="N303" s="14" t="s">
        <v>1080</v>
      </c>
    </row>
    <row r="304" spans="1:14" ht="43.5" x14ac:dyDescent="0.35">
      <c r="A304" s="14" t="s">
        <v>52</v>
      </c>
      <c r="B304" s="14" t="s">
        <v>2478</v>
      </c>
      <c r="C304" s="14" t="s">
        <v>1076</v>
      </c>
      <c r="D304" s="14" t="s">
        <v>2955</v>
      </c>
      <c r="E304" s="14" t="s">
        <v>3062</v>
      </c>
      <c r="F304" s="14" t="s">
        <v>3063</v>
      </c>
      <c r="G304" s="14" t="s">
        <v>1014</v>
      </c>
      <c r="H304" s="14" t="s">
        <v>1015</v>
      </c>
      <c r="I304" s="14"/>
      <c r="J304" s="14" t="s">
        <v>1016</v>
      </c>
      <c r="K304" s="14"/>
      <c r="L304" s="14" t="s">
        <v>1079</v>
      </c>
      <c r="M304" s="14" t="s">
        <v>1017</v>
      </c>
      <c r="N304" s="14" t="s">
        <v>1080</v>
      </c>
    </row>
    <row r="305" spans="1:14" ht="43.5" x14ac:dyDescent="0.35">
      <c r="A305" s="14" t="s">
        <v>52</v>
      </c>
      <c r="B305" s="14" t="s">
        <v>2478</v>
      </c>
      <c r="C305" s="14" t="s">
        <v>1076</v>
      </c>
      <c r="D305" s="14" t="s">
        <v>3064</v>
      </c>
      <c r="E305" s="14" t="s">
        <v>3065</v>
      </c>
      <c r="F305" s="14" t="s">
        <v>3066</v>
      </c>
      <c r="G305" s="14" t="s">
        <v>1014</v>
      </c>
      <c r="H305" s="14" t="s">
        <v>1015</v>
      </c>
      <c r="I305" s="14"/>
      <c r="J305" s="14" t="s">
        <v>1016</v>
      </c>
      <c r="K305" s="14"/>
      <c r="L305" s="14" t="s">
        <v>1079</v>
      </c>
      <c r="M305" s="14" t="s">
        <v>1017</v>
      </c>
      <c r="N305" s="14" t="s">
        <v>1080</v>
      </c>
    </row>
    <row r="306" spans="1:14" ht="43.5" x14ac:dyDescent="0.35">
      <c r="A306" s="14" t="s">
        <v>52</v>
      </c>
      <c r="B306" s="14" t="s">
        <v>2478</v>
      </c>
      <c r="C306" s="14" t="s">
        <v>1076</v>
      </c>
      <c r="D306" s="14" t="s">
        <v>3067</v>
      </c>
      <c r="E306" s="14" t="s">
        <v>3068</v>
      </c>
      <c r="F306" s="14" t="s">
        <v>3069</v>
      </c>
      <c r="G306" s="14" t="s">
        <v>1014</v>
      </c>
      <c r="H306" s="14" t="s">
        <v>1015</v>
      </c>
      <c r="I306" s="14" t="s">
        <v>1078</v>
      </c>
      <c r="J306" s="14" t="s">
        <v>1016</v>
      </c>
      <c r="K306" s="14"/>
      <c r="L306" s="14" t="s">
        <v>1079</v>
      </c>
      <c r="M306" s="14" t="s">
        <v>1017</v>
      </c>
      <c r="N306" s="14" t="s">
        <v>1080</v>
      </c>
    </row>
    <row r="307" spans="1:14" ht="43.5" x14ac:dyDescent="0.35">
      <c r="A307" s="14" t="s">
        <v>52</v>
      </c>
      <c r="B307" s="14" t="s">
        <v>2478</v>
      </c>
      <c r="C307" s="14" t="s">
        <v>1076</v>
      </c>
      <c r="D307" s="14" t="s">
        <v>2844</v>
      </c>
      <c r="E307" s="14" t="s">
        <v>3070</v>
      </c>
      <c r="F307" s="14" t="s">
        <v>3071</v>
      </c>
      <c r="G307" s="14" t="s">
        <v>1014</v>
      </c>
      <c r="H307" s="14" t="s">
        <v>1015</v>
      </c>
      <c r="I307" s="14" t="s">
        <v>54</v>
      </c>
      <c r="J307" s="14" t="s">
        <v>1016</v>
      </c>
      <c r="K307" s="14"/>
      <c r="L307" s="14" t="s">
        <v>1079</v>
      </c>
      <c r="M307" s="14" t="s">
        <v>1017</v>
      </c>
      <c r="N307" s="14" t="s">
        <v>1080</v>
      </c>
    </row>
    <row r="308" spans="1:14" ht="43.5" x14ac:dyDescent="0.35">
      <c r="A308" s="14" t="s">
        <v>52</v>
      </c>
      <c r="B308" s="14" t="s">
        <v>2478</v>
      </c>
      <c r="C308" s="14" t="s">
        <v>1076</v>
      </c>
      <c r="D308" s="14" t="s">
        <v>3072</v>
      </c>
      <c r="E308" s="14" t="s">
        <v>3073</v>
      </c>
      <c r="F308" s="14" t="s">
        <v>2983</v>
      </c>
      <c r="G308" s="14" t="s">
        <v>1014</v>
      </c>
      <c r="H308" s="14" t="s">
        <v>1015</v>
      </c>
      <c r="I308" s="14" t="s">
        <v>54</v>
      </c>
      <c r="J308" s="14" t="s">
        <v>1016</v>
      </c>
      <c r="K308" s="14"/>
      <c r="L308" s="14" t="s">
        <v>1079</v>
      </c>
      <c r="M308" s="14" t="s">
        <v>1017</v>
      </c>
      <c r="N308" s="14" t="s">
        <v>1080</v>
      </c>
    </row>
    <row r="309" spans="1:14" ht="43.5" x14ac:dyDescent="0.35">
      <c r="A309" s="14" t="s">
        <v>52</v>
      </c>
      <c r="B309" s="14" t="s">
        <v>2478</v>
      </c>
      <c r="C309" s="14" t="s">
        <v>1076</v>
      </c>
      <c r="D309" s="14" t="s">
        <v>3074</v>
      </c>
      <c r="E309" s="14" t="s">
        <v>3075</v>
      </c>
      <c r="F309" s="14" t="s">
        <v>3076</v>
      </c>
      <c r="G309" s="14" t="s">
        <v>1014</v>
      </c>
      <c r="H309" s="14" t="s">
        <v>1015</v>
      </c>
      <c r="I309" s="14" t="s">
        <v>54</v>
      </c>
      <c r="J309" s="14" t="s">
        <v>1016</v>
      </c>
      <c r="K309" s="14"/>
      <c r="L309" s="14" t="s">
        <v>1079</v>
      </c>
      <c r="M309" s="14" t="s">
        <v>1017</v>
      </c>
      <c r="N309" s="14" t="s">
        <v>1080</v>
      </c>
    </row>
    <row r="310" spans="1:14" ht="43.5" x14ac:dyDescent="0.35">
      <c r="A310" s="14" t="s">
        <v>52</v>
      </c>
      <c r="B310" s="14" t="s">
        <v>2515</v>
      </c>
      <c r="C310" s="14" t="s">
        <v>1076</v>
      </c>
      <c r="D310" s="14" t="s">
        <v>3065</v>
      </c>
      <c r="E310" s="14" t="s">
        <v>2800</v>
      </c>
      <c r="F310" s="14" t="s">
        <v>3365</v>
      </c>
      <c r="G310" s="14" t="s">
        <v>1014</v>
      </c>
      <c r="H310" s="14" t="s">
        <v>1015</v>
      </c>
      <c r="I310" s="14" t="s">
        <v>1078</v>
      </c>
      <c r="J310" s="14" t="s">
        <v>1016</v>
      </c>
      <c r="K310" s="14"/>
      <c r="L310" s="14" t="s">
        <v>1079</v>
      </c>
      <c r="M310" s="14" t="s">
        <v>1017</v>
      </c>
      <c r="N310" s="14" t="s">
        <v>1080</v>
      </c>
    </row>
    <row r="311" spans="1:14" ht="43.5" x14ac:dyDescent="0.35">
      <c r="A311" s="14" t="s">
        <v>52</v>
      </c>
      <c r="B311" s="14" t="s">
        <v>2515</v>
      </c>
      <c r="C311" s="14" t="s">
        <v>1076</v>
      </c>
      <c r="D311" s="14" t="s">
        <v>2861</v>
      </c>
      <c r="E311" s="14" t="s">
        <v>3366</v>
      </c>
      <c r="F311" s="14" t="s">
        <v>3367</v>
      </c>
      <c r="G311" s="14" t="s">
        <v>1014</v>
      </c>
      <c r="H311" s="14" t="s">
        <v>1015</v>
      </c>
      <c r="I311" s="14" t="s">
        <v>1078</v>
      </c>
      <c r="J311" s="14" t="s">
        <v>1016</v>
      </c>
      <c r="K311" s="14"/>
      <c r="L311" s="14" t="s">
        <v>1079</v>
      </c>
      <c r="M311" s="14" t="s">
        <v>1017</v>
      </c>
      <c r="N311" s="14" t="s">
        <v>1080</v>
      </c>
    </row>
    <row r="312" spans="1:14" ht="43.5" x14ac:dyDescent="0.35">
      <c r="A312" s="14" t="s">
        <v>52</v>
      </c>
      <c r="B312" s="14" t="s">
        <v>2515</v>
      </c>
      <c r="C312" s="14" t="s">
        <v>1076</v>
      </c>
      <c r="D312" s="14" t="s">
        <v>3368</v>
      </c>
      <c r="E312" s="14" t="s">
        <v>3185</v>
      </c>
      <c r="F312" s="14" t="s">
        <v>3369</v>
      </c>
      <c r="G312" s="14" t="s">
        <v>1014</v>
      </c>
      <c r="H312" s="14" t="s">
        <v>1015</v>
      </c>
      <c r="I312" s="14" t="s">
        <v>1078</v>
      </c>
      <c r="J312" s="14" t="s">
        <v>1016</v>
      </c>
      <c r="K312" s="14"/>
      <c r="L312" s="14" t="s">
        <v>1079</v>
      </c>
      <c r="M312" s="14" t="s">
        <v>1017</v>
      </c>
      <c r="N312" s="14" t="s">
        <v>1080</v>
      </c>
    </row>
    <row r="313" spans="1:14" ht="29" x14ac:dyDescent="0.35">
      <c r="A313" s="14" t="s">
        <v>52</v>
      </c>
      <c r="B313" s="14" t="s">
        <v>2515</v>
      </c>
      <c r="C313" s="14" t="s">
        <v>2825</v>
      </c>
      <c r="D313" s="14" t="s">
        <v>2876</v>
      </c>
      <c r="E313" s="14" t="s">
        <v>3055</v>
      </c>
      <c r="F313" s="14" t="s">
        <v>3370</v>
      </c>
      <c r="G313" s="14" t="s">
        <v>1014</v>
      </c>
      <c r="H313" s="14" t="s">
        <v>1015</v>
      </c>
      <c r="I313" s="14" t="s">
        <v>54</v>
      </c>
      <c r="J313" s="14" t="s">
        <v>1016</v>
      </c>
      <c r="K313" s="14"/>
      <c r="L313" s="14" t="s">
        <v>2830</v>
      </c>
      <c r="M313" s="14" t="s">
        <v>1017</v>
      </c>
      <c r="N313" s="14" t="s">
        <v>2831</v>
      </c>
    </row>
    <row r="314" spans="1:14" ht="43.5" x14ac:dyDescent="0.35">
      <c r="A314" s="14" t="s">
        <v>52</v>
      </c>
      <c r="B314" s="14" t="s">
        <v>2523</v>
      </c>
      <c r="C314" s="14" t="s">
        <v>1076</v>
      </c>
      <c r="D314" s="14" t="s">
        <v>3309</v>
      </c>
      <c r="E314" s="14" t="s">
        <v>2981</v>
      </c>
      <c r="F314" s="14" t="s">
        <v>3371</v>
      </c>
      <c r="G314" s="14" t="s">
        <v>1014</v>
      </c>
      <c r="H314" s="14" t="s">
        <v>1015</v>
      </c>
      <c r="I314" s="14" t="s">
        <v>1078</v>
      </c>
      <c r="J314" s="14" t="s">
        <v>1016</v>
      </c>
      <c r="K314" s="14"/>
      <c r="L314" s="14" t="s">
        <v>1079</v>
      </c>
      <c r="M314" s="14" t="s">
        <v>1017</v>
      </c>
      <c r="N314" s="14" t="s">
        <v>1080</v>
      </c>
    </row>
    <row r="315" spans="1:14" ht="43.5" x14ac:dyDescent="0.35">
      <c r="A315" s="14" t="s">
        <v>52</v>
      </c>
      <c r="B315" s="14" t="s">
        <v>2523</v>
      </c>
      <c r="C315" s="14" t="s">
        <v>1076</v>
      </c>
      <c r="D315" s="14" t="s">
        <v>3003</v>
      </c>
      <c r="E315" s="14" t="s">
        <v>3112</v>
      </c>
      <c r="F315" s="14" t="s">
        <v>3372</v>
      </c>
      <c r="G315" s="14" t="s">
        <v>1014</v>
      </c>
      <c r="H315" s="14" t="s">
        <v>1015</v>
      </c>
      <c r="I315" s="14" t="s">
        <v>1078</v>
      </c>
      <c r="J315" s="14" t="s">
        <v>1016</v>
      </c>
      <c r="K315" s="14"/>
      <c r="L315" s="14" t="s">
        <v>1079</v>
      </c>
      <c r="M315" s="14" t="s">
        <v>1017</v>
      </c>
      <c r="N315" s="14" t="s">
        <v>1080</v>
      </c>
    </row>
    <row r="316" spans="1:14" ht="29" x14ac:dyDescent="0.35">
      <c r="A316" s="14" t="s">
        <v>52</v>
      </c>
      <c r="B316" s="14" t="s">
        <v>2523</v>
      </c>
      <c r="C316" s="14" t="s">
        <v>2825</v>
      </c>
      <c r="D316" s="14" t="s">
        <v>3373</v>
      </c>
      <c r="E316" s="14" t="s">
        <v>3374</v>
      </c>
      <c r="F316" s="14" t="s">
        <v>3375</v>
      </c>
      <c r="G316" s="14" t="s">
        <v>1014</v>
      </c>
      <c r="H316" s="14" t="s">
        <v>1015</v>
      </c>
      <c r="I316" s="14"/>
      <c r="J316" s="14" t="s">
        <v>1016</v>
      </c>
      <c r="K316" s="14"/>
      <c r="L316" s="14" t="s">
        <v>2830</v>
      </c>
      <c r="M316" s="14" t="s">
        <v>1017</v>
      </c>
      <c r="N316" s="14" t="s">
        <v>2831</v>
      </c>
    </row>
    <row r="317" spans="1:14" ht="43.5" x14ac:dyDescent="0.35">
      <c r="A317" s="14" t="s">
        <v>52</v>
      </c>
      <c r="B317" s="14" t="s">
        <v>2526</v>
      </c>
      <c r="C317" s="14" t="s">
        <v>1076</v>
      </c>
      <c r="D317" s="14" t="s">
        <v>3240</v>
      </c>
      <c r="E317" s="14" t="s">
        <v>3160</v>
      </c>
      <c r="F317" s="14" t="s">
        <v>2921</v>
      </c>
      <c r="G317" s="14" t="s">
        <v>1014</v>
      </c>
      <c r="H317" s="14" t="s">
        <v>1015</v>
      </c>
      <c r="I317" s="14"/>
      <c r="J317" s="14" t="s">
        <v>1016</v>
      </c>
      <c r="K317" s="14"/>
      <c r="L317" s="14" t="s">
        <v>1079</v>
      </c>
      <c r="M317" s="14" t="s">
        <v>1017</v>
      </c>
      <c r="N317" s="14" t="s">
        <v>1080</v>
      </c>
    </row>
    <row r="318" spans="1:14" ht="43.5" x14ac:dyDescent="0.35">
      <c r="A318" s="14" t="s">
        <v>52</v>
      </c>
      <c r="B318" s="14" t="s">
        <v>2526</v>
      </c>
      <c r="C318" s="14" t="s">
        <v>1076</v>
      </c>
      <c r="D318" s="14" t="s">
        <v>2988</v>
      </c>
      <c r="E318" s="14" t="s">
        <v>3165</v>
      </c>
      <c r="F318" s="14" t="s">
        <v>3376</v>
      </c>
      <c r="G318" s="14" t="s">
        <v>1014</v>
      </c>
      <c r="H318" s="14" t="s">
        <v>1015</v>
      </c>
      <c r="I318" s="14" t="s">
        <v>3377</v>
      </c>
      <c r="J318" s="14" t="s">
        <v>1016</v>
      </c>
      <c r="K318" s="14"/>
      <c r="L318" s="14" t="s">
        <v>1079</v>
      </c>
      <c r="M318" s="14" t="s">
        <v>1017</v>
      </c>
      <c r="N318" s="14" t="s">
        <v>1080</v>
      </c>
    </row>
    <row r="319" spans="1:14" ht="43.5" x14ac:dyDescent="0.35">
      <c r="A319" s="14" t="s">
        <v>52</v>
      </c>
      <c r="B319" s="14" t="s">
        <v>2526</v>
      </c>
      <c r="C319" s="14" t="s">
        <v>1076</v>
      </c>
      <c r="D319" s="14" t="s">
        <v>2846</v>
      </c>
      <c r="E319" s="14" t="s">
        <v>3378</v>
      </c>
      <c r="F319" s="14" t="s">
        <v>3379</v>
      </c>
      <c r="G319" s="14" t="s">
        <v>1014</v>
      </c>
      <c r="H319" s="14" t="s">
        <v>1015</v>
      </c>
      <c r="I319" s="14" t="s">
        <v>1078</v>
      </c>
      <c r="J319" s="14" t="s">
        <v>1016</v>
      </c>
      <c r="K319" s="14"/>
      <c r="L319" s="14" t="s">
        <v>1079</v>
      </c>
      <c r="M319" s="14" t="s">
        <v>1017</v>
      </c>
      <c r="N319" s="14" t="s">
        <v>1080</v>
      </c>
    </row>
    <row r="320" spans="1:14" ht="43.5" x14ac:dyDescent="0.35">
      <c r="A320" s="14" t="s">
        <v>52</v>
      </c>
      <c r="B320" s="14" t="s">
        <v>2526</v>
      </c>
      <c r="C320" s="14" t="s">
        <v>1076</v>
      </c>
      <c r="D320" s="14" t="s">
        <v>3308</v>
      </c>
      <c r="E320" s="14" t="s">
        <v>3380</v>
      </c>
      <c r="F320" s="14" t="s">
        <v>2927</v>
      </c>
      <c r="G320" s="14" t="s">
        <v>1014</v>
      </c>
      <c r="H320" s="14" t="s">
        <v>1015</v>
      </c>
      <c r="I320" s="14" t="s">
        <v>1078</v>
      </c>
      <c r="J320" s="14" t="s">
        <v>1016</v>
      </c>
      <c r="K320" s="14"/>
      <c r="L320" s="14" t="s">
        <v>1079</v>
      </c>
      <c r="M320" s="14" t="s">
        <v>1017</v>
      </c>
      <c r="N320" s="14" t="s">
        <v>1080</v>
      </c>
    </row>
    <row r="321" spans="1:14" ht="43.5" x14ac:dyDescent="0.35">
      <c r="A321" s="14" t="s">
        <v>52</v>
      </c>
      <c r="B321" s="14" t="s">
        <v>2526</v>
      </c>
      <c r="C321" s="14" t="s">
        <v>1076</v>
      </c>
      <c r="D321" s="14" t="s">
        <v>2850</v>
      </c>
      <c r="E321" s="14" t="s">
        <v>3346</v>
      </c>
      <c r="F321" s="14" t="s">
        <v>2930</v>
      </c>
      <c r="G321" s="14" t="s">
        <v>1014</v>
      </c>
      <c r="H321" s="14" t="s">
        <v>1015</v>
      </c>
      <c r="I321" s="14" t="s">
        <v>1078</v>
      </c>
      <c r="J321" s="14" t="s">
        <v>1016</v>
      </c>
      <c r="K321" s="14"/>
      <c r="L321" s="14" t="s">
        <v>1079</v>
      </c>
      <c r="M321" s="14" t="s">
        <v>1017</v>
      </c>
      <c r="N321" s="14" t="s">
        <v>1080</v>
      </c>
    </row>
    <row r="322" spans="1:14" ht="43.5" x14ac:dyDescent="0.35">
      <c r="A322" s="14" t="s">
        <v>52</v>
      </c>
      <c r="B322" s="14" t="s">
        <v>2526</v>
      </c>
      <c r="C322" s="14" t="s">
        <v>1076</v>
      </c>
      <c r="D322" s="14" t="s">
        <v>3120</v>
      </c>
      <c r="E322" s="14" t="s">
        <v>3381</v>
      </c>
      <c r="F322" s="14" t="s">
        <v>2933</v>
      </c>
      <c r="G322" s="14" t="s">
        <v>1014</v>
      </c>
      <c r="H322" s="14" t="s">
        <v>1015</v>
      </c>
      <c r="I322" s="14" t="s">
        <v>1068</v>
      </c>
      <c r="J322" s="14" t="s">
        <v>1016</v>
      </c>
      <c r="K322" s="14"/>
      <c r="L322" s="14" t="s">
        <v>1079</v>
      </c>
      <c r="M322" s="14" t="s">
        <v>1017</v>
      </c>
      <c r="N322" s="14" t="s">
        <v>1080</v>
      </c>
    </row>
    <row r="323" spans="1:14" ht="43.5" x14ac:dyDescent="0.35">
      <c r="A323" s="14" t="s">
        <v>52</v>
      </c>
      <c r="B323" s="14" t="s">
        <v>2526</v>
      </c>
      <c r="C323" s="14" t="s">
        <v>1076</v>
      </c>
      <c r="D323" s="14" t="s">
        <v>3382</v>
      </c>
      <c r="E323" s="14" t="s">
        <v>3383</v>
      </c>
      <c r="F323" s="14" t="s">
        <v>3384</v>
      </c>
      <c r="G323" s="14" t="s">
        <v>1014</v>
      </c>
      <c r="H323" s="14" t="s">
        <v>1015</v>
      </c>
      <c r="I323" s="14" t="s">
        <v>1068</v>
      </c>
      <c r="J323" s="14" t="s">
        <v>1016</v>
      </c>
      <c r="K323" s="14"/>
      <c r="L323" s="14" t="s">
        <v>1079</v>
      </c>
      <c r="M323" s="14" t="s">
        <v>1017</v>
      </c>
      <c r="N323" s="14" t="s">
        <v>1080</v>
      </c>
    </row>
    <row r="324" spans="1:14" ht="29" x14ac:dyDescent="0.35">
      <c r="A324" s="14" t="s">
        <v>52</v>
      </c>
      <c r="B324" s="14" t="s">
        <v>2526</v>
      </c>
      <c r="C324" s="14" t="s">
        <v>2825</v>
      </c>
      <c r="D324" s="14" t="s">
        <v>3385</v>
      </c>
      <c r="E324" s="14" t="s">
        <v>3386</v>
      </c>
      <c r="F324" s="14" t="s">
        <v>2939</v>
      </c>
      <c r="G324" s="14" t="s">
        <v>1014</v>
      </c>
      <c r="H324" s="14" t="s">
        <v>1015</v>
      </c>
      <c r="I324" s="14"/>
      <c r="J324" s="14" t="s">
        <v>1016</v>
      </c>
      <c r="K324" s="14"/>
      <c r="L324" s="14" t="s">
        <v>2830</v>
      </c>
      <c r="M324" s="14" t="s">
        <v>1017</v>
      </c>
      <c r="N324" s="14" t="s">
        <v>2831</v>
      </c>
    </row>
    <row r="325" spans="1:14" ht="29" x14ac:dyDescent="0.35">
      <c r="A325" s="14" t="s">
        <v>52</v>
      </c>
      <c r="B325" s="14" t="s">
        <v>2526</v>
      </c>
      <c r="C325" s="14" t="s">
        <v>2825</v>
      </c>
      <c r="D325" s="14" t="s">
        <v>3387</v>
      </c>
      <c r="E325" s="14" t="s">
        <v>3388</v>
      </c>
      <c r="F325" s="14" t="s">
        <v>3389</v>
      </c>
      <c r="G325" s="14" t="s">
        <v>1014</v>
      </c>
      <c r="H325" s="14" t="s">
        <v>1015</v>
      </c>
      <c r="I325" s="14"/>
      <c r="J325" s="14" t="s">
        <v>1016</v>
      </c>
      <c r="K325" s="14"/>
      <c r="L325" s="14" t="s">
        <v>2830</v>
      </c>
      <c r="M325" s="14" t="s">
        <v>1017</v>
      </c>
      <c r="N325" s="14" t="s">
        <v>2831</v>
      </c>
    </row>
    <row r="326" spans="1:14" ht="43.5" x14ac:dyDescent="0.35">
      <c r="A326" s="14" t="s">
        <v>52</v>
      </c>
      <c r="B326" s="14" t="s">
        <v>2570</v>
      </c>
      <c r="C326" s="14" t="s">
        <v>1076</v>
      </c>
      <c r="D326" s="14" t="s">
        <v>3390</v>
      </c>
      <c r="E326" s="14" t="s">
        <v>3240</v>
      </c>
      <c r="F326" s="14" t="s">
        <v>3391</v>
      </c>
      <c r="G326" s="14" t="s">
        <v>1014</v>
      </c>
      <c r="H326" s="14" t="s">
        <v>1015</v>
      </c>
      <c r="I326" s="14"/>
      <c r="J326" s="14" t="s">
        <v>1016</v>
      </c>
      <c r="K326" s="14"/>
      <c r="L326" s="14" t="s">
        <v>1079</v>
      </c>
      <c r="M326" s="14" t="s">
        <v>1017</v>
      </c>
      <c r="N326" s="14" t="s">
        <v>1080</v>
      </c>
    </row>
    <row r="327" spans="1:14" ht="43.5" x14ac:dyDescent="0.35">
      <c r="A327" s="14" t="s">
        <v>52</v>
      </c>
      <c r="B327" s="14" t="s">
        <v>2570</v>
      </c>
      <c r="C327" s="14" t="s">
        <v>1076</v>
      </c>
      <c r="D327" s="14" t="s">
        <v>3286</v>
      </c>
      <c r="E327" s="14" t="s">
        <v>3374</v>
      </c>
      <c r="F327" s="14" t="s">
        <v>3392</v>
      </c>
      <c r="G327" s="14" t="s">
        <v>1014</v>
      </c>
      <c r="H327" s="14" t="s">
        <v>1015</v>
      </c>
      <c r="I327" s="14"/>
      <c r="J327" s="14" t="s">
        <v>1016</v>
      </c>
      <c r="K327" s="14"/>
      <c r="L327" s="14" t="s">
        <v>1079</v>
      </c>
      <c r="M327" s="14" t="s">
        <v>1017</v>
      </c>
      <c r="N327" s="14" t="s">
        <v>1080</v>
      </c>
    </row>
    <row r="328" spans="1:14" ht="43.5" x14ac:dyDescent="0.35">
      <c r="A328" s="14" t="s">
        <v>52</v>
      </c>
      <c r="B328" s="14" t="s">
        <v>2570</v>
      </c>
      <c r="C328" s="14" t="s">
        <v>1076</v>
      </c>
      <c r="D328" s="14" t="s">
        <v>3000</v>
      </c>
      <c r="E328" s="14" t="s">
        <v>3393</v>
      </c>
      <c r="F328" s="14" t="s">
        <v>3394</v>
      </c>
      <c r="G328" s="14" t="s">
        <v>1014</v>
      </c>
      <c r="H328" s="14" t="s">
        <v>1015</v>
      </c>
      <c r="I328" s="14"/>
      <c r="J328" s="14" t="s">
        <v>1016</v>
      </c>
      <c r="K328" s="14"/>
      <c r="L328" s="14" t="s">
        <v>1079</v>
      </c>
      <c r="M328" s="14" t="s">
        <v>1017</v>
      </c>
      <c r="N328" s="14" t="s">
        <v>1080</v>
      </c>
    </row>
    <row r="329" spans="1:14" ht="43.5" x14ac:dyDescent="0.35">
      <c r="A329" s="14" t="s">
        <v>52</v>
      </c>
      <c r="B329" s="14" t="s">
        <v>2570</v>
      </c>
      <c r="C329" s="14" t="s">
        <v>1076</v>
      </c>
      <c r="D329" s="14" t="s">
        <v>3395</v>
      </c>
      <c r="E329" s="14" t="s">
        <v>3396</v>
      </c>
      <c r="F329" s="14" t="s">
        <v>3397</v>
      </c>
      <c r="G329" s="14" t="s">
        <v>1014</v>
      </c>
      <c r="H329" s="14" t="s">
        <v>1015</v>
      </c>
      <c r="I329" s="14"/>
      <c r="J329" s="14" t="s">
        <v>1016</v>
      </c>
      <c r="K329" s="14"/>
      <c r="L329" s="14" t="s">
        <v>1079</v>
      </c>
      <c r="M329" s="14" t="s">
        <v>1017</v>
      </c>
      <c r="N329" s="14" t="s">
        <v>1080</v>
      </c>
    </row>
    <row r="330" spans="1:14" ht="43.5" x14ac:dyDescent="0.35">
      <c r="A330" s="14" t="s">
        <v>52</v>
      </c>
      <c r="B330" s="14" t="s">
        <v>2575</v>
      </c>
      <c r="C330" s="14" t="s">
        <v>1076</v>
      </c>
      <c r="D330" s="14" t="s">
        <v>3028</v>
      </c>
      <c r="E330" s="14" t="s">
        <v>3029</v>
      </c>
      <c r="F330" s="14" t="s">
        <v>3030</v>
      </c>
      <c r="G330" s="14" t="s">
        <v>1014</v>
      </c>
      <c r="H330" s="14" t="s">
        <v>1015</v>
      </c>
      <c r="I330" s="14" t="s">
        <v>1078</v>
      </c>
      <c r="J330" s="14" t="s">
        <v>1016</v>
      </c>
      <c r="K330" s="14"/>
      <c r="L330" s="14" t="s">
        <v>1079</v>
      </c>
      <c r="M330" s="14" t="s">
        <v>1017</v>
      </c>
      <c r="N330" s="14" t="s">
        <v>1080</v>
      </c>
    </row>
    <row r="331" spans="1:14" ht="43.5" x14ac:dyDescent="0.35">
      <c r="A331" s="14" t="s">
        <v>52</v>
      </c>
      <c r="B331" s="14" t="s">
        <v>2575</v>
      </c>
      <c r="C331" s="14" t="s">
        <v>1076</v>
      </c>
      <c r="D331" s="14" t="s">
        <v>3031</v>
      </c>
      <c r="E331" s="14" t="s">
        <v>3032</v>
      </c>
      <c r="F331" s="14" t="s">
        <v>3033</v>
      </c>
      <c r="G331" s="14" t="s">
        <v>1014</v>
      </c>
      <c r="H331" s="14" t="s">
        <v>1015</v>
      </c>
      <c r="I331" s="14"/>
      <c r="J331" s="14" t="s">
        <v>1016</v>
      </c>
      <c r="K331" s="14"/>
      <c r="L331" s="14" t="s">
        <v>1079</v>
      </c>
      <c r="M331" s="14" t="s">
        <v>1017</v>
      </c>
      <c r="N331" s="14" t="s">
        <v>1080</v>
      </c>
    </row>
    <row r="332" spans="1:14" ht="43.5" x14ac:dyDescent="0.35">
      <c r="A332" s="14" t="s">
        <v>52</v>
      </c>
      <c r="B332" s="14" t="s">
        <v>2575</v>
      </c>
      <c r="C332" s="14" t="s">
        <v>1076</v>
      </c>
      <c r="D332" s="14" t="s">
        <v>3034</v>
      </c>
      <c r="E332" s="14" t="s">
        <v>3035</v>
      </c>
      <c r="F332" s="14" t="s">
        <v>3036</v>
      </c>
      <c r="G332" s="14" t="s">
        <v>1014</v>
      </c>
      <c r="H332" s="14" t="s">
        <v>1015</v>
      </c>
      <c r="I332" s="14"/>
      <c r="J332" s="14" t="s">
        <v>1016</v>
      </c>
      <c r="K332" s="14"/>
      <c r="L332" s="14" t="s">
        <v>1079</v>
      </c>
      <c r="M332" s="14" t="s">
        <v>1017</v>
      </c>
      <c r="N332" s="14" t="s">
        <v>1080</v>
      </c>
    </row>
    <row r="333" spans="1:14" ht="43.5" x14ac:dyDescent="0.35">
      <c r="A333" s="14" t="s">
        <v>52</v>
      </c>
      <c r="B333" s="14" t="s">
        <v>2575</v>
      </c>
      <c r="C333" s="14" t="s">
        <v>1076</v>
      </c>
      <c r="D333" s="14" t="s">
        <v>3037</v>
      </c>
      <c r="E333" s="14" t="s">
        <v>3038</v>
      </c>
      <c r="F333" s="14" t="s">
        <v>3039</v>
      </c>
      <c r="G333" s="14" t="s">
        <v>1014</v>
      </c>
      <c r="H333" s="14" t="s">
        <v>1015</v>
      </c>
      <c r="I333" s="14"/>
      <c r="J333" s="14" t="s">
        <v>1016</v>
      </c>
      <c r="K333" s="14"/>
      <c r="L333" s="14" t="s">
        <v>1079</v>
      </c>
      <c r="M333" s="14" t="s">
        <v>1017</v>
      </c>
      <c r="N333" s="14" t="s">
        <v>1080</v>
      </c>
    </row>
    <row r="334" spans="1:14" ht="29" x14ac:dyDescent="0.35">
      <c r="A334" s="14" t="s">
        <v>52</v>
      </c>
      <c r="B334" s="14" t="s">
        <v>2575</v>
      </c>
      <c r="C334" s="14" t="s">
        <v>3005</v>
      </c>
      <c r="D334" s="14" t="s">
        <v>3040</v>
      </c>
      <c r="E334" s="14" t="s">
        <v>2940</v>
      </c>
      <c r="F334" s="14" t="s">
        <v>3398</v>
      </c>
      <c r="G334" s="14" t="s">
        <v>1014</v>
      </c>
      <c r="H334" s="14" t="s">
        <v>1015</v>
      </c>
      <c r="I334" s="14" t="s">
        <v>1078</v>
      </c>
      <c r="J334" s="14" t="s">
        <v>1016</v>
      </c>
      <c r="K334" s="14"/>
      <c r="L334" s="14" t="s">
        <v>1229</v>
      </c>
      <c r="M334" s="14" t="s">
        <v>1017</v>
      </c>
      <c r="N334" s="14" t="s">
        <v>3007</v>
      </c>
    </row>
    <row r="335" spans="1:14" ht="29" x14ac:dyDescent="0.35">
      <c r="A335" s="14" t="s">
        <v>52</v>
      </c>
      <c r="B335" s="14" t="s">
        <v>2575</v>
      </c>
      <c r="C335" s="14" t="s">
        <v>2825</v>
      </c>
      <c r="D335" s="14" t="s">
        <v>3042</v>
      </c>
      <c r="E335" s="14" t="s">
        <v>2788</v>
      </c>
      <c r="F335" s="14" t="s">
        <v>3043</v>
      </c>
      <c r="G335" s="14" t="s">
        <v>1014</v>
      </c>
      <c r="H335" s="14" t="s">
        <v>1015</v>
      </c>
      <c r="I335" s="14"/>
      <c r="J335" s="14" t="s">
        <v>1016</v>
      </c>
      <c r="K335" s="14"/>
      <c r="L335" s="14" t="s">
        <v>2830</v>
      </c>
      <c r="M335" s="14" t="s">
        <v>1017</v>
      </c>
      <c r="N335" s="14" t="s">
        <v>2831</v>
      </c>
    </row>
    <row r="336" spans="1:14" ht="29" x14ac:dyDescent="0.35">
      <c r="A336" s="14" t="s">
        <v>52</v>
      </c>
      <c r="B336" s="14" t="s">
        <v>2575</v>
      </c>
      <c r="C336" s="14" t="s">
        <v>2825</v>
      </c>
      <c r="D336" s="14" t="s">
        <v>2982</v>
      </c>
      <c r="E336" s="14" t="s">
        <v>3017</v>
      </c>
      <c r="F336" s="14" t="s">
        <v>3044</v>
      </c>
      <c r="G336" s="14" t="s">
        <v>1014</v>
      </c>
      <c r="H336" s="14" t="s">
        <v>1015</v>
      </c>
      <c r="I336" s="14"/>
      <c r="J336" s="14" t="s">
        <v>1016</v>
      </c>
      <c r="K336" s="14"/>
      <c r="L336" s="14" t="s">
        <v>2830</v>
      </c>
      <c r="M336" s="14" t="s">
        <v>1017</v>
      </c>
      <c r="N336" s="14" t="s">
        <v>2831</v>
      </c>
    </row>
    <row r="337" spans="1:14" ht="43.5" x14ac:dyDescent="0.35">
      <c r="A337" s="14" t="s">
        <v>52</v>
      </c>
      <c r="B337" s="14" t="s">
        <v>2609</v>
      </c>
      <c r="C337" s="14" t="s">
        <v>1076</v>
      </c>
      <c r="D337" s="14" t="s">
        <v>3049</v>
      </c>
      <c r="E337" s="14" t="s">
        <v>3399</v>
      </c>
      <c r="F337" s="14" t="s">
        <v>3400</v>
      </c>
      <c r="G337" s="14" t="s">
        <v>1014</v>
      </c>
      <c r="H337" s="14" t="s">
        <v>1015</v>
      </c>
      <c r="I337" s="14"/>
      <c r="J337" s="14" t="s">
        <v>1016</v>
      </c>
      <c r="K337" s="14"/>
      <c r="L337" s="14" t="s">
        <v>1079</v>
      </c>
      <c r="M337" s="14" t="s">
        <v>1017</v>
      </c>
      <c r="N337" s="14" t="s">
        <v>1080</v>
      </c>
    </row>
    <row r="338" spans="1:14" ht="43.5" x14ac:dyDescent="0.35">
      <c r="A338" s="14" t="s">
        <v>52</v>
      </c>
      <c r="B338" s="14" t="s">
        <v>2609</v>
      </c>
      <c r="C338" s="14" t="s">
        <v>1076</v>
      </c>
      <c r="D338" s="14" t="s">
        <v>3289</v>
      </c>
      <c r="E338" s="14" t="s">
        <v>3290</v>
      </c>
      <c r="F338" s="14" t="s">
        <v>3401</v>
      </c>
      <c r="G338" s="14" t="s">
        <v>1014</v>
      </c>
      <c r="H338" s="14" t="s">
        <v>1015</v>
      </c>
      <c r="I338" s="14"/>
      <c r="J338" s="14" t="s">
        <v>1016</v>
      </c>
      <c r="K338" s="14"/>
      <c r="L338" s="14" t="s">
        <v>1079</v>
      </c>
      <c r="M338" s="14" t="s">
        <v>1017</v>
      </c>
      <c r="N338" s="14" t="s">
        <v>1080</v>
      </c>
    </row>
    <row r="339" spans="1:14" ht="43.5" x14ac:dyDescent="0.35">
      <c r="A339" s="14" t="s">
        <v>52</v>
      </c>
      <c r="B339" s="14" t="s">
        <v>2609</v>
      </c>
      <c r="C339" s="14" t="s">
        <v>1076</v>
      </c>
      <c r="D339" s="14" t="s">
        <v>3402</v>
      </c>
      <c r="E339" s="14" t="s">
        <v>3189</v>
      </c>
      <c r="F339" s="14" t="s">
        <v>3082</v>
      </c>
      <c r="G339" s="14" t="s">
        <v>1014</v>
      </c>
      <c r="H339" s="14" t="s">
        <v>1015</v>
      </c>
      <c r="I339" s="14"/>
      <c r="J339" s="14" t="s">
        <v>1016</v>
      </c>
      <c r="K339" s="14"/>
      <c r="L339" s="14" t="s">
        <v>1079</v>
      </c>
      <c r="M339" s="14" t="s">
        <v>1017</v>
      </c>
      <c r="N339" s="14" t="s">
        <v>1080</v>
      </c>
    </row>
    <row r="340" spans="1:14" ht="43.5" x14ac:dyDescent="0.35">
      <c r="A340" s="14" t="s">
        <v>52</v>
      </c>
      <c r="B340" s="14" t="s">
        <v>2609</v>
      </c>
      <c r="C340" s="14" t="s">
        <v>1076</v>
      </c>
      <c r="D340" s="14" t="s">
        <v>3403</v>
      </c>
      <c r="E340" s="14" t="s">
        <v>3083</v>
      </c>
      <c r="F340" s="14" t="s">
        <v>3404</v>
      </c>
      <c r="G340" s="14" t="s">
        <v>1014</v>
      </c>
      <c r="H340" s="14" t="s">
        <v>1015</v>
      </c>
      <c r="I340" s="14" t="s">
        <v>1078</v>
      </c>
      <c r="J340" s="14" t="s">
        <v>1016</v>
      </c>
      <c r="K340" s="14"/>
      <c r="L340" s="14" t="s">
        <v>1079</v>
      </c>
      <c r="M340" s="14" t="s">
        <v>1017</v>
      </c>
      <c r="N340" s="14" t="s">
        <v>1080</v>
      </c>
    </row>
    <row r="341" spans="1:14" ht="43.5" x14ac:dyDescent="0.35">
      <c r="A341" s="14" t="s">
        <v>52</v>
      </c>
      <c r="B341" s="14" t="s">
        <v>2609</v>
      </c>
      <c r="C341" s="14" t="s">
        <v>1076</v>
      </c>
      <c r="D341" s="14" t="s">
        <v>3405</v>
      </c>
      <c r="E341" s="14" t="s">
        <v>3086</v>
      </c>
      <c r="F341" s="14" t="s">
        <v>3406</v>
      </c>
      <c r="G341" s="14" t="s">
        <v>1014</v>
      </c>
      <c r="H341" s="14" t="s">
        <v>1015</v>
      </c>
      <c r="I341" s="14" t="s">
        <v>1078</v>
      </c>
      <c r="J341" s="14" t="s">
        <v>1016</v>
      </c>
      <c r="K341" s="14"/>
      <c r="L341" s="14" t="s">
        <v>1079</v>
      </c>
      <c r="M341" s="14" t="s">
        <v>1017</v>
      </c>
      <c r="N341" s="14" t="s">
        <v>1080</v>
      </c>
    </row>
    <row r="342" spans="1:14" ht="43.5" x14ac:dyDescent="0.35">
      <c r="A342" s="14" t="s">
        <v>52</v>
      </c>
      <c r="B342" s="14" t="s">
        <v>2615</v>
      </c>
      <c r="C342" s="14" t="s">
        <v>1076</v>
      </c>
      <c r="D342" s="14" t="s">
        <v>3135</v>
      </c>
      <c r="E342" s="14" t="s">
        <v>3136</v>
      </c>
      <c r="F342" s="14" t="s">
        <v>3137</v>
      </c>
      <c r="G342" s="14" t="s">
        <v>1014</v>
      </c>
      <c r="H342" s="14" t="s">
        <v>1015</v>
      </c>
      <c r="I342" s="14"/>
      <c r="J342" s="14" t="s">
        <v>1016</v>
      </c>
      <c r="K342" s="14"/>
      <c r="L342" s="14" t="s">
        <v>1079</v>
      </c>
      <c r="M342" s="14" t="s">
        <v>1017</v>
      </c>
      <c r="N342" s="14" t="s">
        <v>1080</v>
      </c>
    </row>
    <row r="343" spans="1:14" ht="43.5" x14ac:dyDescent="0.35">
      <c r="A343" s="14" t="s">
        <v>52</v>
      </c>
      <c r="B343" s="14" t="s">
        <v>2615</v>
      </c>
      <c r="C343" s="14" t="s">
        <v>1076</v>
      </c>
      <c r="D343" s="14" t="s">
        <v>3138</v>
      </c>
      <c r="E343" s="14" t="s">
        <v>2947</v>
      </c>
      <c r="F343" s="14" t="s">
        <v>3139</v>
      </c>
      <c r="G343" s="14" t="s">
        <v>1014</v>
      </c>
      <c r="H343" s="14" t="s">
        <v>1015</v>
      </c>
      <c r="I343" s="14" t="s">
        <v>1078</v>
      </c>
      <c r="J343" s="14" t="s">
        <v>1016</v>
      </c>
      <c r="K343" s="14"/>
      <c r="L343" s="14" t="s">
        <v>1079</v>
      </c>
      <c r="M343" s="14" t="s">
        <v>1017</v>
      </c>
      <c r="N343" s="14" t="s">
        <v>1080</v>
      </c>
    </row>
    <row r="344" spans="1:14" ht="43.5" x14ac:dyDescent="0.35">
      <c r="A344" s="14" t="s">
        <v>52</v>
      </c>
      <c r="B344" s="14" t="s">
        <v>2615</v>
      </c>
      <c r="C344" s="14" t="s">
        <v>1076</v>
      </c>
      <c r="D344" s="14" t="s">
        <v>3140</v>
      </c>
      <c r="E344" s="14" t="s">
        <v>2786</v>
      </c>
      <c r="F344" s="14" t="s">
        <v>3141</v>
      </c>
      <c r="G344" s="14" t="s">
        <v>1014</v>
      </c>
      <c r="H344" s="14" t="s">
        <v>1015</v>
      </c>
      <c r="I344" s="14" t="s">
        <v>1078</v>
      </c>
      <c r="J344" s="14" t="s">
        <v>1016</v>
      </c>
      <c r="K344" s="14"/>
      <c r="L344" s="14" t="s">
        <v>1079</v>
      </c>
      <c r="M344" s="14" t="s">
        <v>1017</v>
      </c>
      <c r="N344" s="14" t="s">
        <v>1080</v>
      </c>
    </row>
    <row r="345" spans="1:14" ht="43.5" x14ac:dyDescent="0.35">
      <c r="A345" s="14" t="s">
        <v>52</v>
      </c>
      <c r="B345" s="14" t="s">
        <v>2615</v>
      </c>
      <c r="C345" s="14" t="s">
        <v>1076</v>
      </c>
      <c r="D345" s="14" t="s">
        <v>3142</v>
      </c>
      <c r="E345" s="14" t="s">
        <v>3143</v>
      </c>
      <c r="F345" s="14" t="s">
        <v>3144</v>
      </c>
      <c r="G345" s="14" t="s">
        <v>1014</v>
      </c>
      <c r="H345" s="14" t="s">
        <v>1015</v>
      </c>
      <c r="I345" s="14" t="s">
        <v>54</v>
      </c>
      <c r="J345" s="14" t="s">
        <v>1016</v>
      </c>
      <c r="K345" s="14"/>
      <c r="L345" s="14" t="s">
        <v>1079</v>
      </c>
      <c r="M345" s="14" t="s">
        <v>1017</v>
      </c>
      <c r="N345" s="14" t="s">
        <v>1080</v>
      </c>
    </row>
    <row r="346" spans="1:14" ht="43.5" x14ac:dyDescent="0.35">
      <c r="A346" s="14" t="s">
        <v>52</v>
      </c>
      <c r="B346" s="14" t="s">
        <v>2615</v>
      </c>
      <c r="C346" s="14" t="s">
        <v>1076</v>
      </c>
      <c r="D346" s="14" t="s">
        <v>3407</v>
      </c>
      <c r="E346" s="14" t="s">
        <v>2809</v>
      </c>
      <c r="F346" s="14" t="s">
        <v>3408</v>
      </c>
      <c r="G346" s="14" t="s">
        <v>1014</v>
      </c>
      <c r="H346" s="14" t="s">
        <v>1015</v>
      </c>
      <c r="I346" s="14"/>
      <c r="J346" s="14" t="s">
        <v>1016</v>
      </c>
      <c r="K346" s="14"/>
      <c r="L346" s="14" t="s">
        <v>1079</v>
      </c>
      <c r="M346" s="14" t="s">
        <v>1017</v>
      </c>
      <c r="N346" s="14" t="s">
        <v>1080</v>
      </c>
    </row>
    <row r="347" spans="1:14" ht="43.5" x14ac:dyDescent="0.35">
      <c r="A347" s="14" t="s">
        <v>52</v>
      </c>
      <c r="B347" s="14" t="s">
        <v>2615</v>
      </c>
      <c r="C347" s="14" t="s">
        <v>1076</v>
      </c>
      <c r="D347" s="14" t="s">
        <v>3002</v>
      </c>
      <c r="E347" s="14" t="s">
        <v>3003</v>
      </c>
      <c r="F347" s="14" t="s">
        <v>3149</v>
      </c>
      <c r="G347" s="14" t="s">
        <v>1014</v>
      </c>
      <c r="H347" s="14" t="s">
        <v>1015</v>
      </c>
      <c r="I347" s="14"/>
      <c r="J347" s="14" t="s">
        <v>1016</v>
      </c>
      <c r="K347" s="14"/>
      <c r="L347" s="14" t="s">
        <v>1079</v>
      </c>
      <c r="M347" s="14" t="s">
        <v>1017</v>
      </c>
      <c r="N347" s="14" t="s">
        <v>1080</v>
      </c>
    </row>
    <row r="348" spans="1:14" ht="43.5" x14ac:dyDescent="0.35">
      <c r="A348" s="14" t="s">
        <v>52</v>
      </c>
      <c r="B348" s="14" t="s">
        <v>2637</v>
      </c>
      <c r="C348" s="14" t="s">
        <v>1076</v>
      </c>
      <c r="D348" s="14" t="s">
        <v>2953</v>
      </c>
      <c r="E348" s="14" t="s">
        <v>3235</v>
      </c>
      <c r="F348" s="14" t="s">
        <v>2989</v>
      </c>
      <c r="G348" s="14" t="s">
        <v>1014</v>
      </c>
      <c r="H348" s="14" t="s">
        <v>1015</v>
      </c>
      <c r="I348" s="14" t="s">
        <v>2829</v>
      </c>
      <c r="J348" s="14" t="s">
        <v>1016</v>
      </c>
      <c r="K348" s="14"/>
      <c r="L348" s="14" t="s">
        <v>1079</v>
      </c>
      <c r="M348" s="14" t="s">
        <v>1017</v>
      </c>
      <c r="N348" s="14" t="s">
        <v>1080</v>
      </c>
    </row>
    <row r="349" spans="1:14" ht="43.5" x14ac:dyDescent="0.35">
      <c r="A349" s="14" t="s">
        <v>52</v>
      </c>
      <c r="B349" s="14" t="s">
        <v>2637</v>
      </c>
      <c r="C349" s="14" t="s">
        <v>1076</v>
      </c>
      <c r="D349" s="14" t="s">
        <v>3125</v>
      </c>
      <c r="E349" s="14" t="s">
        <v>3236</v>
      </c>
      <c r="F349" s="14" t="s">
        <v>2992</v>
      </c>
      <c r="G349" s="14" t="s">
        <v>1014</v>
      </c>
      <c r="H349" s="14" t="s">
        <v>1015</v>
      </c>
      <c r="I349" s="14" t="s">
        <v>1078</v>
      </c>
      <c r="J349" s="14" t="s">
        <v>1016</v>
      </c>
      <c r="K349" s="14"/>
      <c r="L349" s="14" t="s">
        <v>1079</v>
      </c>
      <c r="M349" s="14" t="s">
        <v>1017</v>
      </c>
      <c r="N349" s="14" t="s">
        <v>1080</v>
      </c>
    </row>
    <row r="350" spans="1:14" ht="29" x14ac:dyDescent="0.35">
      <c r="A350" s="14" t="s">
        <v>52</v>
      </c>
      <c r="B350" s="14" t="s">
        <v>2637</v>
      </c>
      <c r="C350" s="14" t="s">
        <v>2825</v>
      </c>
      <c r="D350" s="14" t="s">
        <v>3240</v>
      </c>
      <c r="E350" s="14" t="s">
        <v>3095</v>
      </c>
      <c r="F350" s="14" t="s">
        <v>3241</v>
      </c>
      <c r="G350" s="14" t="s">
        <v>1014</v>
      </c>
      <c r="H350" s="14" t="s">
        <v>1015</v>
      </c>
      <c r="I350" s="14"/>
      <c r="J350" s="14" t="s">
        <v>1016</v>
      </c>
      <c r="K350" s="14"/>
      <c r="L350" s="14" t="s">
        <v>2830</v>
      </c>
      <c r="M350" s="14" t="s">
        <v>1017</v>
      </c>
      <c r="N350" s="14" t="s">
        <v>2831</v>
      </c>
    </row>
    <row r="351" spans="1:14" ht="43.5" x14ac:dyDescent="0.35">
      <c r="A351" s="14" t="s">
        <v>52</v>
      </c>
      <c r="B351" s="14" t="s">
        <v>2652</v>
      </c>
      <c r="C351" s="14" t="s">
        <v>1076</v>
      </c>
      <c r="D351" s="14" t="s">
        <v>2987</v>
      </c>
      <c r="E351" s="14" t="s">
        <v>3098</v>
      </c>
      <c r="F351" s="14" t="s">
        <v>2892</v>
      </c>
      <c r="G351" s="14" t="s">
        <v>1014</v>
      </c>
      <c r="H351" s="14" t="s">
        <v>1015</v>
      </c>
      <c r="I351" s="14" t="s">
        <v>1078</v>
      </c>
      <c r="J351" s="14" t="s">
        <v>1016</v>
      </c>
      <c r="K351" s="14"/>
      <c r="L351" s="14" t="s">
        <v>1079</v>
      </c>
      <c r="M351" s="14" t="s">
        <v>1017</v>
      </c>
      <c r="N351" s="14" t="s">
        <v>1080</v>
      </c>
    </row>
    <row r="352" spans="1:14" ht="43.5" x14ac:dyDescent="0.35">
      <c r="A352" s="14" t="s">
        <v>52</v>
      </c>
      <c r="B352" s="14" t="s">
        <v>2652</v>
      </c>
      <c r="C352" s="14" t="s">
        <v>1076</v>
      </c>
      <c r="D352" s="14" t="s">
        <v>3409</v>
      </c>
      <c r="E352" s="14" t="s">
        <v>3081</v>
      </c>
      <c r="F352" s="14" t="s">
        <v>2895</v>
      </c>
      <c r="G352" s="14" t="s">
        <v>1014</v>
      </c>
      <c r="H352" s="14" t="s">
        <v>1015</v>
      </c>
      <c r="I352" s="14"/>
      <c r="J352" s="14" t="s">
        <v>1016</v>
      </c>
      <c r="K352" s="14"/>
      <c r="L352" s="14" t="s">
        <v>1079</v>
      </c>
      <c r="M352" s="14" t="s">
        <v>1017</v>
      </c>
      <c r="N352" s="14" t="s">
        <v>1080</v>
      </c>
    </row>
    <row r="353" spans="1:14" ht="43.5" x14ac:dyDescent="0.35">
      <c r="A353" s="14" t="s">
        <v>52</v>
      </c>
      <c r="B353" s="14" t="s">
        <v>2654</v>
      </c>
      <c r="C353" s="14" t="s">
        <v>1076</v>
      </c>
      <c r="D353" s="14" t="s">
        <v>2969</v>
      </c>
      <c r="E353" s="14" t="s">
        <v>2970</v>
      </c>
      <c r="F353" s="14" t="s">
        <v>2971</v>
      </c>
      <c r="G353" s="14" t="s">
        <v>1014</v>
      </c>
      <c r="H353" s="14" t="s">
        <v>1015</v>
      </c>
      <c r="I353" s="14" t="s">
        <v>2972</v>
      </c>
      <c r="J353" s="14" t="s">
        <v>1016</v>
      </c>
      <c r="K353" s="14"/>
      <c r="L353" s="14" t="s">
        <v>1079</v>
      </c>
      <c r="M353" s="14" t="s">
        <v>1017</v>
      </c>
      <c r="N353" s="14" t="s">
        <v>1080</v>
      </c>
    </row>
    <row r="354" spans="1:14" ht="43.5" x14ac:dyDescent="0.35">
      <c r="A354" s="14" t="s">
        <v>52</v>
      </c>
      <c r="B354" s="14" t="s">
        <v>2654</v>
      </c>
      <c r="C354" s="14" t="s">
        <v>1076</v>
      </c>
      <c r="D354" s="14" t="s">
        <v>2973</v>
      </c>
      <c r="E354" s="14" t="s">
        <v>2974</v>
      </c>
      <c r="F354" s="14" t="s">
        <v>2975</v>
      </c>
      <c r="G354" s="14" t="s">
        <v>1014</v>
      </c>
      <c r="H354" s="14" t="s">
        <v>1015</v>
      </c>
      <c r="I354" s="14"/>
      <c r="J354" s="14" t="s">
        <v>1016</v>
      </c>
      <c r="K354" s="14"/>
      <c r="L354" s="14" t="s">
        <v>1079</v>
      </c>
      <c r="M354" s="14" t="s">
        <v>1017</v>
      </c>
      <c r="N354" s="14" t="s">
        <v>1080</v>
      </c>
    </row>
    <row r="355" spans="1:14" ht="43.5" x14ac:dyDescent="0.35">
      <c r="A355" s="14" t="s">
        <v>52</v>
      </c>
      <c r="B355" s="14" t="s">
        <v>2654</v>
      </c>
      <c r="C355" s="14" t="s">
        <v>1076</v>
      </c>
      <c r="D355" s="14" t="s">
        <v>2976</v>
      </c>
      <c r="E355" s="14" t="s">
        <v>2977</v>
      </c>
      <c r="F355" s="14" t="s">
        <v>2978</v>
      </c>
      <c r="G355" s="14" t="s">
        <v>1014</v>
      </c>
      <c r="H355" s="14" t="s">
        <v>1015</v>
      </c>
      <c r="I355" s="14"/>
      <c r="J355" s="14" t="s">
        <v>1016</v>
      </c>
      <c r="K355" s="14"/>
      <c r="L355" s="14" t="s">
        <v>1079</v>
      </c>
      <c r="M355" s="14" t="s">
        <v>1017</v>
      </c>
      <c r="N355" s="14" t="s">
        <v>1080</v>
      </c>
    </row>
    <row r="356" spans="1:14" ht="43.5" x14ac:dyDescent="0.35">
      <c r="A356" s="14" t="s">
        <v>52</v>
      </c>
      <c r="B356" s="14" t="s">
        <v>2654</v>
      </c>
      <c r="C356" s="14" t="s">
        <v>1076</v>
      </c>
      <c r="D356" s="14" t="s">
        <v>2979</v>
      </c>
      <c r="E356" s="14" t="s">
        <v>2792</v>
      </c>
      <c r="F356" s="14" t="s">
        <v>3410</v>
      </c>
      <c r="G356" s="14" t="s">
        <v>1014</v>
      </c>
      <c r="H356" s="14" t="s">
        <v>1015</v>
      </c>
      <c r="I356" s="14"/>
      <c r="J356" s="14" t="s">
        <v>1016</v>
      </c>
      <c r="K356" s="14"/>
      <c r="L356" s="14" t="s">
        <v>1079</v>
      </c>
      <c r="M356" s="14" t="s">
        <v>1017</v>
      </c>
      <c r="N356" s="14" t="s">
        <v>1080</v>
      </c>
    </row>
    <row r="357" spans="1:14" ht="43.5" x14ac:dyDescent="0.35">
      <c r="A357" s="14" t="s">
        <v>52</v>
      </c>
      <c r="B357" s="14" t="s">
        <v>2654</v>
      </c>
      <c r="C357" s="14" t="s">
        <v>1076</v>
      </c>
      <c r="D357" s="14" t="s">
        <v>2981</v>
      </c>
      <c r="E357" s="14" t="s">
        <v>2982</v>
      </c>
      <c r="F357" s="14" t="s">
        <v>2983</v>
      </c>
      <c r="G357" s="14" t="s">
        <v>1014</v>
      </c>
      <c r="H357" s="14" t="s">
        <v>1015</v>
      </c>
      <c r="I357" s="14" t="s">
        <v>1078</v>
      </c>
      <c r="J357" s="14" t="s">
        <v>1016</v>
      </c>
      <c r="K357" s="14"/>
      <c r="L357" s="14" t="s">
        <v>1079</v>
      </c>
      <c r="M357" s="14" t="s">
        <v>1017</v>
      </c>
      <c r="N357" s="14" t="s">
        <v>1080</v>
      </c>
    </row>
    <row r="358" spans="1:14" ht="43.5" x14ac:dyDescent="0.35">
      <c r="A358" s="14" t="s">
        <v>52</v>
      </c>
      <c r="B358" s="14" t="s">
        <v>2654</v>
      </c>
      <c r="C358" s="14" t="s">
        <v>1076</v>
      </c>
      <c r="D358" s="14" t="s">
        <v>2984</v>
      </c>
      <c r="E358" s="14" t="s">
        <v>2985</v>
      </c>
      <c r="F358" s="14" t="s">
        <v>2986</v>
      </c>
      <c r="G358" s="14" t="s">
        <v>1014</v>
      </c>
      <c r="H358" s="14" t="s">
        <v>1015</v>
      </c>
      <c r="I358" s="14" t="s">
        <v>1078</v>
      </c>
      <c r="J358" s="14" t="s">
        <v>1016</v>
      </c>
      <c r="K358" s="14"/>
      <c r="L358" s="14" t="s">
        <v>1079</v>
      </c>
      <c r="M358" s="14" t="s">
        <v>1017</v>
      </c>
      <c r="N358" s="14" t="s">
        <v>1080</v>
      </c>
    </row>
    <row r="359" spans="1:14" ht="43.5" x14ac:dyDescent="0.35">
      <c r="A359" s="14" t="s">
        <v>52</v>
      </c>
      <c r="B359" s="14" t="s">
        <v>2662</v>
      </c>
      <c r="C359" s="14" t="s">
        <v>1076</v>
      </c>
      <c r="D359" s="14" t="s">
        <v>3411</v>
      </c>
      <c r="E359" s="14" t="s">
        <v>3412</v>
      </c>
      <c r="F359" s="14" t="s">
        <v>3104</v>
      </c>
      <c r="G359" s="14" t="s">
        <v>1014</v>
      </c>
      <c r="H359" s="14" t="s">
        <v>1015</v>
      </c>
      <c r="I359" s="14" t="s">
        <v>1078</v>
      </c>
      <c r="J359" s="14" t="s">
        <v>1016</v>
      </c>
      <c r="K359" s="14"/>
      <c r="L359" s="14" t="s">
        <v>1079</v>
      </c>
      <c r="M359" s="14" t="s">
        <v>1017</v>
      </c>
      <c r="N359" s="14" t="s">
        <v>1080</v>
      </c>
    </row>
    <row r="360" spans="1:14" ht="43.5" x14ac:dyDescent="0.35">
      <c r="A360" s="14" t="s">
        <v>52</v>
      </c>
      <c r="B360" s="14" t="s">
        <v>2662</v>
      </c>
      <c r="C360" s="14" t="s">
        <v>1076</v>
      </c>
      <c r="D360" s="14" t="s">
        <v>3064</v>
      </c>
      <c r="E360" s="14" t="s">
        <v>3413</v>
      </c>
      <c r="F360" s="14" t="s">
        <v>3106</v>
      </c>
      <c r="G360" s="14" t="s">
        <v>1014</v>
      </c>
      <c r="H360" s="14" t="s">
        <v>1015</v>
      </c>
      <c r="I360" s="14" t="s">
        <v>1078</v>
      </c>
      <c r="J360" s="14" t="s">
        <v>1016</v>
      </c>
      <c r="K360" s="14"/>
      <c r="L360" s="14" t="s">
        <v>1079</v>
      </c>
      <c r="M360" s="14" t="s">
        <v>1017</v>
      </c>
      <c r="N360" s="14" t="s">
        <v>1080</v>
      </c>
    </row>
    <row r="361" spans="1:14" ht="43.5" x14ac:dyDescent="0.35">
      <c r="A361" s="14" t="s">
        <v>52</v>
      </c>
      <c r="B361" s="14" t="s">
        <v>2662</v>
      </c>
      <c r="C361" s="14" t="s">
        <v>1076</v>
      </c>
      <c r="D361" s="14" t="s">
        <v>3414</v>
      </c>
      <c r="E361" s="14" t="s">
        <v>3413</v>
      </c>
      <c r="F361" s="14" t="s">
        <v>3108</v>
      </c>
      <c r="G361" s="14" t="s">
        <v>1014</v>
      </c>
      <c r="H361" s="14" t="s">
        <v>1015</v>
      </c>
      <c r="I361" s="14" t="s">
        <v>1078</v>
      </c>
      <c r="J361" s="14" t="s">
        <v>1016</v>
      </c>
      <c r="K361" s="14"/>
      <c r="L361" s="14" t="s">
        <v>1079</v>
      </c>
      <c r="M361" s="14" t="s">
        <v>1017</v>
      </c>
      <c r="N361" s="14" t="s">
        <v>1080</v>
      </c>
    </row>
    <row r="362" spans="1:14" ht="43.5" x14ac:dyDescent="0.35">
      <c r="A362" s="14" t="s">
        <v>52</v>
      </c>
      <c r="B362" s="14" t="s">
        <v>2662</v>
      </c>
      <c r="C362" s="14" t="s">
        <v>1076</v>
      </c>
      <c r="D362" s="14" t="s">
        <v>2800</v>
      </c>
      <c r="E362" s="14" t="s">
        <v>2838</v>
      </c>
      <c r="F362" s="14" t="s">
        <v>3111</v>
      </c>
      <c r="G362" s="14" t="s">
        <v>1014</v>
      </c>
      <c r="H362" s="14" t="s">
        <v>1015</v>
      </c>
      <c r="I362" s="14" t="s">
        <v>1078</v>
      </c>
      <c r="J362" s="14" t="s">
        <v>1016</v>
      </c>
      <c r="K362" s="14"/>
      <c r="L362" s="14" t="s">
        <v>1079</v>
      </c>
      <c r="M362" s="14" t="s">
        <v>1017</v>
      </c>
      <c r="N362" s="14" t="s">
        <v>1080</v>
      </c>
    </row>
    <row r="363" spans="1:14" ht="43.5" x14ac:dyDescent="0.35">
      <c r="A363" s="14" t="s">
        <v>52</v>
      </c>
      <c r="B363" s="14" t="s">
        <v>2662</v>
      </c>
      <c r="C363" s="14" t="s">
        <v>1076</v>
      </c>
      <c r="D363" s="14" t="s">
        <v>2772</v>
      </c>
      <c r="E363" s="14" t="s">
        <v>3415</v>
      </c>
      <c r="F363" s="14" t="s">
        <v>3113</v>
      </c>
      <c r="G363" s="14" t="s">
        <v>1014</v>
      </c>
      <c r="H363" s="14" t="s">
        <v>1015</v>
      </c>
      <c r="I363" s="14" t="s">
        <v>1078</v>
      </c>
      <c r="J363" s="14" t="s">
        <v>1016</v>
      </c>
      <c r="K363" s="14"/>
      <c r="L363" s="14" t="s">
        <v>1079</v>
      </c>
      <c r="M363" s="14" t="s">
        <v>1017</v>
      </c>
      <c r="N363" s="14" t="s">
        <v>1080</v>
      </c>
    </row>
    <row r="364" spans="1:14" ht="43.5" x14ac:dyDescent="0.35">
      <c r="A364" s="14" t="s">
        <v>52</v>
      </c>
      <c r="B364" s="14" t="s">
        <v>2662</v>
      </c>
      <c r="C364" s="14" t="s">
        <v>1076</v>
      </c>
      <c r="D364" s="14" t="s">
        <v>3416</v>
      </c>
      <c r="E364" s="14" t="s">
        <v>3417</v>
      </c>
      <c r="F364" s="14" t="s">
        <v>2892</v>
      </c>
      <c r="G364" s="14" t="s">
        <v>1014</v>
      </c>
      <c r="H364" s="14" t="s">
        <v>1015</v>
      </c>
      <c r="I364" s="14" t="s">
        <v>1078</v>
      </c>
      <c r="J364" s="14" t="s">
        <v>1016</v>
      </c>
      <c r="K364" s="14"/>
      <c r="L364" s="14" t="s">
        <v>1079</v>
      </c>
      <c r="M364" s="14" t="s">
        <v>1017</v>
      </c>
      <c r="N364" s="14" t="s">
        <v>1080</v>
      </c>
    </row>
    <row r="365" spans="1:14" ht="43.5" x14ac:dyDescent="0.35">
      <c r="A365" s="14" t="s">
        <v>52</v>
      </c>
      <c r="B365" s="14" t="s">
        <v>2662</v>
      </c>
      <c r="C365" s="14" t="s">
        <v>1076</v>
      </c>
      <c r="D365" s="14" t="s">
        <v>3221</v>
      </c>
      <c r="E365" s="14" t="s">
        <v>3418</v>
      </c>
      <c r="F365" s="14" t="s">
        <v>3116</v>
      </c>
      <c r="G365" s="14" t="s">
        <v>1014</v>
      </c>
      <c r="H365" s="14" t="s">
        <v>1015</v>
      </c>
      <c r="I365" s="14"/>
      <c r="J365" s="14" t="s">
        <v>1016</v>
      </c>
      <c r="K365" s="14"/>
      <c r="L365" s="14" t="s">
        <v>1079</v>
      </c>
      <c r="M365" s="14" t="s">
        <v>1017</v>
      </c>
      <c r="N365" s="14" t="s">
        <v>1080</v>
      </c>
    </row>
    <row r="366" spans="1:14" ht="43.5" x14ac:dyDescent="0.35">
      <c r="A366" s="14" t="s">
        <v>52</v>
      </c>
      <c r="B366" s="14" t="s">
        <v>2662</v>
      </c>
      <c r="C366" s="14" t="s">
        <v>1076</v>
      </c>
      <c r="D366" s="14" t="s">
        <v>3419</v>
      </c>
      <c r="E366" s="14" t="s">
        <v>3420</v>
      </c>
      <c r="F366" s="14" t="s">
        <v>3119</v>
      </c>
      <c r="G366" s="14" t="s">
        <v>1014</v>
      </c>
      <c r="H366" s="14" t="s">
        <v>1015</v>
      </c>
      <c r="I366" s="14"/>
      <c r="J366" s="14" t="s">
        <v>1016</v>
      </c>
      <c r="K366" s="14"/>
      <c r="L366" s="14" t="s">
        <v>1079</v>
      </c>
      <c r="M366" s="14" t="s">
        <v>1017</v>
      </c>
      <c r="N366" s="14" t="s">
        <v>1080</v>
      </c>
    </row>
    <row r="367" spans="1:14" ht="43.5" x14ac:dyDescent="0.35">
      <c r="A367" s="14" t="s">
        <v>52</v>
      </c>
      <c r="B367" s="14" t="s">
        <v>2662</v>
      </c>
      <c r="C367" s="14" t="s">
        <v>1076</v>
      </c>
      <c r="D367" s="14" t="s">
        <v>3115</v>
      </c>
      <c r="E367" s="14" t="s">
        <v>3421</v>
      </c>
      <c r="F367" s="14" t="s">
        <v>3422</v>
      </c>
      <c r="G367" s="14" t="s">
        <v>1014</v>
      </c>
      <c r="H367" s="14" t="s">
        <v>1015</v>
      </c>
      <c r="I367" s="14"/>
      <c r="J367" s="14" t="s">
        <v>1016</v>
      </c>
      <c r="K367" s="14"/>
      <c r="L367" s="14" t="s">
        <v>1079</v>
      </c>
      <c r="M367" s="14" t="s">
        <v>1017</v>
      </c>
      <c r="N367" s="14" t="s">
        <v>1080</v>
      </c>
    </row>
    <row r="368" spans="1:14" ht="43.5" x14ac:dyDescent="0.35">
      <c r="A368" s="14" t="s">
        <v>52</v>
      </c>
      <c r="B368" s="14" t="s">
        <v>2662</v>
      </c>
      <c r="C368" s="14" t="s">
        <v>1076</v>
      </c>
      <c r="D368" s="14" t="s">
        <v>3423</v>
      </c>
      <c r="E368" s="14" t="s">
        <v>3424</v>
      </c>
      <c r="F368" s="14" t="s">
        <v>3124</v>
      </c>
      <c r="G368" s="14" t="s">
        <v>1014</v>
      </c>
      <c r="H368" s="14" t="s">
        <v>1015</v>
      </c>
      <c r="I368" s="14"/>
      <c r="J368" s="14" t="s">
        <v>1016</v>
      </c>
      <c r="K368" s="14"/>
      <c r="L368" s="14" t="s">
        <v>1079</v>
      </c>
      <c r="M368" s="14" t="s">
        <v>1017</v>
      </c>
      <c r="N368" s="14" t="s">
        <v>1080</v>
      </c>
    </row>
    <row r="369" spans="1:14" ht="29" x14ac:dyDescent="0.35">
      <c r="A369" s="14" t="s">
        <v>52</v>
      </c>
      <c r="B369" s="14" t="s">
        <v>2662</v>
      </c>
      <c r="C369" s="14" t="s">
        <v>2825</v>
      </c>
      <c r="D369" s="14" t="s">
        <v>3425</v>
      </c>
      <c r="E369" s="14" t="s">
        <v>3098</v>
      </c>
      <c r="F369" s="14" t="s">
        <v>3126</v>
      </c>
      <c r="G369" s="14" t="s">
        <v>1014</v>
      </c>
      <c r="H369" s="14" t="s">
        <v>1015</v>
      </c>
      <c r="I369" s="14" t="s">
        <v>1078</v>
      </c>
      <c r="J369" s="14" t="s">
        <v>1016</v>
      </c>
      <c r="K369" s="14"/>
      <c r="L369" s="14" t="s">
        <v>2830</v>
      </c>
      <c r="M369" s="14" t="s">
        <v>1017</v>
      </c>
      <c r="N369" s="14" t="s">
        <v>2831</v>
      </c>
    </row>
    <row r="370" spans="1:14" ht="43.5" x14ac:dyDescent="0.35">
      <c r="A370" s="14" t="s">
        <v>52</v>
      </c>
      <c r="B370" s="14" t="s">
        <v>2669</v>
      </c>
      <c r="C370" s="14" t="s">
        <v>1076</v>
      </c>
      <c r="D370" s="14" t="s">
        <v>2987</v>
      </c>
      <c r="E370" s="14" t="s">
        <v>3098</v>
      </c>
      <c r="F370" s="14" t="s">
        <v>3426</v>
      </c>
      <c r="G370" s="14" t="s">
        <v>1014</v>
      </c>
      <c r="H370" s="14" t="s">
        <v>1015</v>
      </c>
      <c r="I370" s="14" t="s">
        <v>1078</v>
      </c>
      <c r="J370" s="14" t="s">
        <v>1016</v>
      </c>
      <c r="K370" s="14"/>
      <c r="L370" s="14" t="s">
        <v>1079</v>
      </c>
      <c r="M370" s="14" t="s">
        <v>1017</v>
      </c>
      <c r="N370" s="14" t="s">
        <v>1080</v>
      </c>
    </row>
    <row r="371" spans="1:14" ht="43.5" x14ac:dyDescent="0.35">
      <c r="A371" s="14" t="s">
        <v>52</v>
      </c>
      <c r="B371" s="14" t="s">
        <v>2669</v>
      </c>
      <c r="C371" s="14" t="s">
        <v>1076</v>
      </c>
      <c r="D371" s="14" t="s">
        <v>3148</v>
      </c>
      <c r="E371" s="14" t="s">
        <v>3427</v>
      </c>
      <c r="F371" s="14" t="s">
        <v>3428</v>
      </c>
      <c r="G371" s="14" t="s">
        <v>1014</v>
      </c>
      <c r="H371" s="14" t="s">
        <v>1015</v>
      </c>
      <c r="I371" s="14"/>
      <c r="J371" s="14" t="s">
        <v>1016</v>
      </c>
      <c r="K371" s="14"/>
      <c r="L371" s="14" t="s">
        <v>1079</v>
      </c>
      <c r="M371" s="14" t="s">
        <v>1017</v>
      </c>
      <c r="N371" s="14" t="s">
        <v>1080</v>
      </c>
    </row>
    <row r="372" spans="1:14" ht="43.5" x14ac:dyDescent="0.35">
      <c r="A372" s="14" t="s">
        <v>52</v>
      </c>
      <c r="B372" s="14" t="s">
        <v>2669</v>
      </c>
      <c r="C372" s="14" t="s">
        <v>1076</v>
      </c>
      <c r="D372" s="14" t="s">
        <v>3298</v>
      </c>
      <c r="E372" s="14" t="s">
        <v>3427</v>
      </c>
      <c r="F372" s="14" t="s">
        <v>3429</v>
      </c>
      <c r="G372" s="14" t="s">
        <v>1014</v>
      </c>
      <c r="H372" s="14" t="s">
        <v>1015</v>
      </c>
      <c r="I372" s="14"/>
      <c r="J372" s="14" t="s">
        <v>1016</v>
      </c>
      <c r="K372" s="14"/>
      <c r="L372" s="14" t="s">
        <v>1079</v>
      </c>
      <c r="M372" s="14" t="s">
        <v>1017</v>
      </c>
      <c r="N372" s="14" t="s">
        <v>1080</v>
      </c>
    </row>
    <row r="373" spans="1:14" ht="43.5" x14ac:dyDescent="0.35">
      <c r="A373" s="14" t="s">
        <v>52</v>
      </c>
      <c r="B373" s="14" t="s">
        <v>2682</v>
      </c>
      <c r="C373" s="14" t="s">
        <v>1076</v>
      </c>
      <c r="D373" s="14" t="s">
        <v>2946</v>
      </c>
      <c r="E373" s="14" t="s">
        <v>2947</v>
      </c>
      <c r="F373" s="14" t="s">
        <v>2948</v>
      </c>
      <c r="G373" s="14" t="s">
        <v>1014</v>
      </c>
      <c r="H373" s="14" t="s">
        <v>1015</v>
      </c>
      <c r="I373" s="14" t="s">
        <v>1078</v>
      </c>
      <c r="J373" s="14" t="s">
        <v>1016</v>
      </c>
      <c r="K373" s="14"/>
      <c r="L373" s="14" t="s">
        <v>1079</v>
      </c>
      <c r="M373" s="14" t="s">
        <v>1017</v>
      </c>
      <c r="N373" s="14" t="s">
        <v>1080</v>
      </c>
    </row>
    <row r="374" spans="1:14" ht="43.5" x14ac:dyDescent="0.35">
      <c r="A374" s="14" t="s">
        <v>52</v>
      </c>
      <c r="B374" s="14" t="s">
        <v>2682</v>
      </c>
      <c r="C374" s="14" t="s">
        <v>1076</v>
      </c>
      <c r="D374" s="14" t="s">
        <v>2949</v>
      </c>
      <c r="E374" s="14" t="s">
        <v>2950</v>
      </c>
      <c r="F374" s="14" t="s">
        <v>2951</v>
      </c>
      <c r="G374" s="14" t="s">
        <v>1014</v>
      </c>
      <c r="H374" s="14" t="s">
        <v>1015</v>
      </c>
      <c r="I374" s="14" t="s">
        <v>1078</v>
      </c>
      <c r="J374" s="14" t="s">
        <v>1016</v>
      </c>
      <c r="K374" s="14"/>
      <c r="L374" s="14" t="s">
        <v>1079</v>
      </c>
      <c r="M374" s="14" t="s">
        <v>1017</v>
      </c>
      <c r="N374" s="14" t="s">
        <v>1080</v>
      </c>
    </row>
    <row r="375" spans="1:14" ht="43.5" x14ac:dyDescent="0.35">
      <c r="A375" s="14" t="s">
        <v>52</v>
      </c>
      <c r="B375" s="14" t="s">
        <v>2682</v>
      </c>
      <c r="C375" s="14" t="s">
        <v>1076</v>
      </c>
      <c r="D375" s="14" t="s">
        <v>2952</v>
      </c>
      <c r="E375" s="14" t="s">
        <v>2953</v>
      </c>
      <c r="F375" s="14" t="s">
        <v>2954</v>
      </c>
      <c r="G375" s="14" t="s">
        <v>1014</v>
      </c>
      <c r="H375" s="14" t="s">
        <v>1015</v>
      </c>
      <c r="I375" s="14" t="s">
        <v>1078</v>
      </c>
      <c r="J375" s="14" t="s">
        <v>1016</v>
      </c>
      <c r="K375" s="14"/>
      <c r="L375" s="14" t="s">
        <v>1079</v>
      </c>
      <c r="M375" s="14" t="s">
        <v>1017</v>
      </c>
      <c r="N375" s="14" t="s">
        <v>1080</v>
      </c>
    </row>
    <row r="376" spans="1:14" ht="43.5" x14ac:dyDescent="0.35">
      <c r="A376" s="14" t="s">
        <v>52</v>
      </c>
      <c r="B376" s="14" t="s">
        <v>2710</v>
      </c>
      <c r="C376" s="14" t="s">
        <v>1076</v>
      </c>
      <c r="D376" s="14" t="s">
        <v>3430</v>
      </c>
      <c r="E376" s="14" t="s">
        <v>3431</v>
      </c>
      <c r="F376" s="14" t="s">
        <v>2993</v>
      </c>
      <c r="G376" s="14" t="s">
        <v>1014</v>
      </c>
      <c r="H376" s="14" t="s">
        <v>1015</v>
      </c>
      <c r="I376" s="14"/>
      <c r="J376" s="14" t="s">
        <v>1016</v>
      </c>
      <c r="K376" s="14"/>
      <c r="L376" s="14" t="s">
        <v>1079</v>
      </c>
      <c r="M376" s="14" t="s">
        <v>1017</v>
      </c>
      <c r="N376" s="14" t="s">
        <v>1080</v>
      </c>
    </row>
    <row r="377" spans="1:14" ht="43.5" x14ac:dyDescent="0.35">
      <c r="A377" s="14" t="s">
        <v>52</v>
      </c>
      <c r="B377" s="14" t="s">
        <v>2725</v>
      </c>
      <c r="C377" s="14" t="s">
        <v>1076</v>
      </c>
      <c r="D377" s="14" t="s">
        <v>2787</v>
      </c>
      <c r="E377" s="14" t="s">
        <v>3353</v>
      </c>
      <c r="F377" s="14" t="s">
        <v>3432</v>
      </c>
      <c r="G377" s="14" t="s">
        <v>1014</v>
      </c>
      <c r="H377" s="14" t="s">
        <v>1015</v>
      </c>
      <c r="I377" s="14"/>
      <c r="J377" s="14" t="s">
        <v>1016</v>
      </c>
      <c r="K377" s="14"/>
      <c r="L377" s="14" t="s">
        <v>1079</v>
      </c>
      <c r="M377" s="14" t="s">
        <v>1017</v>
      </c>
      <c r="N377" s="14" t="s">
        <v>1080</v>
      </c>
    </row>
    <row r="378" spans="1:14" ht="43.5" x14ac:dyDescent="0.35">
      <c r="A378" s="14" t="s">
        <v>52</v>
      </c>
      <c r="B378" s="14" t="s">
        <v>2725</v>
      </c>
      <c r="C378" s="14" t="s">
        <v>1076</v>
      </c>
      <c r="D378" s="14" t="s">
        <v>3433</v>
      </c>
      <c r="E378" s="14" t="s">
        <v>3434</v>
      </c>
      <c r="F378" s="14" t="s">
        <v>3435</v>
      </c>
      <c r="G378" s="14" t="s">
        <v>1014</v>
      </c>
      <c r="H378" s="14" t="s">
        <v>1015</v>
      </c>
      <c r="I378" s="14" t="s">
        <v>54</v>
      </c>
      <c r="J378" s="14" t="s">
        <v>1016</v>
      </c>
      <c r="K378" s="14"/>
      <c r="L378" s="14" t="s">
        <v>1079</v>
      </c>
      <c r="M378" s="14" t="s">
        <v>1017</v>
      </c>
      <c r="N378" s="14" t="s">
        <v>1080</v>
      </c>
    </row>
    <row r="379" spans="1:14" ht="43.5" x14ac:dyDescent="0.35">
      <c r="A379" s="14" t="s">
        <v>52</v>
      </c>
      <c r="B379" s="14" t="s">
        <v>2725</v>
      </c>
      <c r="C379" s="14" t="s">
        <v>1076</v>
      </c>
      <c r="D379" s="14" t="s">
        <v>3436</v>
      </c>
      <c r="E379" s="14" t="s">
        <v>3437</v>
      </c>
      <c r="F379" s="14" t="s">
        <v>3438</v>
      </c>
      <c r="G379" s="14" t="s">
        <v>1014</v>
      </c>
      <c r="H379" s="14" t="s">
        <v>1015</v>
      </c>
      <c r="I379" s="14" t="s">
        <v>54</v>
      </c>
      <c r="J379" s="14" t="s">
        <v>1016</v>
      </c>
      <c r="K379" s="14"/>
      <c r="L379" s="14" t="s">
        <v>1079</v>
      </c>
      <c r="M379" s="14" t="s">
        <v>1017</v>
      </c>
      <c r="N379" s="14" t="s">
        <v>1080</v>
      </c>
    </row>
    <row r="380" spans="1:14" ht="43.5" x14ac:dyDescent="0.35">
      <c r="A380" s="14" t="s">
        <v>52</v>
      </c>
      <c r="B380" s="14" t="s">
        <v>2741</v>
      </c>
      <c r="C380" s="14" t="s">
        <v>1076</v>
      </c>
      <c r="D380" s="14" t="s">
        <v>3439</v>
      </c>
      <c r="E380" s="14" t="s">
        <v>3440</v>
      </c>
      <c r="F380" s="14" t="s">
        <v>3441</v>
      </c>
      <c r="G380" s="14" t="s">
        <v>1014</v>
      </c>
      <c r="H380" s="14" t="s">
        <v>1015</v>
      </c>
      <c r="I380" s="14" t="s">
        <v>1078</v>
      </c>
      <c r="J380" s="14" t="s">
        <v>1016</v>
      </c>
      <c r="K380" s="14"/>
      <c r="L380" s="14" t="s">
        <v>1079</v>
      </c>
      <c r="M380" s="14" t="s">
        <v>1017</v>
      </c>
      <c r="N380" s="14" t="s">
        <v>1080</v>
      </c>
    </row>
    <row r="381" spans="1:14" ht="43.5" x14ac:dyDescent="0.35">
      <c r="A381" s="14" t="s">
        <v>52</v>
      </c>
      <c r="B381" s="14" t="s">
        <v>2744</v>
      </c>
      <c r="C381" s="14" t="s">
        <v>1076</v>
      </c>
      <c r="D381" s="14" t="s">
        <v>2899</v>
      </c>
      <c r="E381" s="14" t="s">
        <v>2772</v>
      </c>
      <c r="F381" s="14" t="s">
        <v>2900</v>
      </c>
      <c r="G381" s="14" t="s">
        <v>1014</v>
      </c>
      <c r="H381" s="14" t="s">
        <v>1015</v>
      </c>
      <c r="I381" s="14" t="s">
        <v>1229</v>
      </c>
      <c r="J381" s="14" t="s">
        <v>1016</v>
      </c>
      <c r="K381" s="14"/>
      <c r="L381" s="14" t="s">
        <v>1079</v>
      </c>
      <c r="M381" s="14" t="s">
        <v>1017</v>
      </c>
      <c r="N381" s="14" t="s">
        <v>1080</v>
      </c>
    </row>
    <row r="382" spans="1:14" ht="43.5" x14ac:dyDescent="0.35">
      <c r="A382" s="14" t="s">
        <v>52</v>
      </c>
      <c r="B382" s="14" t="s">
        <v>2744</v>
      </c>
      <c r="C382" s="14" t="s">
        <v>1076</v>
      </c>
      <c r="D382" s="14" t="s">
        <v>2901</v>
      </c>
      <c r="E382" s="14" t="s">
        <v>2902</v>
      </c>
      <c r="F382" s="14" t="s">
        <v>2903</v>
      </c>
      <c r="G382" s="14" t="s">
        <v>1014</v>
      </c>
      <c r="H382" s="14" t="s">
        <v>1015</v>
      </c>
      <c r="I382" s="14" t="s">
        <v>2829</v>
      </c>
      <c r="J382" s="14" t="s">
        <v>1016</v>
      </c>
      <c r="K382" s="14"/>
      <c r="L382" s="14" t="s">
        <v>1079</v>
      </c>
      <c r="M382" s="14" t="s">
        <v>1017</v>
      </c>
      <c r="N382" s="14" t="s">
        <v>1080</v>
      </c>
    </row>
    <row r="383" spans="1:14" ht="43.5" x14ac:dyDescent="0.35">
      <c r="A383" s="14" t="s">
        <v>52</v>
      </c>
      <c r="B383" s="14" t="s">
        <v>2744</v>
      </c>
      <c r="C383" s="14" t="s">
        <v>1076</v>
      </c>
      <c r="D383" s="14" t="s">
        <v>2904</v>
      </c>
      <c r="E383" s="14" t="s">
        <v>2890</v>
      </c>
      <c r="F383" s="14" t="s">
        <v>2905</v>
      </c>
      <c r="G383" s="14" t="s">
        <v>1014</v>
      </c>
      <c r="H383" s="14" t="s">
        <v>1015</v>
      </c>
      <c r="I383" s="14" t="s">
        <v>1078</v>
      </c>
      <c r="J383" s="14" t="s">
        <v>1016</v>
      </c>
      <c r="K383" s="14"/>
      <c r="L383" s="14" t="s">
        <v>1079</v>
      </c>
      <c r="M383" s="14" t="s">
        <v>1017</v>
      </c>
      <c r="N383" s="14" t="s">
        <v>1080</v>
      </c>
    </row>
    <row r="384" spans="1:14" ht="43.5" x14ac:dyDescent="0.35">
      <c r="A384" s="14" t="s">
        <v>52</v>
      </c>
      <c r="B384" s="14" t="s">
        <v>2744</v>
      </c>
      <c r="C384" s="14" t="s">
        <v>1076</v>
      </c>
      <c r="D384" s="14" t="s">
        <v>2881</v>
      </c>
      <c r="E384" s="14" t="s">
        <v>2906</v>
      </c>
      <c r="F384" s="14" t="s">
        <v>2907</v>
      </c>
      <c r="G384" s="14" t="s">
        <v>1014</v>
      </c>
      <c r="H384" s="14" t="s">
        <v>1015</v>
      </c>
      <c r="I384" s="14" t="s">
        <v>1078</v>
      </c>
      <c r="J384" s="14" t="s">
        <v>1016</v>
      </c>
      <c r="K384" s="14"/>
      <c r="L384" s="14" t="s">
        <v>1079</v>
      </c>
      <c r="M384" s="14" t="s">
        <v>1017</v>
      </c>
      <c r="N384" s="14" t="s">
        <v>1080</v>
      </c>
    </row>
    <row r="385" spans="1:14" ht="29" x14ac:dyDescent="0.35">
      <c r="A385" s="14" t="s">
        <v>3442</v>
      </c>
      <c r="B385" s="14" t="s">
        <v>3443</v>
      </c>
      <c r="C385" s="14" t="s">
        <v>3444</v>
      </c>
      <c r="D385" s="14" t="s">
        <v>3445</v>
      </c>
      <c r="E385" s="14" t="s">
        <v>3446</v>
      </c>
      <c r="F385" s="14" t="s">
        <v>3447</v>
      </c>
      <c r="G385" s="14" t="s">
        <v>1014</v>
      </c>
      <c r="H385" s="14" t="s">
        <v>1015</v>
      </c>
      <c r="I385" s="14"/>
      <c r="J385" s="14" t="s">
        <v>1016</v>
      </c>
      <c r="K385" s="14"/>
      <c r="L385" s="14" t="s">
        <v>3448</v>
      </c>
      <c r="M385" s="14" t="s">
        <v>1017</v>
      </c>
      <c r="N385" s="14" t="s">
        <v>3449</v>
      </c>
    </row>
    <row r="386" spans="1:14" ht="29" x14ac:dyDescent="0.35">
      <c r="A386" s="14" t="s">
        <v>3442</v>
      </c>
      <c r="B386" s="14" t="s">
        <v>3450</v>
      </c>
      <c r="C386" s="14" t="s">
        <v>3444</v>
      </c>
      <c r="D386" s="14" t="s">
        <v>3451</v>
      </c>
      <c r="E386" s="14" t="s">
        <v>3452</v>
      </c>
      <c r="F386" s="14" t="s">
        <v>3447</v>
      </c>
      <c r="G386" s="14" t="s">
        <v>1014</v>
      </c>
      <c r="H386" s="14" t="s">
        <v>1015</v>
      </c>
      <c r="I386" s="14"/>
      <c r="J386" s="14" t="s">
        <v>1016</v>
      </c>
      <c r="K386" s="14"/>
      <c r="L386" s="14" t="s">
        <v>3448</v>
      </c>
      <c r="M386" s="14" t="s">
        <v>1017</v>
      </c>
      <c r="N386" s="14" t="s">
        <v>3449</v>
      </c>
    </row>
    <row r="387" spans="1:14" ht="29" x14ac:dyDescent="0.35">
      <c r="A387" s="14" t="s">
        <v>3442</v>
      </c>
      <c r="B387" s="14" t="s">
        <v>3450</v>
      </c>
      <c r="C387" s="14" t="s">
        <v>3444</v>
      </c>
      <c r="D387" s="14" t="s">
        <v>3453</v>
      </c>
      <c r="E387" s="14" t="s">
        <v>3454</v>
      </c>
      <c r="F387" s="14" t="s">
        <v>3447</v>
      </c>
      <c r="G387" s="14" t="s">
        <v>1014</v>
      </c>
      <c r="H387" s="14" t="s">
        <v>1015</v>
      </c>
      <c r="I387" s="14"/>
      <c r="J387" s="14" t="s">
        <v>1016</v>
      </c>
      <c r="K387" s="14"/>
      <c r="L387" s="14" t="s">
        <v>3448</v>
      </c>
      <c r="M387" s="14" t="s">
        <v>1017</v>
      </c>
      <c r="N387" s="14" t="s">
        <v>3449</v>
      </c>
    </row>
    <row r="388" spans="1:14" ht="29" x14ac:dyDescent="0.35">
      <c r="A388" s="14" t="s">
        <v>3442</v>
      </c>
      <c r="B388" s="14" t="s">
        <v>3455</v>
      </c>
      <c r="C388" s="14" t="s">
        <v>3444</v>
      </c>
      <c r="D388" s="14" t="s">
        <v>3156</v>
      </c>
      <c r="E388" s="14" t="s">
        <v>2925</v>
      </c>
      <c r="F388" s="14" t="s">
        <v>3447</v>
      </c>
      <c r="G388" s="14" t="s">
        <v>1014</v>
      </c>
      <c r="H388" s="14" t="s">
        <v>1015</v>
      </c>
      <c r="I388" s="14" t="s">
        <v>3456</v>
      </c>
      <c r="J388" s="14" t="s">
        <v>1016</v>
      </c>
      <c r="K388" s="14"/>
      <c r="L388" s="14" t="s">
        <v>3448</v>
      </c>
      <c r="M388" s="14" t="s">
        <v>1017</v>
      </c>
      <c r="N388" s="14" t="s">
        <v>3449</v>
      </c>
    </row>
    <row r="389" spans="1:14" ht="29" x14ac:dyDescent="0.35">
      <c r="A389" s="14" t="s">
        <v>3442</v>
      </c>
      <c r="B389" s="14" t="s">
        <v>3457</v>
      </c>
      <c r="C389" s="14" t="s">
        <v>3444</v>
      </c>
      <c r="D389" s="14" t="s">
        <v>3382</v>
      </c>
      <c r="E389" s="14" t="s">
        <v>3458</v>
      </c>
      <c r="F389" s="14" t="s">
        <v>3447</v>
      </c>
      <c r="G389" s="14" t="s">
        <v>1014</v>
      </c>
      <c r="H389" s="14" t="s">
        <v>1015</v>
      </c>
      <c r="I389" s="14"/>
      <c r="J389" s="14" t="s">
        <v>1016</v>
      </c>
      <c r="K389" s="14"/>
      <c r="L389" s="14" t="s">
        <v>3448</v>
      </c>
      <c r="M389" s="14" t="s">
        <v>1017</v>
      </c>
      <c r="N389" s="14" t="s">
        <v>3449</v>
      </c>
    </row>
    <row r="390" spans="1:14" ht="29" x14ac:dyDescent="0.35">
      <c r="A390" s="14" t="s">
        <v>3442</v>
      </c>
      <c r="B390" s="14" t="s">
        <v>3459</v>
      </c>
      <c r="C390" s="14" t="s">
        <v>3460</v>
      </c>
      <c r="D390" s="14" t="s">
        <v>3461</v>
      </c>
      <c r="E390" s="14" t="s">
        <v>3462</v>
      </c>
      <c r="F390" s="14" t="s">
        <v>3463</v>
      </c>
      <c r="G390" s="14" t="s">
        <v>1014</v>
      </c>
      <c r="H390" s="14" t="s">
        <v>1150</v>
      </c>
      <c r="I390" s="14"/>
      <c r="J390" s="14" t="s">
        <v>1016</v>
      </c>
      <c r="K390" s="14"/>
      <c r="L390" s="14" t="s">
        <v>3464</v>
      </c>
      <c r="M390" s="14" t="s">
        <v>1017</v>
      </c>
      <c r="N390" s="14" t="s">
        <v>3465</v>
      </c>
    </row>
    <row r="391" spans="1:14" ht="29" x14ac:dyDescent="0.35">
      <c r="A391" s="14" t="s">
        <v>3442</v>
      </c>
      <c r="B391" s="14" t="s">
        <v>3459</v>
      </c>
      <c r="C391" s="14" t="s">
        <v>3466</v>
      </c>
      <c r="D391" s="14" t="s">
        <v>3461</v>
      </c>
      <c r="E391" s="14" t="s">
        <v>3467</v>
      </c>
      <c r="F391" s="14" t="s">
        <v>3468</v>
      </c>
      <c r="G391" s="14" t="s">
        <v>1014</v>
      </c>
      <c r="H391" s="14" t="s">
        <v>1150</v>
      </c>
      <c r="I391" s="14"/>
      <c r="J391" s="14" t="s">
        <v>1016</v>
      </c>
      <c r="K391" s="14"/>
      <c r="L391" s="14" t="s">
        <v>3464</v>
      </c>
      <c r="M391" s="14" t="s">
        <v>1017</v>
      </c>
      <c r="N391" s="14" t="s">
        <v>3469</v>
      </c>
    </row>
    <row r="392" spans="1:14" ht="29" x14ac:dyDescent="0.35">
      <c r="A392" s="14" t="s">
        <v>3442</v>
      </c>
      <c r="B392" s="14" t="s">
        <v>3470</v>
      </c>
      <c r="C392" s="14" t="s">
        <v>3444</v>
      </c>
      <c r="D392" s="14" t="s">
        <v>3471</v>
      </c>
      <c r="E392" s="14" t="s">
        <v>3472</v>
      </c>
      <c r="F392" s="14" t="s">
        <v>3447</v>
      </c>
      <c r="G392" s="14" t="s">
        <v>1014</v>
      </c>
      <c r="H392" s="14" t="s">
        <v>1015</v>
      </c>
      <c r="I392" s="14"/>
      <c r="J392" s="14" t="s">
        <v>1016</v>
      </c>
      <c r="K392" s="14"/>
      <c r="L392" s="14" t="s">
        <v>3448</v>
      </c>
      <c r="M392" s="14" t="s">
        <v>1017</v>
      </c>
      <c r="N392" s="14" t="s">
        <v>3449</v>
      </c>
    </row>
    <row r="393" spans="1:14" ht="29" x14ac:dyDescent="0.35">
      <c r="A393" s="14" t="s">
        <v>3442</v>
      </c>
      <c r="B393" s="14" t="s">
        <v>3473</v>
      </c>
      <c r="C393" s="14" t="s">
        <v>3444</v>
      </c>
      <c r="D393" s="14" t="s">
        <v>3474</v>
      </c>
      <c r="E393" s="14" t="s">
        <v>3221</v>
      </c>
      <c r="F393" s="14" t="s">
        <v>3447</v>
      </c>
      <c r="G393" s="14" t="s">
        <v>1014</v>
      </c>
      <c r="H393" s="14" t="s">
        <v>1015</v>
      </c>
      <c r="I393" s="14"/>
      <c r="J393" s="14" t="s">
        <v>1016</v>
      </c>
      <c r="K393" s="14"/>
      <c r="L393" s="14" t="s">
        <v>3448</v>
      </c>
      <c r="M393" s="14" t="s">
        <v>1017</v>
      </c>
      <c r="N393" s="14" t="s">
        <v>3449</v>
      </c>
    </row>
    <row r="394" spans="1:14" ht="29" x14ac:dyDescent="0.35">
      <c r="A394" s="14" t="s">
        <v>3442</v>
      </c>
      <c r="B394" s="14" t="s">
        <v>3475</v>
      </c>
      <c r="C394" s="14" t="s">
        <v>3444</v>
      </c>
      <c r="D394" s="14" t="s">
        <v>3476</v>
      </c>
      <c r="E394" s="14" t="s">
        <v>3477</v>
      </c>
      <c r="F394" s="14" t="s">
        <v>3447</v>
      </c>
      <c r="G394" s="14" t="s">
        <v>1014</v>
      </c>
      <c r="H394" s="14" t="s">
        <v>1015</v>
      </c>
      <c r="I394" s="14"/>
      <c r="J394" s="14" t="s">
        <v>1016</v>
      </c>
      <c r="K394" s="14"/>
      <c r="L394" s="14" t="s">
        <v>3448</v>
      </c>
      <c r="M394" s="14" t="s">
        <v>1017</v>
      </c>
      <c r="N394" s="14" t="s">
        <v>3449</v>
      </c>
    </row>
    <row r="395" spans="1:14" ht="29" x14ac:dyDescent="0.35">
      <c r="A395" s="14" t="s">
        <v>3442</v>
      </c>
      <c r="B395" s="14" t="s">
        <v>3475</v>
      </c>
      <c r="C395" s="14" t="s">
        <v>3444</v>
      </c>
      <c r="D395" s="14" t="s">
        <v>3478</v>
      </c>
      <c r="E395" s="14" t="s">
        <v>3479</v>
      </c>
      <c r="F395" s="14" t="s">
        <v>3447</v>
      </c>
      <c r="G395" s="14" t="s">
        <v>1014</v>
      </c>
      <c r="H395" s="14" t="s">
        <v>1015</v>
      </c>
      <c r="I395" s="14"/>
      <c r="J395" s="14" t="s">
        <v>1016</v>
      </c>
      <c r="K395" s="14"/>
      <c r="L395" s="14" t="s">
        <v>3448</v>
      </c>
      <c r="M395" s="14" t="s">
        <v>1017</v>
      </c>
      <c r="N395" s="14" t="s">
        <v>3449</v>
      </c>
    </row>
    <row r="396" spans="1:14" ht="29" x14ac:dyDescent="0.35">
      <c r="A396" s="14" t="s">
        <v>3442</v>
      </c>
      <c r="B396" s="14" t="s">
        <v>3475</v>
      </c>
      <c r="C396" s="14" t="s">
        <v>3460</v>
      </c>
      <c r="D396" s="14" t="s">
        <v>3361</v>
      </c>
      <c r="E396" s="14" t="s">
        <v>3436</v>
      </c>
      <c r="F396" s="14" t="s">
        <v>3463</v>
      </c>
      <c r="G396" s="14" t="s">
        <v>1014</v>
      </c>
      <c r="H396" s="14" t="s">
        <v>1873</v>
      </c>
      <c r="I396" s="14" t="s">
        <v>3456</v>
      </c>
      <c r="J396" s="14" t="s">
        <v>1016</v>
      </c>
      <c r="K396" s="14"/>
      <c r="L396" s="14" t="s">
        <v>3464</v>
      </c>
      <c r="M396" s="14" t="s">
        <v>1017</v>
      </c>
      <c r="N396" s="14" t="s">
        <v>3465</v>
      </c>
    </row>
    <row r="397" spans="1:14" ht="29" x14ac:dyDescent="0.35">
      <c r="A397" s="14" t="s">
        <v>3442</v>
      </c>
      <c r="B397" s="14" t="s">
        <v>3480</v>
      </c>
      <c r="C397" s="14" t="s">
        <v>3444</v>
      </c>
      <c r="D397" s="14" t="s">
        <v>3481</v>
      </c>
      <c r="E397" s="14" t="s">
        <v>3482</v>
      </c>
      <c r="F397" s="14" t="s">
        <v>3447</v>
      </c>
      <c r="G397" s="14" t="s">
        <v>1014</v>
      </c>
      <c r="H397" s="14" t="s">
        <v>1015</v>
      </c>
      <c r="I397" s="14"/>
      <c r="J397" s="14" t="s">
        <v>1016</v>
      </c>
      <c r="K397" s="14"/>
      <c r="L397" s="14" t="s">
        <v>3448</v>
      </c>
      <c r="M397" s="14" t="s">
        <v>1017</v>
      </c>
      <c r="N397" s="14" t="s">
        <v>3449</v>
      </c>
    </row>
    <row r="398" spans="1:14" ht="29" x14ac:dyDescent="0.35">
      <c r="A398" s="14" t="s">
        <v>3442</v>
      </c>
      <c r="B398" s="14" t="s">
        <v>3483</v>
      </c>
      <c r="C398" s="14" t="s">
        <v>3444</v>
      </c>
      <c r="D398" s="14" t="s">
        <v>3484</v>
      </c>
      <c r="E398" s="14" t="s">
        <v>3236</v>
      </c>
      <c r="F398" s="14" t="s">
        <v>3447</v>
      </c>
      <c r="G398" s="14" t="s">
        <v>1014</v>
      </c>
      <c r="H398" s="14" t="s">
        <v>1015</v>
      </c>
      <c r="I398" s="14" t="s">
        <v>3456</v>
      </c>
      <c r="J398" s="14" t="s">
        <v>1016</v>
      </c>
      <c r="K398" s="14"/>
      <c r="L398" s="14" t="s">
        <v>3448</v>
      </c>
      <c r="M398" s="14" t="s">
        <v>1017</v>
      </c>
      <c r="N398" s="14" t="s">
        <v>3449</v>
      </c>
    </row>
    <row r="399" spans="1:14" ht="29" x14ac:dyDescent="0.35">
      <c r="A399" s="14" t="s">
        <v>3442</v>
      </c>
      <c r="B399" s="14" t="s">
        <v>3483</v>
      </c>
      <c r="C399" s="14" t="s">
        <v>3444</v>
      </c>
      <c r="D399" s="14" t="s">
        <v>3485</v>
      </c>
      <c r="E399" s="14" t="s">
        <v>3486</v>
      </c>
      <c r="F399" s="14" t="s">
        <v>3447</v>
      </c>
      <c r="G399" s="14" t="s">
        <v>1014</v>
      </c>
      <c r="H399" s="14" t="s">
        <v>1015</v>
      </c>
      <c r="I399" s="14"/>
      <c r="J399" s="14" t="s">
        <v>1016</v>
      </c>
      <c r="K399" s="14"/>
      <c r="L399" s="14" t="s">
        <v>3448</v>
      </c>
      <c r="M399" s="14" t="s">
        <v>1017</v>
      </c>
      <c r="N399" s="14" t="s">
        <v>3449</v>
      </c>
    </row>
    <row r="400" spans="1:14" ht="29" x14ac:dyDescent="0.35">
      <c r="A400" s="14" t="s">
        <v>3442</v>
      </c>
      <c r="B400" s="14" t="s">
        <v>3487</v>
      </c>
      <c r="C400" s="14" t="s">
        <v>3444</v>
      </c>
      <c r="D400" s="14" t="s">
        <v>3474</v>
      </c>
      <c r="E400" s="14" t="s">
        <v>3221</v>
      </c>
      <c r="F400" s="14" t="s">
        <v>3447</v>
      </c>
      <c r="G400" s="14" t="s">
        <v>1014</v>
      </c>
      <c r="H400" s="14" t="s">
        <v>1015</v>
      </c>
      <c r="I400" s="14"/>
      <c r="J400" s="14" t="s">
        <v>1016</v>
      </c>
      <c r="K400" s="14"/>
      <c r="L400" s="14" t="s">
        <v>3448</v>
      </c>
      <c r="M400" s="14" t="s">
        <v>1017</v>
      </c>
      <c r="N400" s="14" t="s">
        <v>3449</v>
      </c>
    </row>
    <row r="401" spans="1:14" ht="29" x14ac:dyDescent="0.35">
      <c r="A401" s="14" t="s">
        <v>3442</v>
      </c>
      <c r="B401" s="14" t="s">
        <v>3488</v>
      </c>
      <c r="C401" s="14" t="s">
        <v>3444</v>
      </c>
      <c r="D401" s="14" t="s">
        <v>3489</v>
      </c>
      <c r="E401" s="14" t="s">
        <v>3383</v>
      </c>
      <c r="F401" s="14" t="s">
        <v>3447</v>
      </c>
      <c r="G401" s="14" t="s">
        <v>1014</v>
      </c>
      <c r="H401" s="14" t="s">
        <v>1015</v>
      </c>
      <c r="I401" s="14"/>
      <c r="J401" s="14" t="s">
        <v>1016</v>
      </c>
      <c r="K401" s="14"/>
      <c r="L401" s="14" t="s">
        <v>3448</v>
      </c>
      <c r="M401" s="14" t="s">
        <v>1017</v>
      </c>
      <c r="N401" s="14" t="s">
        <v>3449</v>
      </c>
    </row>
    <row r="402" spans="1:14" ht="29" x14ac:dyDescent="0.35">
      <c r="A402" s="14" t="s">
        <v>3442</v>
      </c>
      <c r="B402" s="14" t="s">
        <v>3490</v>
      </c>
      <c r="C402" s="14" t="s">
        <v>3444</v>
      </c>
      <c r="D402" s="14" t="s">
        <v>3491</v>
      </c>
      <c r="E402" s="14" t="s">
        <v>3492</v>
      </c>
      <c r="F402" s="14" t="s">
        <v>3447</v>
      </c>
      <c r="G402" s="14" t="s">
        <v>1014</v>
      </c>
      <c r="H402" s="14" t="s">
        <v>1015</v>
      </c>
      <c r="I402" s="14"/>
      <c r="J402" s="14" t="s">
        <v>1016</v>
      </c>
      <c r="K402" s="14"/>
      <c r="L402" s="14" t="s">
        <v>3448</v>
      </c>
      <c r="M402" s="14" t="s">
        <v>1017</v>
      </c>
      <c r="N402" s="14" t="s">
        <v>3449</v>
      </c>
    </row>
    <row r="403" spans="1:14" ht="29" x14ac:dyDescent="0.35">
      <c r="A403" s="14" t="s">
        <v>3442</v>
      </c>
      <c r="B403" s="14" t="s">
        <v>3490</v>
      </c>
      <c r="C403" s="14" t="s">
        <v>3460</v>
      </c>
      <c r="D403" s="14" t="s">
        <v>3421</v>
      </c>
      <c r="E403" s="14" t="s">
        <v>3251</v>
      </c>
      <c r="F403" s="14" t="s">
        <v>3463</v>
      </c>
      <c r="G403" s="14" t="s">
        <v>1014</v>
      </c>
      <c r="H403" s="14" t="s">
        <v>1873</v>
      </c>
      <c r="I403" s="14" t="s">
        <v>3456</v>
      </c>
      <c r="J403" s="14" t="s">
        <v>1016</v>
      </c>
      <c r="K403" s="14"/>
      <c r="L403" s="14" t="s">
        <v>3464</v>
      </c>
      <c r="M403" s="14" t="s">
        <v>1017</v>
      </c>
      <c r="N403" s="14" t="s">
        <v>3465</v>
      </c>
    </row>
    <row r="404" spans="1:14" ht="29" x14ac:dyDescent="0.35">
      <c r="A404" s="14" t="s">
        <v>3442</v>
      </c>
      <c r="B404" s="14" t="s">
        <v>3493</v>
      </c>
      <c r="C404" s="14" t="s">
        <v>3444</v>
      </c>
      <c r="D404" s="14" t="s">
        <v>3068</v>
      </c>
      <c r="E404" s="14" t="s">
        <v>2772</v>
      </c>
      <c r="F404" s="14" t="s">
        <v>3447</v>
      </c>
      <c r="G404" s="14" t="s">
        <v>1014</v>
      </c>
      <c r="H404" s="14" t="s">
        <v>1015</v>
      </c>
      <c r="I404" s="14"/>
      <c r="J404" s="14" t="s">
        <v>1016</v>
      </c>
      <c r="K404" s="14"/>
      <c r="L404" s="14" t="s">
        <v>3448</v>
      </c>
      <c r="M404" s="14" t="s">
        <v>1017</v>
      </c>
      <c r="N404" s="14" t="s">
        <v>3449</v>
      </c>
    </row>
    <row r="405" spans="1:14" ht="29" x14ac:dyDescent="0.35">
      <c r="A405" s="14" t="s">
        <v>3442</v>
      </c>
      <c r="B405" s="14" t="s">
        <v>3493</v>
      </c>
      <c r="C405" s="14" t="s">
        <v>3444</v>
      </c>
      <c r="D405" s="14" t="s">
        <v>2888</v>
      </c>
      <c r="E405" s="14" t="s">
        <v>3494</v>
      </c>
      <c r="F405" s="14" t="s">
        <v>3447</v>
      </c>
      <c r="G405" s="14" t="s">
        <v>1014</v>
      </c>
      <c r="H405" s="14" t="s">
        <v>1015</v>
      </c>
      <c r="I405" s="14"/>
      <c r="J405" s="14" t="s">
        <v>1016</v>
      </c>
      <c r="K405" s="14"/>
      <c r="L405" s="14" t="s">
        <v>3448</v>
      </c>
      <c r="M405" s="14" t="s">
        <v>1017</v>
      </c>
      <c r="N405" s="14" t="s">
        <v>3449</v>
      </c>
    </row>
    <row r="406" spans="1:14" ht="29" x14ac:dyDescent="0.35">
      <c r="A406" s="14" t="s">
        <v>3442</v>
      </c>
      <c r="B406" s="14" t="s">
        <v>3493</v>
      </c>
      <c r="C406" s="14" t="s">
        <v>3444</v>
      </c>
      <c r="D406" s="14" t="s">
        <v>3495</v>
      </c>
      <c r="E406" s="14" t="s">
        <v>3496</v>
      </c>
      <c r="F406" s="14" t="s">
        <v>3447</v>
      </c>
      <c r="G406" s="14" t="s">
        <v>1014</v>
      </c>
      <c r="H406" s="14" t="s">
        <v>1015</v>
      </c>
      <c r="I406" s="14"/>
      <c r="J406" s="14" t="s">
        <v>1016</v>
      </c>
      <c r="K406" s="14"/>
      <c r="L406" s="14" t="s">
        <v>3448</v>
      </c>
      <c r="M406" s="14" t="s">
        <v>1017</v>
      </c>
      <c r="N406" s="14" t="s">
        <v>3449</v>
      </c>
    </row>
    <row r="407" spans="1:14" ht="29" x14ac:dyDescent="0.35">
      <c r="A407" s="14" t="s">
        <v>3442</v>
      </c>
      <c r="B407" s="14" t="s">
        <v>3497</v>
      </c>
      <c r="C407" s="14" t="s">
        <v>3444</v>
      </c>
      <c r="D407" s="14" t="s">
        <v>3193</v>
      </c>
      <c r="E407" s="14" t="s">
        <v>2981</v>
      </c>
      <c r="F407" s="14" t="s">
        <v>3447</v>
      </c>
      <c r="G407" s="14" t="s">
        <v>1014</v>
      </c>
      <c r="H407" s="14" t="s">
        <v>1015</v>
      </c>
      <c r="I407" s="14"/>
      <c r="J407" s="14" t="s">
        <v>1016</v>
      </c>
      <c r="K407" s="14"/>
      <c r="L407" s="14" t="s">
        <v>3448</v>
      </c>
      <c r="M407" s="14" t="s">
        <v>1017</v>
      </c>
      <c r="N407" s="14" t="s">
        <v>3449</v>
      </c>
    </row>
    <row r="408" spans="1:14" ht="29" x14ac:dyDescent="0.35">
      <c r="A408" s="14" t="s">
        <v>3442</v>
      </c>
      <c r="B408" s="14" t="s">
        <v>3497</v>
      </c>
      <c r="C408" s="14" t="s">
        <v>3444</v>
      </c>
      <c r="D408" s="14" t="s">
        <v>3498</v>
      </c>
      <c r="E408" s="14" t="s">
        <v>3499</v>
      </c>
      <c r="F408" s="14" t="s">
        <v>3447</v>
      </c>
      <c r="G408" s="14" t="s">
        <v>1014</v>
      </c>
      <c r="H408" s="14" t="s">
        <v>1015</v>
      </c>
      <c r="I408" s="14"/>
      <c r="J408" s="14" t="s">
        <v>1016</v>
      </c>
      <c r="K408" s="14"/>
      <c r="L408" s="14" t="s">
        <v>3448</v>
      </c>
      <c r="M408" s="14" t="s">
        <v>1017</v>
      </c>
      <c r="N408" s="14" t="s">
        <v>3449</v>
      </c>
    </row>
    <row r="409" spans="1:14" ht="29" x14ac:dyDescent="0.35">
      <c r="A409" s="14" t="s">
        <v>3442</v>
      </c>
      <c r="B409" s="14" t="s">
        <v>3500</v>
      </c>
      <c r="C409" s="14" t="s">
        <v>3444</v>
      </c>
      <c r="D409" s="14" t="s">
        <v>3446</v>
      </c>
      <c r="E409" s="14" t="s">
        <v>3501</v>
      </c>
      <c r="F409" s="14" t="s">
        <v>3447</v>
      </c>
      <c r="G409" s="14" t="s">
        <v>1014</v>
      </c>
      <c r="H409" s="14" t="s">
        <v>1015</v>
      </c>
      <c r="I409" s="14"/>
      <c r="J409" s="14" t="s">
        <v>1016</v>
      </c>
      <c r="K409" s="14"/>
      <c r="L409" s="14" t="s">
        <v>3448</v>
      </c>
      <c r="M409" s="14" t="s">
        <v>1017</v>
      </c>
      <c r="N409" s="14" t="s">
        <v>3449</v>
      </c>
    </row>
    <row r="410" spans="1:14" ht="29" x14ac:dyDescent="0.35">
      <c r="A410" s="14" t="s">
        <v>3442</v>
      </c>
      <c r="B410" s="14" t="s">
        <v>3502</v>
      </c>
      <c r="C410" s="14" t="s">
        <v>3444</v>
      </c>
      <c r="D410" s="14" t="s">
        <v>3503</v>
      </c>
      <c r="E410" s="14" t="s">
        <v>2977</v>
      </c>
      <c r="F410" s="14" t="s">
        <v>3447</v>
      </c>
      <c r="G410" s="14" t="s">
        <v>1014</v>
      </c>
      <c r="H410" s="14" t="s">
        <v>1015</v>
      </c>
      <c r="I410" s="14" t="s">
        <v>3456</v>
      </c>
      <c r="J410" s="14" t="s">
        <v>1016</v>
      </c>
      <c r="K410" s="14"/>
      <c r="L410" s="14" t="s">
        <v>3448</v>
      </c>
      <c r="M410" s="14" t="s">
        <v>1017</v>
      </c>
      <c r="N410" s="14" t="s">
        <v>3449</v>
      </c>
    </row>
    <row r="411" spans="1:14" ht="29" x14ac:dyDescent="0.35">
      <c r="A411" s="14" t="s">
        <v>3442</v>
      </c>
      <c r="B411" s="14" t="s">
        <v>3502</v>
      </c>
      <c r="C411" s="14" t="s">
        <v>3444</v>
      </c>
      <c r="D411" s="14" t="s">
        <v>3504</v>
      </c>
      <c r="E411" s="14" t="s">
        <v>3505</v>
      </c>
      <c r="F411" s="14" t="s">
        <v>3447</v>
      </c>
      <c r="G411" s="14" t="s">
        <v>1014</v>
      </c>
      <c r="H411" s="14" t="s">
        <v>1015</v>
      </c>
      <c r="I411" s="14"/>
      <c r="J411" s="14" t="s">
        <v>1016</v>
      </c>
      <c r="K411" s="14"/>
      <c r="L411" s="14" t="s">
        <v>3448</v>
      </c>
      <c r="M411" s="14" t="s">
        <v>1017</v>
      </c>
      <c r="N411" s="14" t="s">
        <v>3449</v>
      </c>
    </row>
    <row r="412" spans="1:14" ht="29" x14ac:dyDescent="0.35">
      <c r="A412" s="14" t="s">
        <v>3442</v>
      </c>
      <c r="B412" s="14" t="s">
        <v>3506</v>
      </c>
      <c r="C412" s="14" t="s">
        <v>3460</v>
      </c>
      <c r="D412" s="14" t="s">
        <v>3507</v>
      </c>
      <c r="E412" s="14" t="s">
        <v>3508</v>
      </c>
      <c r="F412" s="14" t="s">
        <v>3463</v>
      </c>
      <c r="G412" s="14" t="s">
        <v>1014</v>
      </c>
      <c r="H412" s="14" t="s">
        <v>1150</v>
      </c>
      <c r="I412" s="14"/>
      <c r="J412" s="14" t="s">
        <v>1016</v>
      </c>
      <c r="K412" s="14"/>
      <c r="L412" s="14" t="s">
        <v>3464</v>
      </c>
      <c r="M412" s="14" t="s">
        <v>1017</v>
      </c>
      <c r="N412" s="14" t="s">
        <v>3465</v>
      </c>
    </row>
    <row r="413" spans="1:14" ht="29" x14ac:dyDescent="0.35">
      <c r="A413" s="14" t="s">
        <v>3442</v>
      </c>
      <c r="B413" s="14" t="s">
        <v>3506</v>
      </c>
      <c r="C413" s="14" t="s">
        <v>3466</v>
      </c>
      <c r="D413" s="14" t="s">
        <v>3507</v>
      </c>
      <c r="E413" s="14" t="s">
        <v>3509</v>
      </c>
      <c r="F413" s="14" t="s">
        <v>3468</v>
      </c>
      <c r="G413" s="14" t="s">
        <v>1014</v>
      </c>
      <c r="H413" s="14" t="s">
        <v>1150</v>
      </c>
      <c r="I413" s="14"/>
      <c r="J413" s="14" t="s">
        <v>1016</v>
      </c>
      <c r="K413" s="14"/>
      <c r="L413" s="14" t="s">
        <v>3464</v>
      </c>
      <c r="M413" s="14" t="s">
        <v>1017</v>
      </c>
      <c r="N413" s="14" t="s">
        <v>3469</v>
      </c>
    </row>
    <row r="414" spans="1:14" ht="29" x14ac:dyDescent="0.35">
      <c r="A414" s="14" t="s">
        <v>3442</v>
      </c>
      <c r="B414" s="14" t="s">
        <v>3510</v>
      </c>
      <c r="C414" s="14" t="s">
        <v>3444</v>
      </c>
      <c r="D414" s="14" t="s">
        <v>3445</v>
      </c>
      <c r="E414" s="14" t="s">
        <v>3446</v>
      </c>
      <c r="F414" s="14" t="s">
        <v>3447</v>
      </c>
      <c r="G414" s="14" t="s">
        <v>1014</v>
      </c>
      <c r="H414" s="14" t="s">
        <v>1015</v>
      </c>
      <c r="I414" s="14"/>
      <c r="J414" s="14" t="s">
        <v>1016</v>
      </c>
      <c r="K414" s="14"/>
      <c r="L414" s="14" t="s">
        <v>3448</v>
      </c>
      <c r="M414" s="14" t="s">
        <v>1017</v>
      </c>
      <c r="N414" s="14" t="s">
        <v>3449</v>
      </c>
    </row>
    <row r="415" spans="1:14" ht="29" x14ac:dyDescent="0.35">
      <c r="A415" s="14" t="s">
        <v>3442</v>
      </c>
      <c r="B415" s="14" t="s">
        <v>3510</v>
      </c>
      <c r="C415" s="14" t="s">
        <v>3444</v>
      </c>
      <c r="D415" s="14" t="s">
        <v>3511</v>
      </c>
      <c r="E415" s="14" t="s">
        <v>3512</v>
      </c>
      <c r="F415" s="14" t="s">
        <v>3447</v>
      </c>
      <c r="G415" s="14" t="s">
        <v>1014</v>
      </c>
      <c r="H415" s="14" t="s">
        <v>1015</v>
      </c>
      <c r="I415" s="14"/>
      <c r="J415" s="14" t="s">
        <v>1016</v>
      </c>
      <c r="K415" s="14"/>
      <c r="L415" s="14" t="s">
        <v>3448</v>
      </c>
      <c r="M415" s="14" t="s">
        <v>1017</v>
      </c>
      <c r="N415" s="14" t="s">
        <v>3449</v>
      </c>
    </row>
    <row r="416" spans="1:14" ht="29" x14ac:dyDescent="0.35">
      <c r="A416" s="14" t="s">
        <v>3442</v>
      </c>
      <c r="B416" s="14" t="s">
        <v>3510</v>
      </c>
      <c r="C416" s="14" t="s">
        <v>3444</v>
      </c>
      <c r="D416" s="14" t="s">
        <v>3513</v>
      </c>
      <c r="E416" s="14" t="s">
        <v>2782</v>
      </c>
      <c r="F416" s="14" t="s">
        <v>3447</v>
      </c>
      <c r="G416" s="14" t="s">
        <v>1014</v>
      </c>
      <c r="H416" s="14" t="s">
        <v>1015</v>
      </c>
      <c r="I416" s="14"/>
      <c r="J416" s="14" t="s">
        <v>1016</v>
      </c>
      <c r="K416" s="14"/>
      <c r="L416" s="14" t="s">
        <v>3448</v>
      </c>
      <c r="M416" s="14" t="s">
        <v>1017</v>
      </c>
      <c r="N416" s="14" t="s">
        <v>3449</v>
      </c>
    </row>
    <row r="417" spans="1:14" ht="29" x14ac:dyDescent="0.35">
      <c r="A417" s="14" t="s">
        <v>3442</v>
      </c>
      <c r="B417" s="14" t="s">
        <v>3514</v>
      </c>
      <c r="C417" s="14" t="s">
        <v>3460</v>
      </c>
      <c r="D417" s="14" t="s">
        <v>3515</v>
      </c>
      <c r="E417" s="14" t="s">
        <v>3516</v>
      </c>
      <c r="F417" s="14" t="s">
        <v>3463</v>
      </c>
      <c r="G417" s="14" t="s">
        <v>1014</v>
      </c>
      <c r="H417" s="14" t="s">
        <v>1150</v>
      </c>
      <c r="I417" s="14"/>
      <c r="J417" s="14" t="s">
        <v>1016</v>
      </c>
      <c r="K417" s="14"/>
      <c r="L417" s="14" t="s">
        <v>3464</v>
      </c>
      <c r="M417" s="14" t="s">
        <v>1017</v>
      </c>
      <c r="N417" s="14" t="s">
        <v>3465</v>
      </c>
    </row>
    <row r="418" spans="1:14" ht="29" x14ac:dyDescent="0.35">
      <c r="A418" s="14" t="s">
        <v>3442</v>
      </c>
      <c r="B418" s="14" t="s">
        <v>3514</v>
      </c>
      <c r="C418" s="14" t="s">
        <v>3466</v>
      </c>
      <c r="D418" s="14" t="s">
        <v>3515</v>
      </c>
      <c r="E418" s="14" t="s">
        <v>3517</v>
      </c>
      <c r="F418" s="14" t="s">
        <v>3468</v>
      </c>
      <c r="G418" s="14" t="s">
        <v>1014</v>
      </c>
      <c r="H418" s="14" t="s">
        <v>1150</v>
      </c>
      <c r="I418" s="14"/>
      <c r="J418" s="14" t="s">
        <v>1016</v>
      </c>
      <c r="K418" s="14"/>
      <c r="L418" s="14" t="s">
        <v>3464</v>
      </c>
      <c r="M418" s="14" t="s">
        <v>1017</v>
      </c>
      <c r="N418" s="14" t="s">
        <v>3469</v>
      </c>
    </row>
    <row r="419" spans="1:14" ht="29" x14ac:dyDescent="0.35">
      <c r="A419" s="14" t="s">
        <v>3442</v>
      </c>
      <c r="B419" s="14" t="s">
        <v>3518</v>
      </c>
      <c r="C419" s="14" t="s">
        <v>3444</v>
      </c>
      <c r="D419" s="14" t="s">
        <v>3519</v>
      </c>
      <c r="E419" s="14" t="s">
        <v>3520</v>
      </c>
      <c r="F419" s="14" t="s">
        <v>3447</v>
      </c>
      <c r="G419" s="14" t="s">
        <v>1014</v>
      </c>
      <c r="H419" s="14" t="s">
        <v>1015</v>
      </c>
      <c r="I419" s="14"/>
      <c r="J419" s="14" t="s">
        <v>1016</v>
      </c>
      <c r="K419" s="14"/>
      <c r="L419" s="14" t="s">
        <v>3448</v>
      </c>
      <c r="M419" s="14" t="s">
        <v>1017</v>
      </c>
      <c r="N419" s="14" t="s">
        <v>3449</v>
      </c>
    </row>
    <row r="420" spans="1:14" ht="29" x14ac:dyDescent="0.35">
      <c r="A420" s="14" t="s">
        <v>3442</v>
      </c>
      <c r="B420" s="14" t="s">
        <v>3521</v>
      </c>
      <c r="C420" s="14" t="s">
        <v>3444</v>
      </c>
      <c r="D420" s="14" t="s">
        <v>3474</v>
      </c>
      <c r="E420" s="14" t="s">
        <v>3221</v>
      </c>
      <c r="F420" s="14" t="s">
        <v>3447</v>
      </c>
      <c r="G420" s="14" t="s">
        <v>1014</v>
      </c>
      <c r="H420" s="14" t="s">
        <v>1015</v>
      </c>
      <c r="I420" s="14"/>
      <c r="J420" s="14" t="s">
        <v>1016</v>
      </c>
      <c r="K420" s="14"/>
      <c r="L420" s="14" t="s">
        <v>3448</v>
      </c>
      <c r="M420" s="14" t="s">
        <v>1017</v>
      </c>
      <c r="N420" s="14" t="s">
        <v>3449</v>
      </c>
    </row>
    <row r="421" spans="1:14" ht="29" x14ac:dyDescent="0.35">
      <c r="A421" s="14" t="s">
        <v>3442</v>
      </c>
      <c r="B421" s="14" t="s">
        <v>3522</v>
      </c>
      <c r="C421" s="14" t="s">
        <v>3444</v>
      </c>
      <c r="D421" s="14" t="s">
        <v>3523</v>
      </c>
      <c r="E421" s="14" t="s">
        <v>3090</v>
      </c>
      <c r="F421" s="14" t="s">
        <v>3447</v>
      </c>
      <c r="G421" s="14" t="s">
        <v>1014</v>
      </c>
      <c r="H421" s="14" t="s">
        <v>1015</v>
      </c>
      <c r="I421" s="14"/>
      <c r="J421" s="14" t="s">
        <v>1016</v>
      </c>
      <c r="K421" s="14"/>
      <c r="L421" s="14" t="s">
        <v>3448</v>
      </c>
      <c r="M421" s="14" t="s">
        <v>1017</v>
      </c>
      <c r="N421" s="14" t="s">
        <v>3449</v>
      </c>
    </row>
    <row r="422" spans="1:14" ht="29" x14ac:dyDescent="0.35">
      <c r="A422" s="14" t="s">
        <v>3442</v>
      </c>
      <c r="B422" s="14" t="s">
        <v>3522</v>
      </c>
      <c r="C422" s="14" t="s">
        <v>3444</v>
      </c>
      <c r="D422" s="14" t="s">
        <v>3524</v>
      </c>
      <c r="E422" s="14" t="s">
        <v>3525</v>
      </c>
      <c r="F422" s="14" t="s">
        <v>3447</v>
      </c>
      <c r="G422" s="14" t="s">
        <v>1014</v>
      </c>
      <c r="H422" s="14" t="s">
        <v>1015</v>
      </c>
      <c r="I422" s="14" t="s">
        <v>3456</v>
      </c>
      <c r="J422" s="14" t="s">
        <v>1016</v>
      </c>
      <c r="K422" s="14"/>
      <c r="L422" s="14" t="s">
        <v>3448</v>
      </c>
      <c r="M422" s="14" t="s">
        <v>1017</v>
      </c>
      <c r="N422" s="14" t="s">
        <v>3449</v>
      </c>
    </row>
    <row r="423" spans="1:14" ht="29" x14ac:dyDescent="0.35">
      <c r="A423" s="14" t="s">
        <v>3442</v>
      </c>
      <c r="B423" s="14" t="s">
        <v>3522</v>
      </c>
      <c r="C423" s="14" t="s">
        <v>3444</v>
      </c>
      <c r="D423" s="14" t="s">
        <v>3526</v>
      </c>
      <c r="E423" s="14" t="s">
        <v>3527</v>
      </c>
      <c r="F423" s="14" t="s">
        <v>3447</v>
      </c>
      <c r="G423" s="14" t="s">
        <v>1014</v>
      </c>
      <c r="H423" s="14" t="s">
        <v>1015</v>
      </c>
      <c r="I423" s="14"/>
      <c r="J423" s="14" t="s">
        <v>1016</v>
      </c>
      <c r="K423" s="14"/>
      <c r="L423" s="14" t="s">
        <v>3448</v>
      </c>
      <c r="M423" s="14" t="s">
        <v>1017</v>
      </c>
      <c r="N423" s="14" t="s">
        <v>3449</v>
      </c>
    </row>
    <row r="424" spans="1:14" ht="29" x14ac:dyDescent="0.35">
      <c r="A424" s="14" t="s">
        <v>3442</v>
      </c>
      <c r="B424" s="14" t="s">
        <v>3522</v>
      </c>
      <c r="C424" s="14" t="s">
        <v>3460</v>
      </c>
      <c r="D424" s="14" t="s">
        <v>3231</v>
      </c>
      <c r="E424" s="14" t="s">
        <v>3528</v>
      </c>
      <c r="F424" s="14" t="s">
        <v>3463</v>
      </c>
      <c r="G424" s="14" t="s">
        <v>1014</v>
      </c>
      <c r="H424" s="14" t="s">
        <v>1873</v>
      </c>
      <c r="I424" s="14" t="s">
        <v>3456</v>
      </c>
      <c r="J424" s="14" t="s">
        <v>1016</v>
      </c>
      <c r="K424" s="14"/>
      <c r="L424" s="14" t="s">
        <v>3464</v>
      </c>
      <c r="M424" s="14" t="s">
        <v>1017</v>
      </c>
      <c r="N424" s="14" t="s">
        <v>3465</v>
      </c>
    </row>
    <row r="425" spans="1:14" ht="29" x14ac:dyDescent="0.35">
      <c r="A425" s="14" t="s">
        <v>3442</v>
      </c>
      <c r="B425" s="14" t="s">
        <v>3529</v>
      </c>
      <c r="C425" s="14" t="s">
        <v>3444</v>
      </c>
      <c r="D425" s="14" t="s">
        <v>3530</v>
      </c>
      <c r="E425" s="14" t="s">
        <v>3531</v>
      </c>
      <c r="F425" s="14" t="s">
        <v>3447</v>
      </c>
      <c r="G425" s="14" t="s">
        <v>1014</v>
      </c>
      <c r="H425" s="14" t="s">
        <v>1015</v>
      </c>
      <c r="I425" s="14"/>
      <c r="J425" s="14" t="s">
        <v>1016</v>
      </c>
      <c r="K425" s="14"/>
      <c r="L425" s="14" t="s">
        <v>3448</v>
      </c>
      <c r="M425" s="14" t="s">
        <v>1017</v>
      </c>
      <c r="N425" s="14" t="s">
        <v>3449</v>
      </c>
    </row>
    <row r="426" spans="1:14" ht="29" x14ac:dyDescent="0.35">
      <c r="A426" s="14" t="s">
        <v>3442</v>
      </c>
      <c r="B426" s="14" t="s">
        <v>3529</v>
      </c>
      <c r="C426" s="14" t="s">
        <v>3444</v>
      </c>
      <c r="D426" s="14" t="s">
        <v>3532</v>
      </c>
      <c r="E426" s="14" t="s">
        <v>3533</v>
      </c>
      <c r="F426" s="14" t="s">
        <v>3447</v>
      </c>
      <c r="G426" s="14" t="s">
        <v>1014</v>
      </c>
      <c r="H426" s="14" t="s">
        <v>1015</v>
      </c>
      <c r="I426" s="14"/>
      <c r="J426" s="14" t="s">
        <v>1016</v>
      </c>
      <c r="K426" s="14"/>
      <c r="L426" s="14" t="s">
        <v>3448</v>
      </c>
      <c r="M426" s="14" t="s">
        <v>1017</v>
      </c>
      <c r="N426" s="14" t="s">
        <v>3449</v>
      </c>
    </row>
    <row r="427" spans="1:14" ht="29" x14ac:dyDescent="0.35">
      <c r="A427" s="14" t="s">
        <v>3442</v>
      </c>
      <c r="B427" s="14" t="s">
        <v>3529</v>
      </c>
      <c r="C427" s="14" t="s">
        <v>3444</v>
      </c>
      <c r="D427" s="14" t="s">
        <v>3524</v>
      </c>
      <c r="E427" s="14" t="s">
        <v>3525</v>
      </c>
      <c r="F427" s="14" t="s">
        <v>3447</v>
      </c>
      <c r="G427" s="14" t="s">
        <v>1014</v>
      </c>
      <c r="H427" s="14" t="s">
        <v>1015</v>
      </c>
      <c r="I427" s="14"/>
      <c r="J427" s="14" t="s">
        <v>1016</v>
      </c>
      <c r="K427" s="14"/>
      <c r="L427" s="14" t="s">
        <v>3448</v>
      </c>
      <c r="M427" s="14" t="s">
        <v>1017</v>
      </c>
      <c r="N427" s="14" t="s">
        <v>3449</v>
      </c>
    </row>
    <row r="428" spans="1:14" ht="29" x14ac:dyDescent="0.35">
      <c r="A428" s="14" t="s">
        <v>3442</v>
      </c>
      <c r="B428" s="14" t="s">
        <v>3529</v>
      </c>
      <c r="C428" s="14" t="s">
        <v>3444</v>
      </c>
      <c r="D428" s="14" t="s">
        <v>3534</v>
      </c>
      <c r="E428" s="14" t="s">
        <v>3535</v>
      </c>
      <c r="F428" s="14" t="s">
        <v>3447</v>
      </c>
      <c r="G428" s="14" t="s">
        <v>1014</v>
      </c>
      <c r="H428" s="14" t="s">
        <v>1015</v>
      </c>
      <c r="I428" s="14"/>
      <c r="J428" s="14" t="s">
        <v>1016</v>
      </c>
      <c r="K428" s="14"/>
      <c r="L428" s="14" t="s">
        <v>3448</v>
      </c>
      <c r="M428" s="14" t="s">
        <v>1017</v>
      </c>
      <c r="N428" s="14" t="s">
        <v>3449</v>
      </c>
    </row>
    <row r="429" spans="1:14" ht="29" x14ac:dyDescent="0.35">
      <c r="A429" s="14" t="s">
        <v>3442</v>
      </c>
      <c r="B429" s="14" t="s">
        <v>3536</v>
      </c>
      <c r="C429" s="14" t="s">
        <v>3444</v>
      </c>
      <c r="D429" s="14" t="s">
        <v>3382</v>
      </c>
      <c r="E429" s="14" t="s">
        <v>3458</v>
      </c>
      <c r="F429" s="14" t="s">
        <v>3447</v>
      </c>
      <c r="G429" s="14" t="s">
        <v>1014</v>
      </c>
      <c r="H429" s="14" t="s">
        <v>1015</v>
      </c>
      <c r="I429" s="14"/>
      <c r="J429" s="14" t="s">
        <v>1016</v>
      </c>
      <c r="K429" s="14"/>
      <c r="L429" s="14" t="s">
        <v>3448</v>
      </c>
      <c r="M429" s="14" t="s">
        <v>1017</v>
      </c>
      <c r="N429" s="14" t="s">
        <v>3449</v>
      </c>
    </row>
    <row r="430" spans="1:14" ht="29" x14ac:dyDescent="0.35">
      <c r="A430" s="14" t="s">
        <v>3442</v>
      </c>
      <c r="B430" s="14" t="s">
        <v>3536</v>
      </c>
      <c r="C430" s="14" t="s">
        <v>3460</v>
      </c>
      <c r="D430" s="14" t="s">
        <v>3537</v>
      </c>
      <c r="E430" s="14" t="s">
        <v>2785</v>
      </c>
      <c r="F430" s="14" t="s">
        <v>3463</v>
      </c>
      <c r="G430" s="14" t="s">
        <v>1014</v>
      </c>
      <c r="H430" s="14" t="s">
        <v>1150</v>
      </c>
      <c r="I430" s="14"/>
      <c r="J430" s="14" t="s">
        <v>1016</v>
      </c>
      <c r="K430" s="14"/>
      <c r="L430" s="14" t="s">
        <v>3464</v>
      </c>
      <c r="M430" s="14" t="s">
        <v>1017</v>
      </c>
      <c r="N430" s="14" t="s">
        <v>3465</v>
      </c>
    </row>
    <row r="431" spans="1:14" ht="29" x14ac:dyDescent="0.35">
      <c r="A431" s="14" t="s">
        <v>3442</v>
      </c>
      <c r="B431" s="14" t="s">
        <v>3538</v>
      </c>
      <c r="C431" s="14" t="s">
        <v>3444</v>
      </c>
      <c r="D431" s="14" t="s">
        <v>3539</v>
      </c>
      <c r="E431" s="14" t="s">
        <v>3540</v>
      </c>
      <c r="F431" s="14" t="s">
        <v>3447</v>
      </c>
      <c r="G431" s="14" t="s">
        <v>1014</v>
      </c>
      <c r="H431" s="14" t="s">
        <v>1015</v>
      </c>
      <c r="I431" s="14"/>
      <c r="J431" s="14" t="s">
        <v>1016</v>
      </c>
      <c r="K431" s="14"/>
      <c r="L431" s="14" t="s">
        <v>3448</v>
      </c>
      <c r="M431" s="14" t="s">
        <v>1017</v>
      </c>
      <c r="N431" s="14" t="s">
        <v>3449</v>
      </c>
    </row>
    <row r="432" spans="1:14" ht="29" x14ac:dyDescent="0.35">
      <c r="A432" s="14" t="s">
        <v>3442</v>
      </c>
      <c r="B432" s="14" t="s">
        <v>3541</v>
      </c>
      <c r="C432" s="14" t="s">
        <v>3444</v>
      </c>
      <c r="D432" s="14" t="s">
        <v>3542</v>
      </c>
      <c r="E432" s="14" t="s">
        <v>3543</v>
      </c>
      <c r="F432" s="14" t="s">
        <v>3447</v>
      </c>
      <c r="G432" s="14" t="s">
        <v>1014</v>
      </c>
      <c r="H432" s="14" t="s">
        <v>1015</v>
      </c>
      <c r="I432" s="14"/>
      <c r="J432" s="14" t="s">
        <v>1016</v>
      </c>
      <c r="K432" s="14"/>
      <c r="L432" s="14" t="s">
        <v>3448</v>
      </c>
      <c r="M432" s="14" t="s">
        <v>1017</v>
      </c>
      <c r="N432" s="14" t="s">
        <v>3449</v>
      </c>
    </row>
    <row r="433" spans="1:14" ht="29" x14ac:dyDescent="0.35">
      <c r="A433" s="14" t="s">
        <v>3442</v>
      </c>
      <c r="B433" s="14" t="s">
        <v>3541</v>
      </c>
      <c r="C433" s="14" t="s">
        <v>3444</v>
      </c>
      <c r="D433" s="14" t="s">
        <v>3544</v>
      </c>
      <c r="E433" s="14" t="s">
        <v>3545</v>
      </c>
      <c r="F433" s="14" t="s">
        <v>3447</v>
      </c>
      <c r="G433" s="14" t="s">
        <v>1014</v>
      </c>
      <c r="H433" s="14" t="s">
        <v>1015</v>
      </c>
      <c r="I433" s="14"/>
      <c r="J433" s="14" t="s">
        <v>1016</v>
      </c>
      <c r="K433" s="14"/>
      <c r="L433" s="14" t="s">
        <v>3448</v>
      </c>
      <c r="M433" s="14" t="s">
        <v>1017</v>
      </c>
      <c r="N433" s="14" t="s">
        <v>3449</v>
      </c>
    </row>
    <row r="434" spans="1:14" ht="29" x14ac:dyDescent="0.35">
      <c r="A434" s="14" t="s">
        <v>3442</v>
      </c>
      <c r="B434" s="14" t="s">
        <v>3546</v>
      </c>
      <c r="C434" s="14" t="s">
        <v>3444</v>
      </c>
      <c r="D434" s="14" t="s">
        <v>2899</v>
      </c>
      <c r="E434" s="14" t="s">
        <v>2771</v>
      </c>
      <c r="F434" s="14" t="s">
        <v>3447</v>
      </c>
      <c r="G434" s="14" t="s">
        <v>1014</v>
      </c>
      <c r="H434" s="14" t="s">
        <v>1015</v>
      </c>
      <c r="I434" s="14"/>
      <c r="J434" s="14" t="s">
        <v>1016</v>
      </c>
      <c r="K434" s="14"/>
      <c r="L434" s="14" t="s">
        <v>3448</v>
      </c>
      <c r="M434" s="14" t="s">
        <v>1017</v>
      </c>
      <c r="N434" s="14" t="s">
        <v>3449</v>
      </c>
    </row>
    <row r="435" spans="1:14" ht="29" x14ac:dyDescent="0.35">
      <c r="A435" s="14" t="s">
        <v>3442</v>
      </c>
      <c r="B435" s="14" t="s">
        <v>3547</v>
      </c>
      <c r="C435" s="14" t="s">
        <v>3444</v>
      </c>
      <c r="D435" s="14" t="s">
        <v>3156</v>
      </c>
      <c r="E435" s="14" t="s">
        <v>2925</v>
      </c>
      <c r="F435" s="14" t="s">
        <v>3447</v>
      </c>
      <c r="G435" s="14" t="s">
        <v>1014</v>
      </c>
      <c r="H435" s="14" t="s">
        <v>1015</v>
      </c>
      <c r="I435" s="14" t="s">
        <v>3456</v>
      </c>
      <c r="J435" s="14" t="s">
        <v>1016</v>
      </c>
      <c r="K435" s="14"/>
      <c r="L435" s="14" t="s">
        <v>3448</v>
      </c>
      <c r="M435" s="14" t="s">
        <v>1017</v>
      </c>
      <c r="N435" s="14" t="s">
        <v>3449</v>
      </c>
    </row>
    <row r="436" spans="1:14" ht="29" x14ac:dyDescent="0.35">
      <c r="A436" s="14" t="s">
        <v>3442</v>
      </c>
      <c r="B436" s="14" t="s">
        <v>3548</v>
      </c>
      <c r="C436" s="14" t="s">
        <v>3444</v>
      </c>
      <c r="D436" s="14" t="s">
        <v>3549</v>
      </c>
      <c r="E436" s="14" t="s">
        <v>3115</v>
      </c>
      <c r="F436" s="14" t="s">
        <v>3447</v>
      </c>
      <c r="G436" s="14" t="s">
        <v>1014</v>
      </c>
      <c r="H436" s="14" t="s">
        <v>1015</v>
      </c>
      <c r="I436" s="14" t="s">
        <v>3456</v>
      </c>
      <c r="J436" s="14" t="s">
        <v>1016</v>
      </c>
      <c r="K436" s="14"/>
      <c r="L436" s="14" t="s">
        <v>3448</v>
      </c>
      <c r="M436" s="14" t="s">
        <v>1017</v>
      </c>
      <c r="N436" s="14" t="s">
        <v>3449</v>
      </c>
    </row>
    <row r="437" spans="1:14" ht="29" x14ac:dyDescent="0.35">
      <c r="A437" s="14" t="s">
        <v>3442</v>
      </c>
      <c r="B437" s="14" t="s">
        <v>3548</v>
      </c>
      <c r="C437" s="14" t="s">
        <v>3444</v>
      </c>
      <c r="D437" s="14" t="s">
        <v>3550</v>
      </c>
      <c r="E437" s="14" t="s">
        <v>3551</v>
      </c>
      <c r="F437" s="14" t="s">
        <v>3447</v>
      </c>
      <c r="G437" s="14" t="s">
        <v>1014</v>
      </c>
      <c r="H437" s="14" t="s">
        <v>1015</v>
      </c>
      <c r="I437" s="14"/>
      <c r="J437" s="14" t="s">
        <v>1016</v>
      </c>
      <c r="K437" s="14"/>
      <c r="L437" s="14" t="s">
        <v>3448</v>
      </c>
      <c r="M437" s="14" t="s">
        <v>1017</v>
      </c>
      <c r="N437" s="14" t="s">
        <v>3449</v>
      </c>
    </row>
    <row r="438" spans="1:14" ht="29" x14ac:dyDescent="0.35">
      <c r="A438" s="14" t="s">
        <v>3442</v>
      </c>
      <c r="B438" s="14" t="s">
        <v>3548</v>
      </c>
      <c r="C438" s="14" t="s">
        <v>3444</v>
      </c>
      <c r="D438" s="14" t="s">
        <v>3552</v>
      </c>
      <c r="E438" s="14" t="s">
        <v>3553</v>
      </c>
      <c r="F438" s="14" t="s">
        <v>3447</v>
      </c>
      <c r="G438" s="14" t="s">
        <v>1014</v>
      </c>
      <c r="H438" s="14" t="s">
        <v>1015</v>
      </c>
      <c r="I438" s="14"/>
      <c r="J438" s="14" t="s">
        <v>1016</v>
      </c>
      <c r="K438" s="14"/>
      <c r="L438" s="14" t="s">
        <v>3448</v>
      </c>
      <c r="M438" s="14" t="s">
        <v>1017</v>
      </c>
      <c r="N438" s="14" t="s">
        <v>3449</v>
      </c>
    </row>
    <row r="439" spans="1:14" ht="29" x14ac:dyDescent="0.35">
      <c r="A439" s="14" t="s">
        <v>3442</v>
      </c>
      <c r="B439" s="14" t="s">
        <v>3548</v>
      </c>
      <c r="C439" s="14" t="s">
        <v>3460</v>
      </c>
      <c r="D439" s="14" t="s">
        <v>3554</v>
      </c>
      <c r="E439" s="14" t="s">
        <v>3555</v>
      </c>
      <c r="F439" s="14" t="s">
        <v>3463</v>
      </c>
      <c r="G439" s="14" t="s">
        <v>1014</v>
      </c>
      <c r="H439" s="14" t="s">
        <v>1150</v>
      </c>
      <c r="I439" s="14"/>
      <c r="J439" s="14" t="s">
        <v>1016</v>
      </c>
      <c r="K439" s="14"/>
      <c r="L439" s="14" t="s">
        <v>3464</v>
      </c>
      <c r="M439" s="14" t="s">
        <v>1017</v>
      </c>
      <c r="N439" s="14" t="s">
        <v>3465</v>
      </c>
    </row>
    <row r="440" spans="1:14" ht="43.5" x14ac:dyDescent="0.35">
      <c r="A440" s="14" t="s">
        <v>368</v>
      </c>
      <c r="B440" s="14" t="s">
        <v>1843</v>
      </c>
      <c r="C440" s="14" t="s">
        <v>3556</v>
      </c>
      <c r="D440" s="14" t="s">
        <v>2768</v>
      </c>
      <c r="E440" s="14" t="s">
        <v>3557</v>
      </c>
      <c r="F440" s="14" t="s">
        <v>3558</v>
      </c>
      <c r="G440" s="14" t="s">
        <v>1014</v>
      </c>
      <c r="H440" s="14" t="s">
        <v>3559</v>
      </c>
      <c r="I440" s="14"/>
      <c r="J440" s="14" t="s">
        <v>1016</v>
      </c>
      <c r="K440" s="14"/>
      <c r="L440" s="14" t="s">
        <v>3560</v>
      </c>
      <c r="M440" s="14" t="s">
        <v>1017</v>
      </c>
      <c r="N440" s="14" t="s">
        <v>3561</v>
      </c>
    </row>
    <row r="441" spans="1:14" ht="43.5" x14ac:dyDescent="0.35">
      <c r="A441" s="14" t="s">
        <v>368</v>
      </c>
      <c r="B441" s="14" t="s">
        <v>1843</v>
      </c>
      <c r="C441" s="14" t="s">
        <v>3556</v>
      </c>
      <c r="D441" s="14" t="s">
        <v>3562</v>
      </c>
      <c r="E441" s="14" t="s">
        <v>3563</v>
      </c>
      <c r="F441" s="14" t="s">
        <v>3564</v>
      </c>
      <c r="G441" s="14" t="s">
        <v>1014</v>
      </c>
      <c r="H441" s="14" t="s">
        <v>3559</v>
      </c>
      <c r="I441" s="14"/>
      <c r="J441" s="14" t="s">
        <v>1016</v>
      </c>
      <c r="K441" s="14"/>
      <c r="L441" s="14" t="s">
        <v>3560</v>
      </c>
      <c r="M441" s="14" t="s">
        <v>1017</v>
      </c>
      <c r="N441" s="14" t="s">
        <v>3561</v>
      </c>
    </row>
    <row r="442" spans="1:14" ht="43.5" x14ac:dyDescent="0.35">
      <c r="A442" s="14" t="s">
        <v>368</v>
      </c>
      <c r="B442" s="14" t="s">
        <v>1843</v>
      </c>
      <c r="C442" s="14" t="s">
        <v>3556</v>
      </c>
      <c r="D442" s="14" t="s">
        <v>2822</v>
      </c>
      <c r="E442" s="14" t="s">
        <v>3565</v>
      </c>
      <c r="F442" s="14" t="s">
        <v>3566</v>
      </c>
      <c r="G442" s="14" t="s">
        <v>1014</v>
      </c>
      <c r="H442" s="14" t="s">
        <v>1203</v>
      </c>
      <c r="I442" s="14" t="s">
        <v>1848</v>
      </c>
      <c r="J442" s="14" t="s">
        <v>1016</v>
      </c>
      <c r="K442" s="14"/>
      <c r="L442" s="14" t="s">
        <v>3560</v>
      </c>
      <c r="M442" s="14" t="s">
        <v>1017</v>
      </c>
      <c r="N442" s="14" t="s">
        <v>3561</v>
      </c>
    </row>
    <row r="443" spans="1:14" ht="43.5" x14ac:dyDescent="0.35">
      <c r="A443" s="14" t="s">
        <v>368</v>
      </c>
      <c r="B443" s="14" t="s">
        <v>1843</v>
      </c>
      <c r="C443" s="14" t="s">
        <v>3556</v>
      </c>
      <c r="D443" s="14" t="s">
        <v>3567</v>
      </c>
      <c r="E443" s="14" t="s">
        <v>3568</v>
      </c>
      <c r="F443" s="14" t="s">
        <v>3569</v>
      </c>
      <c r="G443" s="14" t="s">
        <v>1014</v>
      </c>
      <c r="H443" s="14" t="s">
        <v>1203</v>
      </c>
      <c r="I443" s="14" t="s">
        <v>1848</v>
      </c>
      <c r="J443" s="14" t="s">
        <v>1016</v>
      </c>
      <c r="K443" s="14"/>
      <c r="L443" s="14" t="s">
        <v>3560</v>
      </c>
      <c r="M443" s="14" t="s">
        <v>1017</v>
      </c>
      <c r="N443" s="14" t="s">
        <v>3561</v>
      </c>
    </row>
    <row r="444" spans="1:14" ht="29" x14ac:dyDescent="0.35">
      <c r="A444" s="14" t="s">
        <v>368</v>
      </c>
      <c r="B444" s="14" t="s">
        <v>1843</v>
      </c>
      <c r="C444" s="14" t="s">
        <v>3570</v>
      </c>
      <c r="D444" s="14" t="s">
        <v>3562</v>
      </c>
      <c r="E444" s="14" t="s">
        <v>3571</v>
      </c>
      <c r="F444" s="14" t="s">
        <v>3572</v>
      </c>
      <c r="G444" s="14" t="s">
        <v>1014</v>
      </c>
      <c r="H444" s="14" t="s">
        <v>3559</v>
      </c>
      <c r="I444" s="14"/>
      <c r="J444" s="14" t="s">
        <v>1016</v>
      </c>
      <c r="K444" s="14"/>
      <c r="L444" s="14" t="s">
        <v>3573</v>
      </c>
      <c r="M444" s="14" t="s">
        <v>1017</v>
      </c>
      <c r="N444" s="14" t="s">
        <v>3574</v>
      </c>
    </row>
    <row r="445" spans="1:14" ht="43.5" x14ac:dyDescent="0.35">
      <c r="A445" s="14" t="s">
        <v>368</v>
      </c>
      <c r="B445" s="14" t="s">
        <v>2015</v>
      </c>
      <c r="C445" s="14" t="s">
        <v>3556</v>
      </c>
      <c r="D445" s="14" t="s">
        <v>3237</v>
      </c>
      <c r="E445" s="14" t="s">
        <v>2836</v>
      </c>
      <c r="F445" s="14" t="s">
        <v>3575</v>
      </c>
      <c r="G445" s="14" t="s">
        <v>1014</v>
      </c>
      <c r="H445" s="14" t="s">
        <v>3559</v>
      </c>
      <c r="I445" s="14"/>
      <c r="J445" s="14" t="s">
        <v>1016</v>
      </c>
      <c r="K445" s="14"/>
      <c r="L445" s="14" t="s">
        <v>3560</v>
      </c>
      <c r="M445" s="14" t="s">
        <v>1017</v>
      </c>
      <c r="N445" s="14" t="s">
        <v>3561</v>
      </c>
    </row>
    <row r="446" spans="1:14" ht="43.5" x14ac:dyDescent="0.35">
      <c r="A446" s="14" t="s">
        <v>368</v>
      </c>
      <c r="B446" s="14" t="s">
        <v>2015</v>
      </c>
      <c r="C446" s="14" t="s">
        <v>3556</v>
      </c>
      <c r="D446" s="14" t="s">
        <v>3576</v>
      </c>
      <c r="E446" s="14" t="s">
        <v>3577</v>
      </c>
      <c r="F446" s="14" t="s">
        <v>3564</v>
      </c>
      <c r="G446" s="14" t="s">
        <v>1014</v>
      </c>
      <c r="H446" s="14" t="s">
        <v>3559</v>
      </c>
      <c r="I446" s="14"/>
      <c r="J446" s="14" t="s">
        <v>1016</v>
      </c>
      <c r="K446" s="14"/>
      <c r="L446" s="14" t="s">
        <v>3560</v>
      </c>
      <c r="M446" s="14" t="s">
        <v>1017</v>
      </c>
      <c r="N446" s="14" t="s">
        <v>3561</v>
      </c>
    </row>
    <row r="447" spans="1:14" ht="43.5" x14ac:dyDescent="0.35">
      <c r="A447" s="14" t="s">
        <v>368</v>
      </c>
      <c r="B447" s="14" t="s">
        <v>2015</v>
      </c>
      <c r="C447" s="14" t="s">
        <v>3556</v>
      </c>
      <c r="D447" s="14" t="s">
        <v>3197</v>
      </c>
      <c r="E447" s="14" t="s">
        <v>3132</v>
      </c>
      <c r="F447" s="14" t="s">
        <v>3578</v>
      </c>
      <c r="G447" s="14" t="s">
        <v>1014</v>
      </c>
      <c r="H447" s="14" t="s">
        <v>3559</v>
      </c>
      <c r="I447" s="14"/>
      <c r="J447" s="14" t="s">
        <v>1016</v>
      </c>
      <c r="K447" s="14"/>
      <c r="L447" s="14" t="s">
        <v>3560</v>
      </c>
      <c r="M447" s="14" t="s">
        <v>1017</v>
      </c>
      <c r="N447" s="14" t="s">
        <v>3561</v>
      </c>
    </row>
    <row r="448" spans="1:14" ht="43.5" x14ac:dyDescent="0.35">
      <c r="A448" s="14" t="s">
        <v>368</v>
      </c>
      <c r="B448" s="14" t="s">
        <v>2015</v>
      </c>
      <c r="C448" s="14" t="s">
        <v>3556</v>
      </c>
      <c r="D448" s="14" t="s">
        <v>3579</v>
      </c>
      <c r="E448" s="14" t="s">
        <v>3580</v>
      </c>
      <c r="F448" s="14" t="s">
        <v>3566</v>
      </c>
      <c r="G448" s="14" t="s">
        <v>1014</v>
      </c>
      <c r="H448" s="14" t="s">
        <v>1203</v>
      </c>
      <c r="I448" s="14" t="s">
        <v>1848</v>
      </c>
      <c r="J448" s="14" t="s">
        <v>1016</v>
      </c>
      <c r="K448" s="14"/>
      <c r="L448" s="14" t="s">
        <v>3560</v>
      </c>
      <c r="M448" s="14" t="s">
        <v>1017</v>
      </c>
      <c r="N448" s="14" t="s">
        <v>3561</v>
      </c>
    </row>
    <row r="449" spans="1:14" ht="43.5" x14ac:dyDescent="0.35">
      <c r="A449" s="14" t="s">
        <v>368</v>
      </c>
      <c r="B449" s="14" t="s">
        <v>2015</v>
      </c>
      <c r="C449" s="14" t="s">
        <v>3556</v>
      </c>
      <c r="D449" s="14" t="s">
        <v>3581</v>
      </c>
      <c r="E449" s="14" t="s">
        <v>3582</v>
      </c>
      <c r="F449" s="14" t="s">
        <v>3569</v>
      </c>
      <c r="G449" s="14" t="s">
        <v>1014</v>
      </c>
      <c r="H449" s="14" t="s">
        <v>1203</v>
      </c>
      <c r="I449" s="14" t="s">
        <v>1848</v>
      </c>
      <c r="J449" s="14" t="s">
        <v>1016</v>
      </c>
      <c r="K449" s="14"/>
      <c r="L449" s="14" t="s">
        <v>3560</v>
      </c>
      <c r="M449" s="14" t="s">
        <v>1017</v>
      </c>
      <c r="N449" s="14" t="s">
        <v>3561</v>
      </c>
    </row>
    <row r="450" spans="1:14" ht="29" x14ac:dyDescent="0.35">
      <c r="A450" s="14" t="s">
        <v>368</v>
      </c>
      <c r="B450" s="14" t="s">
        <v>2015</v>
      </c>
      <c r="C450" s="14" t="s">
        <v>3570</v>
      </c>
      <c r="D450" s="14" t="s">
        <v>3576</v>
      </c>
      <c r="E450" s="14" t="s">
        <v>3583</v>
      </c>
      <c r="F450" s="14" t="s">
        <v>3572</v>
      </c>
      <c r="G450" s="14" t="s">
        <v>1014</v>
      </c>
      <c r="H450" s="14" t="s">
        <v>3559</v>
      </c>
      <c r="I450" s="14"/>
      <c r="J450" s="14" t="s">
        <v>1016</v>
      </c>
      <c r="K450" s="14"/>
      <c r="L450" s="14" t="s">
        <v>3573</v>
      </c>
      <c r="M450" s="14" t="s">
        <v>1017</v>
      </c>
      <c r="N450" s="14" t="s">
        <v>3574</v>
      </c>
    </row>
    <row r="451" spans="1:14" ht="29" x14ac:dyDescent="0.35">
      <c r="A451" s="14" t="s">
        <v>368</v>
      </c>
      <c r="B451" s="14" t="s">
        <v>2015</v>
      </c>
      <c r="C451" s="14" t="s">
        <v>3570</v>
      </c>
      <c r="D451" s="14" t="s">
        <v>3197</v>
      </c>
      <c r="E451" s="14" t="s">
        <v>3198</v>
      </c>
      <c r="F451" s="14" t="s">
        <v>3584</v>
      </c>
      <c r="G451" s="14" t="s">
        <v>1014</v>
      </c>
      <c r="H451" s="14" t="s">
        <v>3559</v>
      </c>
      <c r="I451" s="14"/>
      <c r="J451" s="14" t="s">
        <v>1016</v>
      </c>
      <c r="K451" s="14"/>
      <c r="L451" s="14" t="s">
        <v>3573</v>
      </c>
      <c r="M451" s="14" t="s">
        <v>1017</v>
      </c>
      <c r="N451" s="14" t="s">
        <v>3574</v>
      </c>
    </row>
    <row r="452" spans="1:14" ht="43.5" x14ac:dyDescent="0.35">
      <c r="A452" s="14" t="s">
        <v>368</v>
      </c>
      <c r="B452" s="14" t="s">
        <v>2461</v>
      </c>
      <c r="C452" s="14" t="s">
        <v>3556</v>
      </c>
      <c r="D452" s="14" t="s">
        <v>3064</v>
      </c>
      <c r="E452" s="14" t="s">
        <v>3413</v>
      </c>
      <c r="F452" s="14" t="s">
        <v>3558</v>
      </c>
      <c r="G452" s="14" t="s">
        <v>1014</v>
      </c>
      <c r="H452" s="14" t="s">
        <v>3559</v>
      </c>
      <c r="I452" s="14"/>
      <c r="J452" s="14" t="s">
        <v>1016</v>
      </c>
      <c r="K452" s="14"/>
      <c r="L452" s="14" t="s">
        <v>3560</v>
      </c>
      <c r="M452" s="14" t="s">
        <v>1017</v>
      </c>
      <c r="N452" s="14" t="s">
        <v>3561</v>
      </c>
    </row>
    <row r="453" spans="1:14" ht="43.5" x14ac:dyDescent="0.35">
      <c r="A453" s="14" t="s">
        <v>368</v>
      </c>
      <c r="B453" s="14" t="s">
        <v>2461</v>
      </c>
      <c r="C453" s="14" t="s">
        <v>3556</v>
      </c>
      <c r="D453" s="14" t="s">
        <v>2853</v>
      </c>
      <c r="E453" s="14" t="s">
        <v>3585</v>
      </c>
      <c r="F453" s="14" t="s">
        <v>3564</v>
      </c>
      <c r="G453" s="14" t="s">
        <v>1014</v>
      </c>
      <c r="H453" s="14" t="s">
        <v>3559</v>
      </c>
      <c r="I453" s="14"/>
      <c r="J453" s="14" t="s">
        <v>1016</v>
      </c>
      <c r="K453" s="14"/>
      <c r="L453" s="14" t="s">
        <v>3560</v>
      </c>
      <c r="M453" s="14" t="s">
        <v>1017</v>
      </c>
      <c r="N453" s="14" t="s">
        <v>3561</v>
      </c>
    </row>
    <row r="454" spans="1:14" ht="43.5" x14ac:dyDescent="0.35">
      <c r="A454" s="14" t="s">
        <v>368</v>
      </c>
      <c r="B454" s="14" t="s">
        <v>2461</v>
      </c>
      <c r="C454" s="14" t="s">
        <v>3556</v>
      </c>
      <c r="D454" s="14" t="s">
        <v>3279</v>
      </c>
      <c r="E454" s="14" t="s">
        <v>2820</v>
      </c>
      <c r="F454" s="14" t="s">
        <v>3566</v>
      </c>
      <c r="G454" s="14" t="s">
        <v>1014</v>
      </c>
      <c r="H454" s="14" t="s">
        <v>1203</v>
      </c>
      <c r="I454" s="14" t="s">
        <v>1848</v>
      </c>
      <c r="J454" s="14" t="s">
        <v>1016</v>
      </c>
      <c r="K454" s="14"/>
      <c r="L454" s="14" t="s">
        <v>3560</v>
      </c>
      <c r="M454" s="14" t="s">
        <v>1017</v>
      </c>
      <c r="N454" s="14" t="s">
        <v>3561</v>
      </c>
    </row>
    <row r="455" spans="1:14" ht="43.5" x14ac:dyDescent="0.35">
      <c r="A455" s="14" t="s">
        <v>368</v>
      </c>
      <c r="B455" s="14" t="s">
        <v>2461</v>
      </c>
      <c r="C455" s="14" t="s">
        <v>3556</v>
      </c>
      <c r="D455" s="14" t="s">
        <v>3586</v>
      </c>
      <c r="E455" s="14" t="s">
        <v>3587</v>
      </c>
      <c r="F455" s="14" t="s">
        <v>3569</v>
      </c>
      <c r="G455" s="14" t="s">
        <v>1014</v>
      </c>
      <c r="H455" s="14" t="s">
        <v>1203</v>
      </c>
      <c r="I455" s="14" t="s">
        <v>1848</v>
      </c>
      <c r="J455" s="14" t="s">
        <v>1016</v>
      </c>
      <c r="K455" s="14"/>
      <c r="L455" s="14" t="s">
        <v>3560</v>
      </c>
      <c r="M455" s="14" t="s">
        <v>1017</v>
      </c>
      <c r="N455" s="14" t="s">
        <v>3561</v>
      </c>
    </row>
    <row r="456" spans="1:14" ht="29" x14ac:dyDescent="0.35">
      <c r="A456" s="14" t="s">
        <v>368</v>
      </c>
      <c r="B456" s="14" t="s">
        <v>2461</v>
      </c>
      <c r="C456" s="14" t="s">
        <v>3570</v>
      </c>
      <c r="D456" s="14" t="s">
        <v>2853</v>
      </c>
      <c r="E456" s="14" t="s">
        <v>3588</v>
      </c>
      <c r="F456" s="14" t="s">
        <v>3572</v>
      </c>
      <c r="G456" s="14" t="s">
        <v>1014</v>
      </c>
      <c r="H456" s="14" t="s">
        <v>3559</v>
      </c>
      <c r="I456" s="14"/>
      <c r="J456" s="14" t="s">
        <v>1016</v>
      </c>
      <c r="K456" s="14"/>
      <c r="L456" s="14" t="s">
        <v>3573</v>
      </c>
      <c r="M456" s="14" t="s">
        <v>1017</v>
      </c>
      <c r="N456" s="14" t="s">
        <v>3574</v>
      </c>
    </row>
    <row r="457" spans="1:14" ht="43.5" x14ac:dyDescent="0.35">
      <c r="A457" s="14" t="s">
        <v>45</v>
      </c>
      <c r="B457" s="14" t="s">
        <v>1063</v>
      </c>
      <c r="C457" s="14" t="s">
        <v>1066</v>
      </c>
      <c r="D457" s="14" t="s">
        <v>3589</v>
      </c>
      <c r="E457" s="14" t="s">
        <v>2833</v>
      </c>
      <c r="F457" s="14" t="s">
        <v>3590</v>
      </c>
      <c r="G457" s="14" t="s">
        <v>1014</v>
      </c>
      <c r="H457" s="14" t="s">
        <v>1015</v>
      </c>
      <c r="I457" s="14"/>
      <c r="J457" s="14" t="s">
        <v>1016</v>
      </c>
      <c r="K457" s="14"/>
      <c r="L457" s="14" t="s">
        <v>1068</v>
      </c>
      <c r="M457" s="14" t="s">
        <v>1017</v>
      </c>
      <c r="N457" s="14" t="s">
        <v>1069</v>
      </c>
    </row>
    <row r="458" spans="1:14" ht="43.5" x14ac:dyDescent="0.35">
      <c r="A458" s="14" t="s">
        <v>45</v>
      </c>
      <c r="B458" s="14" t="s">
        <v>1063</v>
      </c>
      <c r="C458" s="14" t="s">
        <v>1066</v>
      </c>
      <c r="D458" s="14" t="s">
        <v>3591</v>
      </c>
      <c r="E458" s="14" t="s">
        <v>3067</v>
      </c>
      <c r="F458" s="14" t="s">
        <v>3592</v>
      </c>
      <c r="G458" s="14" t="s">
        <v>1014</v>
      </c>
      <c r="H458" s="14" t="s">
        <v>1015</v>
      </c>
      <c r="I458" s="14"/>
      <c r="J458" s="14" t="s">
        <v>1016</v>
      </c>
      <c r="K458" s="14"/>
      <c r="L458" s="14" t="s">
        <v>1068</v>
      </c>
      <c r="M458" s="14" t="s">
        <v>1017</v>
      </c>
      <c r="N458" s="14" t="s">
        <v>1069</v>
      </c>
    </row>
    <row r="459" spans="1:14" ht="43.5" x14ac:dyDescent="0.35">
      <c r="A459" s="14" t="s">
        <v>45</v>
      </c>
      <c r="B459" s="14" t="s">
        <v>2055</v>
      </c>
      <c r="C459" s="14" t="s">
        <v>1066</v>
      </c>
      <c r="D459" s="14" t="s">
        <v>3445</v>
      </c>
      <c r="E459" s="14" t="s">
        <v>2969</v>
      </c>
      <c r="F459" s="14" t="s">
        <v>3593</v>
      </c>
      <c r="G459" s="14" t="s">
        <v>1014</v>
      </c>
      <c r="H459" s="14" t="s">
        <v>1015</v>
      </c>
      <c r="I459" s="14"/>
      <c r="J459" s="14" t="s">
        <v>1016</v>
      </c>
      <c r="K459" s="14"/>
      <c r="L459" s="14" t="s">
        <v>1068</v>
      </c>
      <c r="M459" s="14" t="s">
        <v>1017</v>
      </c>
      <c r="N459" s="14" t="s">
        <v>1069</v>
      </c>
    </row>
    <row r="460" spans="1:14" ht="43.5" x14ac:dyDescent="0.35">
      <c r="A460" s="14" t="s">
        <v>45</v>
      </c>
      <c r="B460" s="14" t="s">
        <v>2690</v>
      </c>
      <c r="C460" s="14" t="s">
        <v>1066</v>
      </c>
      <c r="D460" s="14" t="s">
        <v>3589</v>
      </c>
      <c r="E460" s="14" t="s">
        <v>2833</v>
      </c>
      <c r="F460" s="14" t="s">
        <v>3590</v>
      </c>
      <c r="G460" s="14" t="s">
        <v>1014</v>
      </c>
      <c r="H460" s="14" t="s">
        <v>1015</v>
      </c>
      <c r="I460" s="14"/>
      <c r="J460" s="14" t="s">
        <v>1016</v>
      </c>
      <c r="K460" s="14"/>
      <c r="L460" s="14" t="s">
        <v>1068</v>
      </c>
      <c r="M460" s="14" t="s">
        <v>1017</v>
      </c>
      <c r="N460" s="14" t="s">
        <v>1069</v>
      </c>
    </row>
    <row r="461" spans="1:14" ht="43.5" x14ac:dyDescent="0.35">
      <c r="A461" s="14" t="s">
        <v>45</v>
      </c>
      <c r="B461" s="14" t="s">
        <v>2690</v>
      </c>
      <c r="C461" s="14" t="s">
        <v>1066</v>
      </c>
      <c r="D461" s="14" t="s">
        <v>3052</v>
      </c>
      <c r="E461" s="14" t="s">
        <v>3594</v>
      </c>
      <c r="F461" s="14" t="s">
        <v>3595</v>
      </c>
      <c r="G461" s="14" t="s">
        <v>1014</v>
      </c>
      <c r="H461" s="14" t="s">
        <v>1015</v>
      </c>
      <c r="I461" s="14"/>
      <c r="J461" s="14" t="s">
        <v>1016</v>
      </c>
      <c r="K461" s="14"/>
      <c r="L461" s="14" t="s">
        <v>1068</v>
      </c>
      <c r="M461" s="14" t="s">
        <v>1017</v>
      </c>
      <c r="N461" s="14" t="s">
        <v>1069</v>
      </c>
    </row>
    <row r="462" spans="1:14" ht="29" x14ac:dyDescent="0.35">
      <c r="A462" s="14" t="s">
        <v>122</v>
      </c>
      <c r="B462" s="14" t="s">
        <v>1236</v>
      </c>
      <c r="C462" s="14" t="s">
        <v>3005</v>
      </c>
      <c r="D462" s="14" t="s">
        <v>3596</v>
      </c>
      <c r="E462" s="14" t="s">
        <v>2994</v>
      </c>
      <c r="F462" s="14" t="s">
        <v>3597</v>
      </c>
      <c r="G462" s="14" t="s">
        <v>1014</v>
      </c>
      <c r="H462" s="14" t="s">
        <v>1015</v>
      </c>
      <c r="I462" s="14" t="s">
        <v>123</v>
      </c>
      <c r="J462" s="14" t="s">
        <v>1016</v>
      </c>
      <c r="K462" s="14"/>
      <c r="L462" s="14" t="s">
        <v>1229</v>
      </c>
      <c r="M462" s="14" t="s">
        <v>1017</v>
      </c>
      <c r="N462" s="14" t="s">
        <v>3598</v>
      </c>
    </row>
    <row r="463" spans="1:14" x14ac:dyDescent="0.35">
      <c r="A463" s="14" t="s">
        <v>122</v>
      </c>
      <c r="B463" s="14" t="s">
        <v>1236</v>
      </c>
      <c r="C463" s="14" t="s">
        <v>2825</v>
      </c>
      <c r="D463" s="14" t="s">
        <v>3599</v>
      </c>
      <c r="E463" s="14" t="s">
        <v>3511</v>
      </c>
      <c r="F463" s="14" t="s">
        <v>3600</v>
      </c>
      <c r="G463" s="14" t="s">
        <v>1014</v>
      </c>
      <c r="H463" s="14" t="s">
        <v>1015</v>
      </c>
      <c r="I463" s="14" t="s">
        <v>123</v>
      </c>
      <c r="J463" s="14" t="s">
        <v>1016</v>
      </c>
      <c r="K463" s="14"/>
      <c r="L463" s="14" t="s">
        <v>2830</v>
      </c>
      <c r="M463" s="14" t="s">
        <v>1017</v>
      </c>
      <c r="N463" s="14" t="s">
        <v>3601</v>
      </c>
    </row>
    <row r="464" spans="1:14" ht="29" x14ac:dyDescent="0.35">
      <c r="A464" s="14" t="s">
        <v>122</v>
      </c>
      <c r="B464" s="14" t="s">
        <v>2265</v>
      </c>
      <c r="C464" s="14" t="s">
        <v>3005</v>
      </c>
      <c r="D464" s="14" t="s">
        <v>3602</v>
      </c>
      <c r="E464" s="14" t="s">
        <v>3603</v>
      </c>
      <c r="F464" s="14" t="s">
        <v>3597</v>
      </c>
      <c r="G464" s="14" t="s">
        <v>1014</v>
      </c>
      <c r="H464" s="14" t="s">
        <v>1015</v>
      </c>
      <c r="I464" s="14" t="s">
        <v>123</v>
      </c>
      <c r="J464" s="14" t="s">
        <v>1016</v>
      </c>
      <c r="K464" s="14"/>
      <c r="L464" s="14" t="s">
        <v>1229</v>
      </c>
      <c r="M464" s="14" t="s">
        <v>1017</v>
      </c>
      <c r="N464" s="14" t="s">
        <v>3598</v>
      </c>
    </row>
    <row r="465" spans="1:14" ht="29" x14ac:dyDescent="0.35">
      <c r="A465" s="14" t="s">
        <v>122</v>
      </c>
      <c r="B465" s="14" t="s">
        <v>2265</v>
      </c>
      <c r="C465" s="14" t="s">
        <v>3005</v>
      </c>
      <c r="D465" s="14" t="s">
        <v>2906</v>
      </c>
      <c r="E465" s="14" t="s">
        <v>3193</v>
      </c>
      <c r="F465" s="14" t="s">
        <v>3604</v>
      </c>
      <c r="G465" s="14" t="s">
        <v>1014</v>
      </c>
      <c r="H465" s="14" t="s">
        <v>1015</v>
      </c>
      <c r="I465" s="14"/>
      <c r="J465" s="14" t="s">
        <v>1016</v>
      </c>
      <c r="K465" s="14"/>
      <c r="L465" s="14" t="s">
        <v>1229</v>
      </c>
      <c r="M465" s="14" t="s">
        <v>1017</v>
      </c>
      <c r="N465" s="14" t="s">
        <v>3598</v>
      </c>
    </row>
    <row r="466" spans="1:14" x14ac:dyDescent="0.35">
      <c r="A466" s="14" t="s">
        <v>122</v>
      </c>
      <c r="B466" s="14" t="s">
        <v>2265</v>
      </c>
      <c r="C466" s="14" t="s">
        <v>2825</v>
      </c>
      <c r="D466" s="14" t="s">
        <v>3605</v>
      </c>
      <c r="E466" s="14" t="s">
        <v>2800</v>
      </c>
      <c r="F466" s="14" t="s">
        <v>3606</v>
      </c>
      <c r="G466" s="14" t="s">
        <v>1014</v>
      </c>
      <c r="H466" s="14" t="s">
        <v>1015</v>
      </c>
      <c r="I466" s="14" t="s">
        <v>123</v>
      </c>
      <c r="J466" s="14" t="s">
        <v>1016</v>
      </c>
      <c r="K466" s="14"/>
      <c r="L466" s="14" t="s">
        <v>2830</v>
      </c>
      <c r="M466" s="14" t="s">
        <v>1017</v>
      </c>
      <c r="N466" s="14" t="s">
        <v>3601</v>
      </c>
    </row>
    <row r="467" spans="1:14" ht="29" x14ac:dyDescent="0.35">
      <c r="A467" s="14" t="s">
        <v>122</v>
      </c>
      <c r="B467" s="14" t="s">
        <v>2531</v>
      </c>
      <c r="C467" s="14" t="s">
        <v>3005</v>
      </c>
      <c r="D467" s="14" t="s">
        <v>3607</v>
      </c>
      <c r="E467" s="14" t="s">
        <v>3608</v>
      </c>
      <c r="F467" s="14" t="s">
        <v>3597</v>
      </c>
      <c r="G467" s="14" t="s">
        <v>1014</v>
      </c>
      <c r="H467" s="14" t="s">
        <v>1015</v>
      </c>
      <c r="I467" s="14" t="s">
        <v>123</v>
      </c>
      <c r="J467" s="14" t="s">
        <v>1016</v>
      </c>
      <c r="K467" s="14"/>
      <c r="L467" s="14" t="s">
        <v>1229</v>
      </c>
      <c r="M467" s="14" t="s">
        <v>1017</v>
      </c>
      <c r="N467" s="14" t="s">
        <v>3598</v>
      </c>
    </row>
    <row r="468" spans="1:14" x14ac:dyDescent="0.35">
      <c r="A468" s="14" t="s">
        <v>122</v>
      </c>
      <c r="B468" s="14" t="s">
        <v>2531</v>
      </c>
      <c r="C468" s="14" t="s">
        <v>2825</v>
      </c>
      <c r="D468" s="14" t="s">
        <v>3609</v>
      </c>
      <c r="E468" s="14" t="s">
        <v>3610</v>
      </c>
      <c r="F468" s="14" t="s">
        <v>3600</v>
      </c>
      <c r="G468" s="14" t="s">
        <v>1014</v>
      </c>
      <c r="H468" s="14" t="s">
        <v>1015</v>
      </c>
      <c r="I468" s="14" t="s">
        <v>123</v>
      </c>
      <c r="J468" s="14" t="s">
        <v>1016</v>
      </c>
      <c r="K468" s="14"/>
      <c r="L468" s="14" t="s">
        <v>2830</v>
      </c>
      <c r="M468" s="14" t="s">
        <v>1017</v>
      </c>
      <c r="N468" s="14" t="s">
        <v>3601</v>
      </c>
    </row>
    <row r="469" spans="1:14" ht="29" x14ac:dyDescent="0.35">
      <c r="A469" s="14" t="s">
        <v>57</v>
      </c>
      <c r="B469" s="14" t="s">
        <v>1197</v>
      </c>
      <c r="C469" s="14" t="s">
        <v>1201</v>
      </c>
      <c r="D469" s="14" t="s">
        <v>3611</v>
      </c>
      <c r="E469" s="14" t="s">
        <v>2955</v>
      </c>
      <c r="F469" s="14" t="s">
        <v>3612</v>
      </c>
      <c r="G469" s="14" t="s">
        <v>1014</v>
      </c>
      <c r="H469" s="14" t="s">
        <v>1203</v>
      </c>
      <c r="I469" s="14"/>
      <c r="J469" s="14" t="s">
        <v>1016</v>
      </c>
      <c r="K469" s="14"/>
      <c r="L469" s="14" t="s">
        <v>1204</v>
      </c>
      <c r="M469" s="14" t="s">
        <v>1017</v>
      </c>
      <c r="N469" s="14" t="s">
        <v>1205</v>
      </c>
    </row>
    <row r="470" spans="1:14" ht="29" x14ac:dyDescent="0.35">
      <c r="A470" s="14" t="s">
        <v>57</v>
      </c>
      <c r="B470" s="14" t="s">
        <v>1224</v>
      </c>
      <c r="C470" s="14" t="s">
        <v>1227</v>
      </c>
      <c r="D470" s="14" t="s">
        <v>3613</v>
      </c>
      <c r="E470" s="14" t="s">
        <v>3614</v>
      </c>
      <c r="F470" s="14" t="s">
        <v>3615</v>
      </c>
      <c r="G470" s="14" t="s">
        <v>1014</v>
      </c>
      <c r="H470" s="14" t="s">
        <v>1015</v>
      </c>
      <c r="I470" s="14" t="s">
        <v>1078</v>
      </c>
      <c r="J470" s="14" t="s">
        <v>1016</v>
      </c>
      <c r="K470" s="14"/>
      <c r="L470" s="14" t="s">
        <v>1229</v>
      </c>
      <c r="M470" s="14" t="s">
        <v>1017</v>
      </c>
      <c r="N470" s="14" t="s">
        <v>1230</v>
      </c>
    </row>
    <row r="471" spans="1:14" ht="29" x14ac:dyDescent="0.35">
      <c r="A471" s="14" t="s">
        <v>57</v>
      </c>
      <c r="B471" s="14" t="s">
        <v>1272</v>
      </c>
      <c r="C471" s="14" t="s">
        <v>1227</v>
      </c>
      <c r="D471" s="14" t="s">
        <v>3616</v>
      </c>
      <c r="E471" s="14" t="s">
        <v>3617</v>
      </c>
      <c r="F471" s="14" t="s">
        <v>3618</v>
      </c>
      <c r="G471" s="14" t="s">
        <v>1014</v>
      </c>
      <c r="H471" s="14" t="s">
        <v>1015</v>
      </c>
      <c r="I471" s="14"/>
      <c r="J471" s="14" t="s">
        <v>1016</v>
      </c>
      <c r="K471" s="14"/>
      <c r="L471" s="14" t="s">
        <v>1229</v>
      </c>
      <c r="M471" s="14" t="s">
        <v>1017</v>
      </c>
      <c r="N471" s="14" t="s">
        <v>1230</v>
      </c>
    </row>
    <row r="472" spans="1:14" ht="29" x14ac:dyDescent="0.35">
      <c r="A472" s="14" t="s">
        <v>57</v>
      </c>
      <c r="B472" s="14" t="s">
        <v>1278</v>
      </c>
      <c r="C472" s="14" t="s">
        <v>1227</v>
      </c>
      <c r="D472" s="14" t="s">
        <v>3619</v>
      </c>
      <c r="E472" s="14" t="s">
        <v>3620</v>
      </c>
      <c r="F472" s="14" t="s">
        <v>3621</v>
      </c>
      <c r="G472" s="14" t="s">
        <v>1014</v>
      </c>
      <c r="H472" s="14" t="s">
        <v>1015</v>
      </c>
      <c r="I472" s="14"/>
      <c r="J472" s="14" t="s">
        <v>1016</v>
      </c>
      <c r="K472" s="14"/>
      <c r="L472" s="14" t="s">
        <v>1229</v>
      </c>
      <c r="M472" s="14" t="s">
        <v>1017</v>
      </c>
      <c r="N472" s="14" t="s">
        <v>1230</v>
      </c>
    </row>
    <row r="473" spans="1:14" ht="29" x14ac:dyDescent="0.35">
      <c r="A473" s="14" t="s">
        <v>57</v>
      </c>
      <c r="B473" s="14" t="s">
        <v>1285</v>
      </c>
      <c r="C473" s="14" t="s">
        <v>1227</v>
      </c>
      <c r="D473" s="14" t="s">
        <v>3240</v>
      </c>
      <c r="E473" s="14" t="s">
        <v>3622</v>
      </c>
      <c r="F473" s="14" t="s">
        <v>3623</v>
      </c>
      <c r="G473" s="14" t="s">
        <v>1014</v>
      </c>
      <c r="H473" s="14" t="s">
        <v>1015</v>
      </c>
      <c r="I473" s="14" t="s">
        <v>54</v>
      </c>
      <c r="J473" s="14" t="s">
        <v>1016</v>
      </c>
      <c r="K473" s="14"/>
      <c r="L473" s="14" t="s">
        <v>1229</v>
      </c>
      <c r="M473" s="14" t="s">
        <v>1017</v>
      </c>
      <c r="N473" s="14" t="s">
        <v>1230</v>
      </c>
    </row>
    <row r="474" spans="1:14" ht="29" x14ac:dyDescent="0.35">
      <c r="A474" s="14" t="s">
        <v>57</v>
      </c>
      <c r="B474" s="14" t="s">
        <v>1290</v>
      </c>
      <c r="C474" s="14" t="s">
        <v>1201</v>
      </c>
      <c r="D474" s="14" t="s">
        <v>3611</v>
      </c>
      <c r="E474" s="14" t="s">
        <v>2955</v>
      </c>
      <c r="F474" s="14" t="s">
        <v>3624</v>
      </c>
      <c r="G474" s="14" t="s">
        <v>1014</v>
      </c>
      <c r="H474" s="14" t="s">
        <v>1203</v>
      </c>
      <c r="I474" s="14"/>
      <c r="J474" s="14" t="s">
        <v>1016</v>
      </c>
      <c r="K474" s="14"/>
      <c r="L474" s="14" t="s">
        <v>1204</v>
      </c>
      <c r="M474" s="14" t="s">
        <v>1017</v>
      </c>
      <c r="N474" s="14" t="s">
        <v>1205</v>
      </c>
    </row>
    <row r="475" spans="1:14" ht="29" x14ac:dyDescent="0.35">
      <c r="A475" s="14" t="s">
        <v>57</v>
      </c>
      <c r="B475" s="14" t="s">
        <v>1339</v>
      </c>
      <c r="C475" s="14" t="s">
        <v>1227</v>
      </c>
      <c r="D475" s="14" t="s">
        <v>3070</v>
      </c>
      <c r="E475" s="14" t="s">
        <v>3206</v>
      </c>
      <c r="F475" s="14" t="s">
        <v>3625</v>
      </c>
      <c r="G475" s="14" t="s">
        <v>1014</v>
      </c>
      <c r="H475" s="14" t="s">
        <v>1015</v>
      </c>
      <c r="I475" s="14"/>
      <c r="J475" s="14" t="s">
        <v>1016</v>
      </c>
      <c r="K475" s="14"/>
      <c r="L475" s="14" t="s">
        <v>1229</v>
      </c>
      <c r="M475" s="14" t="s">
        <v>1017</v>
      </c>
      <c r="N475" s="14" t="s">
        <v>1230</v>
      </c>
    </row>
    <row r="476" spans="1:14" ht="29" x14ac:dyDescent="0.35">
      <c r="A476" s="14" t="s">
        <v>57</v>
      </c>
      <c r="B476" s="14" t="s">
        <v>1382</v>
      </c>
      <c r="C476" s="14" t="s">
        <v>1227</v>
      </c>
      <c r="D476" s="14" t="s">
        <v>3626</v>
      </c>
      <c r="E476" s="14" t="s">
        <v>3627</v>
      </c>
      <c r="F476" s="14" t="s">
        <v>3628</v>
      </c>
      <c r="G476" s="14" t="s">
        <v>1014</v>
      </c>
      <c r="H476" s="14" t="s">
        <v>1015</v>
      </c>
      <c r="I476" s="14" t="s">
        <v>1078</v>
      </c>
      <c r="J476" s="14" t="s">
        <v>1016</v>
      </c>
      <c r="K476" s="14"/>
      <c r="L476" s="14" t="s">
        <v>1229</v>
      </c>
      <c r="M476" s="14" t="s">
        <v>1017</v>
      </c>
      <c r="N476" s="14" t="s">
        <v>1230</v>
      </c>
    </row>
    <row r="477" spans="1:14" ht="29" x14ac:dyDescent="0.35">
      <c r="A477" s="14" t="s">
        <v>57</v>
      </c>
      <c r="B477" s="14" t="s">
        <v>1460</v>
      </c>
      <c r="C477" s="14" t="s">
        <v>1227</v>
      </c>
      <c r="D477" s="14" t="s">
        <v>3629</v>
      </c>
      <c r="E477" s="14" t="s">
        <v>3630</v>
      </c>
      <c r="F477" s="14" t="s">
        <v>3631</v>
      </c>
      <c r="G477" s="14" t="s">
        <v>1014</v>
      </c>
      <c r="H477" s="14" t="s">
        <v>1015</v>
      </c>
      <c r="I477" s="14"/>
      <c r="J477" s="14" t="s">
        <v>1016</v>
      </c>
      <c r="K477" s="14"/>
      <c r="L477" s="14" t="s">
        <v>1229</v>
      </c>
      <c r="M477" s="14" t="s">
        <v>1017</v>
      </c>
      <c r="N477" s="14" t="s">
        <v>1230</v>
      </c>
    </row>
    <row r="478" spans="1:14" ht="29" x14ac:dyDescent="0.35">
      <c r="A478" s="14" t="s">
        <v>57</v>
      </c>
      <c r="B478" s="14" t="s">
        <v>1567</v>
      </c>
      <c r="C478" s="14" t="s">
        <v>1227</v>
      </c>
      <c r="D478" s="14" t="s">
        <v>3632</v>
      </c>
      <c r="E478" s="14" t="s">
        <v>3633</v>
      </c>
      <c r="F478" s="14" t="s">
        <v>3634</v>
      </c>
      <c r="G478" s="14" t="s">
        <v>1014</v>
      </c>
      <c r="H478" s="14" t="s">
        <v>1015</v>
      </c>
      <c r="I478" s="14"/>
      <c r="J478" s="14" t="s">
        <v>1016</v>
      </c>
      <c r="K478" s="14"/>
      <c r="L478" s="14" t="s">
        <v>1229</v>
      </c>
      <c r="M478" s="14" t="s">
        <v>1017</v>
      </c>
      <c r="N478" s="14" t="s">
        <v>1230</v>
      </c>
    </row>
    <row r="479" spans="1:14" ht="29" x14ac:dyDescent="0.35">
      <c r="A479" s="14" t="s">
        <v>57</v>
      </c>
      <c r="B479" s="14" t="s">
        <v>1567</v>
      </c>
      <c r="C479" s="14" t="s">
        <v>1201</v>
      </c>
      <c r="D479" s="14" t="s">
        <v>3611</v>
      </c>
      <c r="E479" s="14" t="s">
        <v>2955</v>
      </c>
      <c r="F479" s="14" t="s">
        <v>3635</v>
      </c>
      <c r="G479" s="14" t="s">
        <v>1014</v>
      </c>
      <c r="H479" s="14" t="s">
        <v>1203</v>
      </c>
      <c r="I479" s="14"/>
      <c r="J479" s="14" t="s">
        <v>1016</v>
      </c>
      <c r="K479" s="14"/>
      <c r="L479" s="14" t="s">
        <v>1204</v>
      </c>
      <c r="M479" s="14" t="s">
        <v>1017</v>
      </c>
      <c r="N479" s="14" t="s">
        <v>1205</v>
      </c>
    </row>
    <row r="480" spans="1:14" ht="29" x14ac:dyDescent="0.35">
      <c r="A480" s="14" t="s">
        <v>57</v>
      </c>
      <c r="B480" s="14" t="s">
        <v>1593</v>
      </c>
      <c r="C480" s="14" t="s">
        <v>1227</v>
      </c>
      <c r="D480" s="14" t="s">
        <v>3636</v>
      </c>
      <c r="E480" s="14" t="s">
        <v>2929</v>
      </c>
      <c r="F480" s="14" t="s">
        <v>3637</v>
      </c>
      <c r="G480" s="14" t="s">
        <v>1014</v>
      </c>
      <c r="H480" s="14" t="s">
        <v>1015</v>
      </c>
      <c r="I480" s="14"/>
      <c r="J480" s="14" t="s">
        <v>1016</v>
      </c>
      <c r="K480" s="14"/>
      <c r="L480" s="14" t="s">
        <v>1229</v>
      </c>
      <c r="M480" s="14" t="s">
        <v>1017</v>
      </c>
      <c r="N480" s="14" t="s">
        <v>1230</v>
      </c>
    </row>
    <row r="481" spans="1:14" ht="29" x14ac:dyDescent="0.35">
      <c r="A481" s="14" t="s">
        <v>57</v>
      </c>
      <c r="B481" s="14" t="s">
        <v>1601</v>
      </c>
      <c r="C481" s="14" t="s">
        <v>1227</v>
      </c>
      <c r="D481" s="14" t="s">
        <v>3638</v>
      </c>
      <c r="E481" s="14" t="s">
        <v>2925</v>
      </c>
      <c r="F481" s="14" t="s">
        <v>3639</v>
      </c>
      <c r="G481" s="14" t="s">
        <v>1014</v>
      </c>
      <c r="H481" s="14" t="s">
        <v>1015</v>
      </c>
      <c r="I481" s="14"/>
      <c r="J481" s="14" t="s">
        <v>1016</v>
      </c>
      <c r="K481" s="14"/>
      <c r="L481" s="14" t="s">
        <v>1229</v>
      </c>
      <c r="M481" s="14" t="s">
        <v>1017</v>
      </c>
      <c r="N481" s="14" t="s">
        <v>1230</v>
      </c>
    </row>
    <row r="482" spans="1:14" ht="29" x14ac:dyDescent="0.35">
      <c r="A482" s="14" t="s">
        <v>57</v>
      </c>
      <c r="B482" s="14" t="s">
        <v>1618</v>
      </c>
      <c r="C482" s="14" t="s">
        <v>1227</v>
      </c>
      <c r="D482" s="14" t="s">
        <v>3640</v>
      </c>
      <c r="E482" s="14" t="s">
        <v>3332</v>
      </c>
      <c r="F482" s="14" t="s">
        <v>3641</v>
      </c>
      <c r="G482" s="14" t="s">
        <v>1014</v>
      </c>
      <c r="H482" s="14" t="s">
        <v>1015</v>
      </c>
      <c r="I482" s="14"/>
      <c r="J482" s="14" t="s">
        <v>1016</v>
      </c>
      <c r="K482" s="14"/>
      <c r="L482" s="14" t="s">
        <v>1229</v>
      </c>
      <c r="M482" s="14" t="s">
        <v>1017</v>
      </c>
      <c r="N482" s="14" t="s">
        <v>1230</v>
      </c>
    </row>
    <row r="483" spans="1:14" ht="29" x14ac:dyDescent="0.35">
      <c r="A483" s="14" t="s">
        <v>57</v>
      </c>
      <c r="B483" s="14" t="s">
        <v>1777</v>
      </c>
      <c r="C483" s="14" t="s">
        <v>1227</v>
      </c>
      <c r="D483" s="14" t="s">
        <v>3642</v>
      </c>
      <c r="E483" s="14" t="s">
        <v>3643</v>
      </c>
      <c r="F483" s="14" t="s">
        <v>3644</v>
      </c>
      <c r="G483" s="14" t="s">
        <v>1014</v>
      </c>
      <c r="H483" s="14" t="s">
        <v>1015</v>
      </c>
      <c r="I483" s="14"/>
      <c r="J483" s="14" t="s">
        <v>1016</v>
      </c>
      <c r="K483" s="14"/>
      <c r="L483" s="14" t="s">
        <v>1229</v>
      </c>
      <c r="M483" s="14" t="s">
        <v>1017</v>
      </c>
      <c r="N483" s="14" t="s">
        <v>1230</v>
      </c>
    </row>
    <row r="484" spans="1:14" ht="29" x14ac:dyDescent="0.35">
      <c r="A484" s="14" t="s">
        <v>57</v>
      </c>
      <c r="B484" s="14" t="s">
        <v>1782</v>
      </c>
      <c r="C484" s="14" t="s">
        <v>1201</v>
      </c>
      <c r="D484" s="14" t="s">
        <v>3611</v>
      </c>
      <c r="E484" s="14" t="s">
        <v>2955</v>
      </c>
      <c r="F484" s="14" t="s">
        <v>3645</v>
      </c>
      <c r="G484" s="14" t="s">
        <v>1014</v>
      </c>
      <c r="H484" s="14" t="s">
        <v>1203</v>
      </c>
      <c r="I484" s="14"/>
      <c r="J484" s="14" t="s">
        <v>1016</v>
      </c>
      <c r="K484" s="14"/>
      <c r="L484" s="14" t="s">
        <v>1204</v>
      </c>
      <c r="M484" s="14" t="s">
        <v>1017</v>
      </c>
      <c r="N484" s="14" t="s">
        <v>1205</v>
      </c>
    </row>
    <row r="485" spans="1:14" ht="29" x14ac:dyDescent="0.35">
      <c r="A485" s="14" t="s">
        <v>57</v>
      </c>
      <c r="B485" s="14" t="s">
        <v>1913</v>
      </c>
      <c r="C485" s="14" t="s">
        <v>1227</v>
      </c>
      <c r="D485" s="14" t="s">
        <v>3177</v>
      </c>
      <c r="E485" s="14" t="s">
        <v>3034</v>
      </c>
      <c r="F485" s="14" t="s">
        <v>3646</v>
      </c>
      <c r="G485" s="14" t="s">
        <v>1014</v>
      </c>
      <c r="H485" s="14" t="s">
        <v>1015</v>
      </c>
      <c r="I485" s="14" t="s">
        <v>1078</v>
      </c>
      <c r="J485" s="14" t="s">
        <v>1016</v>
      </c>
      <c r="K485" s="14"/>
      <c r="L485" s="14" t="s">
        <v>1229</v>
      </c>
      <c r="M485" s="14" t="s">
        <v>1017</v>
      </c>
      <c r="N485" s="14" t="s">
        <v>1230</v>
      </c>
    </row>
    <row r="486" spans="1:14" ht="29" x14ac:dyDescent="0.35">
      <c r="A486" s="14" t="s">
        <v>57</v>
      </c>
      <c r="B486" s="14" t="s">
        <v>1931</v>
      </c>
      <c r="C486" s="14" t="s">
        <v>1227</v>
      </c>
      <c r="D486" s="14" t="s">
        <v>3177</v>
      </c>
      <c r="E486" s="14" t="s">
        <v>3034</v>
      </c>
      <c r="F486" s="14" t="s">
        <v>3647</v>
      </c>
      <c r="G486" s="14" t="s">
        <v>1014</v>
      </c>
      <c r="H486" s="14" t="s">
        <v>1015</v>
      </c>
      <c r="I486" s="14"/>
      <c r="J486" s="14" t="s">
        <v>1016</v>
      </c>
      <c r="K486" s="14"/>
      <c r="L486" s="14" t="s">
        <v>1229</v>
      </c>
      <c r="M486" s="14" t="s">
        <v>1017</v>
      </c>
      <c r="N486" s="14" t="s">
        <v>1230</v>
      </c>
    </row>
    <row r="487" spans="1:14" ht="29" x14ac:dyDescent="0.35">
      <c r="A487" s="14" t="s">
        <v>57</v>
      </c>
      <c r="B487" s="14" t="s">
        <v>2031</v>
      </c>
      <c r="C487" s="14" t="s">
        <v>1227</v>
      </c>
      <c r="D487" s="14" t="s">
        <v>3648</v>
      </c>
      <c r="E487" s="14" t="s">
        <v>3009</v>
      </c>
      <c r="F487" s="14" t="s">
        <v>3649</v>
      </c>
      <c r="G487" s="14" t="s">
        <v>1014</v>
      </c>
      <c r="H487" s="14" t="s">
        <v>1015</v>
      </c>
      <c r="I487" s="14"/>
      <c r="J487" s="14" t="s">
        <v>1016</v>
      </c>
      <c r="K487" s="14"/>
      <c r="L487" s="14" t="s">
        <v>1229</v>
      </c>
      <c r="M487" s="14" t="s">
        <v>1017</v>
      </c>
      <c r="N487" s="14" t="s">
        <v>1230</v>
      </c>
    </row>
    <row r="488" spans="1:14" ht="29" x14ac:dyDescent="0.35">
      <c r="A488" s="14" t="s">
        <v>57</v>
      </c>
      <c r="B488" s="14" t="s">
        <v>2036</v>
      </c>
      <c r="C488" s="14" t="s">
        <v>1201</v>
      </c>
      <c r="D488" s="14" t="s">
        <v>3611</v>
      </c>
      <c r="E488" s="14" t="s">
        <v>2955</v>
      </c>
      <c r="F488" s="14" t="s">
        <v>3650</v>
      </c>
      <c r="G488" s="14" t="s">
        <v>1014</v>
      </c>
      <c r="H488" s="14" t="s">
        <v>1203</v>
      </c>
      <c r="I488" s="14"/>
      <c r="J488" s="14" t="s">
        <v>1016</v>
      </c>
      <c r="K488" s="14"/>
      <c r="L488" s="14" t="s">
        <v>1204</v>
      </c>
      <c r="M488" s="14" t="s">
        <v>1017</v>
      </c>
      <c r="N488" s="14" t="s">
        <v>1205</v>
      </c>
    </row>
    <row r="489" spans="1:14" ht="29" x14ac:dyDescent="0.35">
      <c r="A489" s="14" t="s">
        <v>57</v>
      </c>
      <c r="B489" s="14" t="s">
        <v>2090</v>
      </c>
      <c r="C489" s="14" t="s">
        <v>1201</v>
      </c>
      <c r="D489" s="14" t="s">
        <v>3611</v>
      </c>
      <c r="E489" s="14" t="s">
        <v>2955</v>
      </c>
      <c r="F489" s="14" t="s">
        <v>3624</v>
      </c>
      <c r="G489" s="14" t="s">
        <v>1014</v>
      </c>
      <c r="H489" s="14" t="s">
        <v>1203</v>
      </c>
      <c r="I489" s="14"/>
      <c r="J489" s="14" t="s">
        <v>1016</v>
      </c>
      <c r="K489" s="14"/>
      <c r="L489" s="14" t="s">
        <v>1204</v>
      </c>
      <c r="M489" s="14" t="s">
        <v>1017</v>
      </c>
      <c r="N489" s="14" t="s">
        <v>1205</v>
      </c>
    </row>
    <row r="490" spans="1:14" ht="29" x14ac:dyDescent="0.35">
      <c r="A490" s="14" t="s">
        <v>57</v>
      </c>
      <c r="B490" s="14" t="s">
        <v>2120</v>
      </c>
      <c r="C490" s="14" t="s">
        <v>1227</v>
      </c>
      <c r="D490" s="14" t="s">
        <v>3318</v>
      </c>
      <c r="E490" s="14" t="s">
        <v>3651</v>
      </c>
      <c r="F490" s="14" t="s">
        <v>3652</v>
      </c>
      <c r="G490" s="14" t="s">
        <v>1014</v>
      </c>
      <c r="H490" s="14" t="s">
        <v>1015</v>
      </c>
      <c r="I490" s="14"/>
      <c r="J490" s="14" t="s">
        <v>1016</v>
      </c>
      <c r="K490" s="14"/>
      <c r="L490" s="14" t="s">
        <v>1229</v>
      </c>
      <c r="M490" s="14" t="s">
        <v>1017</v>
      </c>
      <c r="N490" s="14" t="s">
        <v>1230</v>
      </c>
    </row>
    <row r="491" spans="1:14" ht="29" x14ac:dyDescent="0.35">
      <c r="A491" s="14" t="s">
        <v>57</v>
      </c>
      <c r="B491" s="14" t="s">
        <v>2126</v>
      </c>
      <c r="C491" s="14" t="s">
        <v>1227</v>
      </c>
      <c r="D491" s="14" t="s">
        <v>3653</v>
      </c>
      <c r="E491" s="14" t="s">
        <v>2803</v>
      </c>
      <c r="F491" s="14" t="s">
        <v>3654</v>
      </c>
      <c r="G491" s="14" t="s">
        <v>1014</v>
      </c>
      <c r="H491" s="14" t="s">
        <v>1015</v>
      </c>
      <c r="I491" s="14"/>
      <c r="J491" s="14" t="s">
        <v>1016</v>
      </c>
      <c r="K491" s="14"/>
      <c r="L491" s="14" t="s">
        <v>1229</v>
      </c>
      <c r="M491" s="14" t="s">
        <v>1017</v>
      </c>
      <c r="N491" s="14" t="s">
        <v>1230</v>
      </c>
    </row>
    <row r="492" spans="1:14" ht="29" x14ac:dyDescent="0.35">
      <c r="A492" s="14" t="s">
        <v>57</v>
      </c>
      <c r="B492" s="14" t="s">
        <v>2234</v>
      </c>
      <c r="C492" s="14" t="s">
        <v>1227</v>
      </c>
      <c r="D492" s="14" t="s">
        <v>3655</v>
      </c>
      <c r="E492" s="14" t="s">
        <v>3138</v>
      </c>
      <c r="F492" s="14" t="s">
        <v>3656</v>
      </c>
      <c r="G492" s="14" t="s">
        <v>1014</v>
      </c>
      <c r="H492" s="14" t="s">
        <v>1015</v>
      </c>
      <c r="I492" s="14"/>
      <c r="J492" s="14" t="s">
        <v>1016</v>
      </c>
      <c r="K492" s="14"/>
      <c r="L492" s="14" t="s">
        <v>1229</v>
      </c>
      <c r="M492" s="14" t="s">
        <v>1017</v>
      </c>
      <c r="N492" s="14" t="s">
        <v>1230</v>
      </c>
    </row>
    <row r="493" spans="1:14" ht="29" x14ac:dyDescent="0.35">
      <c r="A493" s="14" t="s">
        <v>57</v>
      </c>
      <c r="B493" s="14" t="s">
        <v>2253</v>
      </c>
      <c r="C493" s="14" t="s">
        <v>1227</v>
      </c>
      <c r="D493" s="14" t="s">
        <v>3596</v>
      </c>
      <c r="E493" s="14" t="s">
        <v>3078</v>
      </c>
      <c r="F493" s="14" t="s">
        <v>3657</v>
      </c>
      <c r="G493" s="14" t="s">
        <v>1014</v>
      </c>
      <c r="H493" s="14" t="s">
        <v>1015</v>
      </c>
      <c r="I493" s="14"/>
      <c r="J493" s="14" t="s">
        <v>1016</v>
      </c>
      <c r="K493" s="14"/>
      <c r="L493" s="14" t="s">
        <v>1229</v>
      </c>
      <c r="M493" s="14" t="s">
        <v>1017</v>
      </c>
      <c r="N493" s="14" t="s">
        <v>1230</v>
      </c>
    </row>
    <row r="494" spans="1:14" ht="29" x14ac:dyDescent="0.35">
      <c r="A494" s="14" t="s">
        <v>57</v>
      </c>
      <c r="B494" s="14" t="s">
        <v>2253</v>
      </c>
      <c r="C494" s="14" t="s">
        <v>1227</v>
      </c>
      <c r="D494" s="14" t="s">
        <v>3658</v>
      </c>
      <c r="E494" s="14" t="s">
        <v>3355</v>
      </c>
      <c r="F494" s="14" t="s">
        <v>3646</v>
      </c>
      <c r="G494" s="14" t="s">
        <v>1014</v>
      </c>
      <c r="H494" s="14" t="s">
        <v>1015</v>
      </c>
      <c r="I494" s="14" t="s">
        <v>1078</v>
      </c>
      <c r="J494" s="14" t="s">
        <v>1016</v>
      </c>
      <c r="K494" s="14"/>
      <c r="L494" s="14" t="s">
        <v>1229</v>
      </c>
      <c r="M494" s="14" t="s">
        <v>1017</v>
      </c>
      <c r="N494" s="14" t="s">
        <v>1230</v>
      </c>
    </row>
    <row r="495" spans="1:14" ht="29" x14ac:dyDescent="0.35">
      <c r="A495" s="14" t="s">
        <v>57</v>
      </c>
      <c r="B495" s="14" t="s">
        <v>2280</v>
      </c>
      <c r="C495" s="14" t="s">
        <v>1227</v>
      </c>
      <c r="D495" s="14" t="s">
        <v>2976</v>
      </c>
      <c r="E495" s="14" t="s">
        <v>2979</v>
      </c>
      <c r="F495" s="14" t="s">
        <v>3659</v>
      </c>
      <c r="G495" s="14" t="s">
        <v>1014</v>
      </c>
      <c r="H495" s="14" t="s">
        <v>1015</v>
      </c>
      <c r="I495" s="14"/>
      <c r="J495" s="14" t="s">
        <v>1016</v>
      </c>
      <c r="K495" s="14"/>
      <c r="L495" s="14" t="s">
        <v>1229</v>
      </c>
      <c r="M495" s="14" t="s">
        <v>1017</v>
      </c>
      <c r="N495" s="14" t="s">
        <v>1230</v>
      </c>
    </row>
    <row r="496" spans="1:14" ht="29" x14ac:dyDescent="0.35">
      <c r="A496" s="14" t="s">
        <v>57</v>
      </c>
      <c r="B496" s="14" t="s">
        <v>2325</v>
      </c>
      <c r="C496" s="14" t="s">
        <v>1227</v>
      </c>
      <c r="D496" s="14" t="s">
        <v>3660</v>
      </c>
      <c r="E496" s="14" t="s">
        <v>3307</v>
      </c>
      <c r="F496" s="14" t="s">
        <v>3661</v>
      </c>
      <c r="G496" s="14" t="s">
        <v>1014</v>
      </c>
      <c r="H496" s="14" t="s">
        <v>1015</v>
      </c>
      <c r="I496" s="14"/>
      <c r="J496" s="14" t="s">
        <v>1016</v>
      </c>
      <c r="K496" s="14"/>
      <c r="L496" s="14" t="s">
        <v>1229</v>
      </c>
      <c r="M496" s="14" t="s">
        <v>1017</v>
      </c>
      <c r="N496" s="14" t="s">
        <v>1230</v>
      </c>
    </row>
    <row r="497" spans="1:14" ht="29" x14ac:dyDescent="0.35">
      <c r="A497" s="14" t="s">
        <v>57</v>
      </c>
      <c r="B497" s="14" t="s">
        <v>2325</v>
      </c>
      <c r="C497" s="14" t="s">
        <v>1227</v>
      </c>
      <c r="D497" s="14" t="s">
        <v>3662</v>
      </c>
      <c r="E497" s="14" t="s">
        <v>3663</v>
      </c>
      <c r="F497" s="14" t="s">
        <v>3664</v>
      </c>
      <c r="G497" s="14" t="s">
        <v>1014</v>
      </c>
      <c r="H497" s="14" t="s">
        <v>1015</v>
      </c>
      <c r="I497" s="14"/>
      <c r="J497" s="14" t="s">
        <v>1016</v>
      </c>
      <c r="K497" s="14"/>
      <c r="L497" s="14" t="s">
        <v>1229</v>
      </c>
      <c r="M497" s="14" t="s">
        <v>1017</v>
      </c>
      <c r="N497" s="14" t="s">
        <v>1230</v>
      </c>
    </row>
    <row r="498" spans="1:14" ht="29" x14ac:dyDescent="0.35">
      <c r="A498" s="14" t="s">
        <v>57</v>
      </c>
      <c r="B498" s="14" t="s">
        <v>2327</v>
      </c>
      <c r="C498" s="14" t="s">
        <v>1227</v>
      </c>
      <c r="D498" s="14" t="s">
        <v>3240</v>
      </c>
      <c r="E498" s="14" t="s">
        <v>3622</v>
      </c>
      <c r="F498" s="14" t="s">
        <v>3623</v>
      </c>
      <c r="G498" s="14" t="s">
        <v>1014</v>
      </c>
      <c r="H498" s="14" t="s">
        <v>1015</v>
      </c>
      <c r="I498" s="14" t="s">
        <v>54</v>
      </c>
      <c r="J498" s="14" t="s">
        <v>1016</v>
      </c>
      <c r="K498" s="14"/>
      <c r="L498" s="14" t="s">
        <v>1229</v>
      </c>
      <c r="M498" s="14" t="s">
        <v>1017</v>
      </c>
      <c r="N498" s="14" t="s">
        <v>1230</v>
      </c>
    </row>
    <row r="499" spans="1:14" ht="29" x14ac:dyDescent="0.35">
      <c r="A499" s="14" t="s">
        <v>57</v>
      </c>
      <c r="B499" s="14" t="s">
        <v>2336</v>
      </c>
      <c r="C499" s="14" t="s">
        <v>1227</v>
      </c>
      <c r="D499" s="14" t="s">
        <v>3099</v>
      </c>
      <c r="E499" s="14" t="s">
        <v>2865</v>
      </c>
      <c r="F499" s="14" t="s">
        <v>3665</v>
      </c>
      <c r="G499" s="14" t="s">
        <v>1014</v>
      </c>
      <c r="H499" s="14" t="s">
        <v>1015</v>
      </c>
      <c r="I499" s="14" t="s">
        <v>1078</v>
      </c>
      <c r="J499" s="14" t="s">
        <v>1016</v>
      </c>
      <c r="K499" s="14"/>
      <c r="L499" s="14" t="s">
        <v>1229</v>
      </c>
      <c r="M499" s="14" t="s">
        <v>1017</v>
      </c>
      <c r="N499" s="14" t="s">
        <v>1230</v>
      </c>
    </row>
    <row r="500" spans="1:14" ht="29" x14ac:dyDescent="0.35">
      <c r="A500" s="14" t="s">
        <v>57</v>
      </c>
      <c r="B500" s="14" t="s">
        <v>2353</v>
      </c>
      <c r="C500" s="14" t="s">
        <v>1201</v>
      </c>
      <c r="D500" s="14" t="s">
        <v>3611</v>
      </c>
      <c r="E500" s="14" t="s">
        <v>2955</v>
      </c>
      <c r="F500" s="14" t="s">
        <v>3666</v>
      </c>
      <c r="G500" s="14" t="s">
        <v>1014</v>
      </c>
      <c r="H500" s="14" t="s">
        <v>1203</v>
      </c>
      <c r="I500" s="14"/>
      <c r="J500" s="14" t="s">
        <v>1016</v>
      </c>
      <c r="K500" s="14"/>
      <c r="L500" s="14" t="s">
        <v>1204</v>
      </c>
      <c r="M500" s="14" t="s">
        <v>1017</v>
      </c>
      <c r="N500" s="14" t="s">
        <v>1205</v>
      </c>
    </row>
    <row r="501" spans="1:14" ht="29" x14ac:dyDescent="0.35">
      <c r="A501" s="14" t="s">
        <v>57</v>
      </c>
      <c r="B501" s="14" t="s">
        <v>2376</v>
      </c>
      <c r="C501" s="14" t="s">
        <v>1201</v>
      </c>
      <c r="D501" s="14" t="s">
        <v>3611</v>
      </c>
      <c r="E501" s="14" t="s">
        <v>2955</v>
      </c>
      <c r="F501" s="14" t="s">
        <v>3612</v>
      </c>
      <c r="G501" s="14" t="s">
        <v>1014</v>
      </c>
      <c r="H501" s="14" t="s">
        <v>1203</v>
      </c>
      <c r="I501" s="14"/>
      <c r="J501" s="14" t="s">
        <v>1016</v>
      </c>
      <c r="K501" s="14"/>
      <c r="L501" s="14" t="s">
        <v>1204</v>
      </c>
      <c r="M501" s="14" t="s">
        <v>1017</v>
      </c>
      <c r="N501" s="14" t="s">
        <v>1205</v>
      </c>
    </row>
    <row r="502" spans="1:14" ht="29" x14ac:dyDescent="0.35">
      <c r="A502" s="14" t="s">
        <v>57</v>
      </c>
      <c r="B502" s="14" t="s">
        <v>2401</v>
      </c>
      <c r="C502" s="14" t="s">
        <v>1227</v>
      </c>
      <c r="D502" s="14" t="s">
        <v>2952</v>
      </c>
      <c r="E502" s="14" t="s">
        <v>3667</v>
      </c>
      <c r="F502" s="14" t="s">
        <v>3628</v>
      </c>
      <c r="G502" s="14" t="s">
        <v>1014</v>
      </c>
      <c r="H502" s="14" t="s">
        <v>1015</v>
      </c>
      <c r="I502" s="14" t="s">
        <v>1078</v>
      </c>
      <c r="J502" s="14" t="s">
        <v>1016</v>
      </c>
      <c r="K502" s="14"/>
      <c r="L502" s="14" t="s">
        <v>1229</v>
      </c>
      <c r="M502" s="14" t="s">
        <v>1017</v>
      </c>
      <c r="N502" s="14" t="s">
        <v>1230</v>
      </c>
    </row>
    <row r="503" spans="1:14" ht="29" x14ac:dyDescent="0.35">
      <c r="A503" s="14" t="s">
        <v>57</v>
      </c>
      <c r="B503" s="14" t="s">
        <v>2429</v>
      </c>
      <c r="C503" s="14" t="s">
        <v>1227</v>
      </c>
      <c r="D503" s="14" t="s">
        <v>3613</v>
      </c>
      <c r="E503" s="14" t="s">
        <v>3614</v>
      </c>
      <c r="F503" s="14" t="s">
        <v>3615</v>
      </c>
      <c r="G503" s="14" t="s">
        <v>1014</v>
      </c>
      <c r="H503" s="14" t="s">
        <v>1015</v>
      </c>
      <c r="I503" s="14" t="s">
        <v>1078</v>
      </c>
      <c r="J503" s="14" t="s">
        <v>1016</v>
      </c>
      <c r="K503" s="14"/>
      <c r="L503" s="14" t="s">
        <v>1229</v>
      </c>
      <c r="M503" s="14" t="s">
        <v>1017</v>
      </c>
      <c r="N503" s="14" t="s">
        <v>1230</v>
      </c>
    </row>
    <row r="504" spans="1:14" ht="29" x14ac:dyDescent="0.35">
      <c r="A504" s="14" t="s">
        <v>57</v>
      </c>
      <c r="B504" s="14" t="s">
        <v>2433</v>
      </c>
      <c r="C504" s="14" t="s">
        <v>1227</v>
      </c>
      <c r="D504" s="14" t="s">
        <v>3177</v>
      </c>
      <c r="E504" s="14" t="s">
        <v>3034</v>
      </c>
      <c r="F504" s="14" t="s">
        <v>3646</v>
      </c>
      <c r="G504" s="14" t="s">
        <v>1014</v>
      </c>
      <c r="H504" s="14" t="s">
        <v>1015</v>
      </c>
      <c r="I504" s="14" t="s">
        <v>1078</v>
      </c>
      <c r="J504" s="14" t="s">
        <v>1016</v>
      </c>
      <c r="K504" s="14"/>
      <c r="L504" s="14" t="s">
        <v>1229</v>
      </c>
      <c r="M504" s="14" t="s">
        <v>1017</v>
      </c>
      <c r="N504" s="14" t="s">
        <v>1230</v>
      </c>
    </row>
    <row r="505" spans="1:14" ht="29" x14ac:dyDescent="0.35">
      <c r="A505" s="14" t="s">
        <v>57</v>
      </c>
      <c r="B505" s="14" t="s">
        <v>2447</v>
      </c>
      <c r="C505" s="14" t="s">
        <v>1227</v>
      </c>
      <c r="D505" s="14" t="s">
        <v>3642</v>
      </c>
      <c r="E505" s="14" t="s">
        <v>3643</v>
      </c>
      <c r="F505" s="14" t="s">
        <v>3668</v>
      </c>
      <c r="G505" s="14" t="s">
        <v>1014</v>
      </c>
      <c r="H505" s="14" t="s">
        <v>1015</v>
      </c>
      <c r="I505" s="14"/>
      <c r="J505" s="14" t="s">
        <v>1016</v>
      </c>
      <c r="K505" s="14"/>
      <c r="L505" s="14" t="s">
        <v>1229</v>
      </c>
      <c r="M505" s="14" t="s">
        <v>1017</v>
      </c>
      <c r="N505" s="14" t="s">
        <v>1230</v>
      </c>
    </row>
    <row r="506" spans="1:14" ht="29" x14ac:dyDescent="0.35">
      <c r="A506" s="14" t="s">
        <v>57</v>
      </c>
      <c r="B506" s="14" t="s">
        <v>2454</v>
      </c>
      <c r="C506" s="14" t="s">
        <v>1227</v>
      </c>
      <c r="D506" s="14" t="s">
        <v>2788</v>
      </c>
      <c r="E506" s="14" t="s">
        <v>2793</v>
      </c>
      <c r="F506" s="14" t="s">
        <v>3669</v>
      </c>
      <c r="G506" s="14" t="s">
        <v>1014</v>
      </c>
      <c r="H506" s="14" t="s">
        <v>1015</v>
      </c>
      <c r="I506" s="14"/>
      <c r="J506" s="14" t="s">
        <v>1016</v>
      </c>
      <c r="K506" s="14"/>
      <c r="L506" s="14" t="s">
        <v>1229</v>
      </c>
      <c r="M506" s="14" t="s">
        <v>1017</v>
      </c>
      <c r="N506" s="14" t="s">
        <v>1230</v>
      </c>
    </row>
    <row r="507" spans="1:14" ht="29" x14ac:dyDescent="0.35">
      <c r="A507" s="14" t="s">
        <v>57</v>
      </c>
      <c r="B507" s="14" t="s">
        <v>2468</v>
      </c>
      <c r="C507" s="14" t="s">
        <v>1227</v>
      </c>
      <c r="D507" s="14" t="s">
        <v>3240</v>
      </c>
      <c r="E507" s="14" t="s">
        <v>3622</v>
      </c>
      <c r="F507" s="14" t="s">
        <v>3623</v>
      </c>
      <c r="G507" s="14" t="s">
        <v>1014</v>
      </c>
      <c r="H507" s="14" t="s">
        <v>1015</v>
      </c>
      <c r="I507" s="14" t="s">
        <v>54</v>
      </c>
      <c r="J507" s="14" t="s">
        <v>1016</v>
      </c>
      <c r="K507" s="14"/>
      <c r="L507" s="14" t="s">
        <v>1229</v>
      </c>
      <c r="M507" s="14" t="s">
        <v>1017</v>
      </c>
      <c r="N507" s="14" t="s">
        <v>1230</v>
      </c>
    </row>
    <row r="508" spans="1:14" ht="29" x14ac:dyDescent="0.35">
      <c r="A508" s="14" t="s">
        <v>57</v>
      </c>
      <c r="B508" s="14" t="s">
        <v>2471</v>
      </c>
      <c r="C508" s="14" t="s">
        <v>1227</v>
      </c>
      <c r="D508" s="14" t="s">
        <v>3031</v>
      </c>
      <c r="E508" s="14" t="s">
        <v>3179</v>
      </c>
      <c r="F508" s="14" t="s">
        <v>3625</v>
      </c>
      <c r="G508" s="14" t="s">
        <v>1014</v>
      </c>
      <c r="H508" s="14" t="s">
        <v>1015</v>
      </c>
      <c r="I508" s="14"/>
      <c r="J508" s="14" t="s">
        <v>1016</v>
      </c>
      <c r="K508" s="14"/>
      <c r="L508" s="14" t="s">
        <v>1229</v>
      </c>
      <c r="M508" s="14" t="s">
        <v>1017</v>
      </c>
      <c r="N508" s="14" t="s">
        <v>1230</v>
      </c>
    </row>
    <row r="509" spans="1:14" ht="29" x14ac:dyDescent="0.35">
      <c r="A509" s="14" t="s">
        <v>57</v>
      </c>
      <c r="B509" s="14" t="s">
        <v>2484</v>
      </c>
      <c r="C509" s="14" t="s">
        <v>1227</v>
      </c>
      <c r="D509" s="14" t="s">
        <v>3062</v>
      </c>
      <c r="E509" s="14" t="s">
        <v>3670</v>
      </c>
      <c r="F509" s="14" t="s">
        <v>3671</v>
      </c>
      <c r="G509" s="14" t="s">
        <v>1014</v>
      </c>
      <c r="H509" s="14" t="s">
        <v>1015</v>
      </c>
      <c r="I509" s="14"/>
      <c r="J509" s="14" t="s">
        <v>1016</v>
      </c>
      <c r="K509" s="14"/>
      <c r="L509" s="14" t="s">
        <v>1229</v>
      </c>
      <c r="M509" s="14" t="s">
        <v>1017</v>
      </c>
      <c r="N509" s="14" t="s">
        <v>1230</v>
      </c>
    </row>
    <row r="510" spans="1:14" ht="29" x14ac:dyDescent="0.35">
      <c r="A510" s="14" t="s">
        <v>57</v>
      </c>
      <c r="B510" s="14" t="s">
        <v>2505</v>
      </c>
      <c r="C510" s="14" t="s">
        <v>1227</v>
      </c>
      <c r="D510" s="14" t="s">
        <v>3616</v>
      </c>
      <c r="E510" s="14" t="s">
        <v>3617</v>
      </c>
      <c r="F510" s="14" t="s">
        <v>3618</v>
      </c>
      <c r="G510" s="14" t="s">
        <v>1014</v>
      </c>
      <c r="H510" s="14" t="s">
        <v>1015</v>
      </c>
      <c r="I510" s="14"/>
      <c r="J510" s="14" t="s">
        <v>1016</v>
      </c>
      <c r="K510" s="14"/>
      <c r="L510" s="14" t="s">
        <v>1229</v>
      </c>
      <c r="M510" s="14" t="s">
        <v>1017</v>
      </c>
      <c r="N510" s="14" t="s">
        <v>1230</v>
      </c>
    </row>
    <row r="511" spans="1:14" ht="29" x14ac:dyDescent="0.35">
      <c r="A511" s="14" t="s">
        <v>57</v>
      </c>
      <c r="B511" s="14" t="s">
        <v>2506</v>
      </c>
      <c r="C511" s="14" t="s">
        <v>1227</v>
      </c>
      <c r="D511" s="14" t="s">
        <v>3672</v>
      </c>
      <c r="E511" s="14" t="s">
        <v>3673</v>
      </c>
      <c r="F511" s="14" t="s">
        <v>3634</v>
      </c>
      <c r="G511" s="14" t="s">
        <v>1014</v>
      </c>
      <c r="H511" s="14" t="s">
        <v>1015</v>
      </c>
      <c r="I511" s="14"/>
      <c r="J511" s="14" t="s">
        <v>1016</v>
      </c>
      <c r="K511" s="14"/>
      <c r="L511" s="14" t="s">
        <v>1229</v>
      </c>
      <c r="M511" s="14" t="s">
        <v>1017</v>
      </c>
      <c r="N511" s="14" t="s">
        <v>1230</v>
      </c>
    </row>
    <row r="512" spans="1:14" ht="29" x14ac:dyDescent="0.35">
      <c r="A512" s="14" t="s">
        <v>57</v>
      </c>
      <c r="B512" s="14" t="s">
        <v>2506</v>
      </c>
      <c r="C512" s="14" t="s">
        <v>1201</v>
      </c>
      <c r="D512" s="14" t="s">
        <v>3611</v>
      </c>
      <c r="E512" s="14" t="s">
        <v>2955</v>
      </c>
      <c r="F512" s="14" t="s">
        <v>3635</v>
      </c>
      <c r="G512" s="14" t="s">
        <v>1014</v>
      </c>
      <c r="H512" s="14" t="s">
        <v>1203</v>
      </c>
      <c r="I512" s="14"/>
      <c r="J512" s="14" t="s">
        <v>1016</v>
      </c>
      <c r="K512" s="14"/>
      <c r="L512" s="14" t="s">
        <v>1204</v>
      </c>
      <c r="M512" s="14" t="s">
        <v>1017</v>
      </c>
      <c r="N512" s="14" t="s">
        <v>1205</v>
      </c>
    </row>
    <row r="513" spans="1:14" ht="29" x14ac:dyDescent="0.35">
      <c r="A513" s="14" t="s">
        <v>57</v>
      </c>
      <c r="B513" s="14" t="s">
        <v>2526</v>
      </c>
      <c r="C513" s="14" t="s">
        <v>1227</v>
      </c>
      <c r="D513" s="14" t="s">
        <v>3674</v>
      </c>
      <c r="E513" s="14" t="s">
        <v>3675</v>
      </c>
      <c r="F513" s="14" t="s">
        <v>3676</v>
      </c>
      <c r="G513" s="14" t="s">
        <v>1014</v>
      </c>
      <c r="H513" s="14" t="s">
        <v>1015</v>
      </c>
      <c r="I513" s="14"/>
      <c r="J513" s="14" t="s">
        <v>1016</v>
      </c>
      <c r="K513" s="14"/>
      <c r="L513" s="14" t="s">
        <v>1229</v>
      </c>
      <c r="M513" s="14" t="s">
        <v>1017</v>
      </c>
      <c r="N513" s="14" t="s">
        <v>1230</v>
      </c>
    </row>
    <row r="514" spans="1:14" ht="29" x14ac:dyDescent="0.35">
      <c r="A514" s="14" t="s">
        <v>57</v>
      </c>
      <c r="B514" s="14" t="s">
        <v>2563</v>
      </c>
      <c r="C514" s="14" t="s">
        <v>1201</v>
      </c>
      <c r="D514" s="14" t="s">
        <v>3611</v>
      </c>
      <c r="E514" s="14" t="s">
        <v>2955</v>
      </c>
      <c r="F514" s="14" t="s">
        <v>3677</v>
      </c>
      <c r="G514" s="14" t="s">
        <v>1014</v>
      </c>
      <c r="H514" s="14" t="s">
        <v>1203</v>
      </c>
      <c r="I514" s="14"/>
      <c r="J514" s="14" t="s">
        <v>1016</v>
      </c>
      <c r="K514" s="14"/>
      <c r="L514" s="14" t="s">
        <v>1204</v>
      </c>
      <c r="M514" s="14" t="s">
        <v>1017</v>
      </c>
      <c r="N514" s="14" t="s">
        <v>1205</v>
      </c>
    </row>
    <row r="515" spans="1:14" ht="29" x14ac:dyDescent="0.35">
      <c r="A515" s="14" t="s">
        <v>57</v>
      </c>
      <c r="B515" s="14" t="s">
        <v>2604</v>
      </c>
      <c r="C515" s="14" t="s">
        <v>1201</v>
      </c>
      <c r="D515" s="14" t="s">
        <v>3611</v>
      </c>
      <c r="E515" s="14" t="s">
        <v>2955</v>
      </c>
      <c r="F515" s="14" t="s">
        <v>3645</v>
      </c>
      <c r="G515" s="14" t="s">
        <v>1014</v>
      </c>
      <c r="H515" s="14" t="s">
        <v>1203</v>
      </c>
      <c r="I515" s="14"/>
      <c r="J515" s="14" t="s">
        <v>1016</v>
      </c>
      <c r="K515" s="14"/>
      <c r="L515" s="14" t="s">
        <v>1204</v>
      </c>
      <c r="M515" s="14" t="s">
        <v>1017</v>
      </c>
      <c r="N515" s="14" t="s">
        <v>1205</v>
      </c>
    </row>
    <row r="516" spans="1:14" ht="29" x14ac:dyDescent="0.35">
      <c r="A516" s="14" t="s">
        <v>57</v>
      </c>
      <c r="B516" s="14" t="s">
        <v>2637</v>
      </c>
      <c r="C516" s="14" t="s">
        <v>1201</v>
      </c>
      <c r="D516" s="14" t="s">
        <v>3611</v>
      </c>
      <c r="E516" s="14" t="s">
        <v>2955</v>
      </c>
      <c r="F516" s="14" t="s">
        <v>3678</v>
      </c>
      <c r="G516" s="14" t="s">
        <v>1014</v>
      </c>
      <c r="H516" s="14" t="s">
        <v>1203</v>
      </c>
      <c r="I516" s="14"/>
      <c r="J516" s="14" t="s">
        <v>1016</v>
      </c>
      <c r="K516" s="14"/>
      <c r="L516" s="14" t="s">
        <v>1204</v>
      </c>
      <c r="M516" s="14" t="s">
        <v>1017</v>
      </c>
      <c r="N516" s="14" t="s">
        <v>1205</v>
      </c>
    </row>
    <row r="517" spans="1:14" ht="29" x14ac:dyDescent="0.35">
      <c r="A517" s="14" t="s">
        <v>57</v>
      </c>
      <c r="B517" s="14" t="s">
        <v>2682</v>
      </c>
      <c r="C517" s="14" t="s">
        <v>1201</v>
      </c>
      <c r="D517" s="14" t="s">
        <v>3611</v>
      </c>
      <c r="E517" s="14" t="s">
        <v>2955</v>
      </c>
      <c r="F517" s="14" t="s">
        <v>3624</v>
      </c>
      <c r="G517" s="14" t="s">
        <v>1014</v>
      </c>
      <c r="H517" s="14" t="s">
        <v>1203</v>
      </c>
      <c r="I517" s="14"/>
      <c r="J517" s="14" t="s">
        <v>1016</v>
      </c>
      <c r="K517" s="14"/>
      <c r="L517" s="14" t="s">
        <v>1204</v>
      </c>
      <c r="M517" s="14" t="s">
        <v>1017</v>
      </c>
      <c r="N517" s="14" t="s">
        <v>1205</v>
      </c>
    </row>
    <row r="518" spans="1:14" ht="29" x14ac:dyDescent="0.35">
      <c r="A518" s="14" t="s">
        <v>57</v>
      </c>
      <c r="B518" s="14" t="s">
        <v>2714</v>
      </c>
      <c r="C518" s="14" t="s">
        <v>1227</v>
      </c>
      <c r="D518" s="14" t="s">
        <v>3332</v>
      </c>
      <c r="E518" s="14" t="s">
        <v>2897</v>
      </c>
      <c r="F518" s="14" t="s">
        <v>3679</v>
      </c>
      <c r="G518" s="14" t="s">
        <v>1014</v>
      </c>
      <c r="H518" s="14" t="s">
        <v>1015</v>
      </c>
      <c r="I518" s="14"/>
      <c r="J518" s="14" t="s">
        <v>1016</v>
      </c>
      <c r="K518" s="14"/>
      <c r="L518" s="14" t="s">
        <v>1229</v>
      </c>
      <c r="M518" s="14" t="s">
        <v>1017</v>
      </c>
      <c r="N518" s="14" t="s">
        <v>1230</v>
      </c>
    </row>
    <row r="519" spans="1:14" ht="29" x14ac:dyDescent="0.35">
      <c r="A519" s="14" t="s">
        <v>57</v>
      </c>
      <c r="B519" s="14" t="s">
        <v>2744</v>
      </c>
      <c r="C519" s="14" t="s">
        <v>1201</v>
      </c>
      <c r="D519" s="14" t="s">
        <v>3611</v>
      </c>
      <c r="E519" s="14" t="s">
        <v>2955</v>
      </c>
      <c r="F519" s="14" t="s">
        <v>3612</v>
      </c>
      <c r="G519" s="14" t="s">
        <v>1014</v>
      </c>
      <c r="H519" s="14" t="s">
        <v>1203</v>
      </c>
      <c r="I519" s="14"/>
      <c r="J519" s="14" t="s">
        <v>1016</v>
      </c>
      <c r="K519" s="14"/>
      <c r="L519" s="14" t="s">
        <v>1204</v>
      </c>
      <c r="M519" s="14" t="s">
        <v>1017</v>
      </c>
      <c r="N519" s="14" t="s">
        <v>1205</v>
      </c>
    </row>
    <row r="520" spans="1:14" ht="43.5" x14ac:dyDescent="0.35">
      <c r="A520" s="14" t="s">
        <v>23</v>
      </c>
      <c r="B520" s="14" t="s">
        <v>1008</v>
      </c>
      <c r="C520" s="14" t="s">
        <v>1012</v>
      </c>
      <c r="D520" s="14" t="s">
        <v>3680</v>
      </c>
      <c r="E520" s="14" t="s">
        <v>3681</v>
      </c>
      <c r="F520" s="14" t="s">
        <v>3682</v>
      </c>
      <c r="G520" s="14" t="s">
        <v>1014</v>
      </c>
      <c r="H520" s="14" t="s">
        <v>1015</v>
      </c>
      <c r="I520" s="14"/>
      <c r="J520" s="14" t="s">
        <v>1016</v>
      </c>
      <c r="K520" s="14"/>
      <c r="L520" s="14" t="s">
        <v>262</v>
      </c>
      <c r="M520" s="14" t="s">
        <v>1017</v>
      </c>
      <c r="N520" s="14" t="s">
        <v>1018</v>
      </c>
    </row>
    <row r="521" spans="1:14" ht="43.5" x14ac:dyDescent="0.35">
      <c r="A521" s="14" t="s">
        <v>23</v>
      </c>
      <c r="B521" s="14" t="s">
        <v>1008</v>
      </c>
      <c r="C521" s="14" t="s">
        <v>1012</v>
      </c>
      <c r="D521" s="14" t="s">
        <v>3683</v>
      </c>
      <c r="E521" s="14" t="s">
        <v>3684</v>
      </c>
      <c r="F521" s="14" t="s">
        <v>3685</v>
      </c>
      <c r="G521" s="14" t="s">
        <v>1014</v>
      </c>
      <c r="H521" s="14" t="s">
        <v>1015</v>
      </c>
      <c r="I521" s="14"/>
      <c r="J521" s="14" t="s">
        <v>1016</v>
      </c>
      <c r="K521" s="14"/>
      <c r="L521" s="14" t="s">
        <v>262</v>
      </c>
      <c r="M521" s="14" t="s">
        <v>1017</v>
      </c>
      <c r="N521" s="14" t="s">
        <v>1018</v>
      </c>
    </row>
    <row r="522" spans="1:14" ht="43.5" x14ac:dyDescent="0.35">
      <c r="A522" s="14" t="s">
        <v>23</v>
      </c>
      <c r="B522" s="14" t="s">
        <v>1008</v>
      </c>
      <c r="C522" s="14" t="s">
        <v>1012</v>
      </c>
      <c r="D522" s="14" t="s">
        <v>3686</v>
      </c>
      <c r="E522" s="14" t="s">
        <v>3687</v>
      </c>
      <c r="F522" s="14" t="s">
        <v>3688</v>
      </c>
      <c r="G522" s="14" t="s">
        <v>1014</v>
      </c>
      <c r="H522" s="14" t="s">
        <v>1015</v>
      </c>
      <c r="I522" s="14"/>
      <c r="J522" s="14" t="s">
        <v>1016</v>
      </c>
      <c r="K522" s="14"/>
      <c r="L522" s="14" t="s">
        <v>262</v>
      </c>
      <c r="M522" s="14" t="s">
        <v>1017</v>
      </c>
      <c r="N522" s="14" t="s">
        <v>1018</v>
      </c>
    </row>
    <row r="523" spans="1:14" ht="43.5" x14ac:dyDescent="0.35">
      <c r="A523" s="14" t="s">
        <v>23</v>
      </c>
      <c r="B523" s="14" t="s">
        <v>1008</v>
      </c>
      <c r="C523" s="14" t="s">
        <v>1012</v>
      </c>
      <c r="D523" s="14" t="s">
        <v>3689</v>
      </c>
      <c r="E523" s="14" t="s">
        <v>3690</v>
      </c>
      <c r="F523" s="14" t="s">
        <v>3691</v>
      </c>
      <c r="G523" s="14" t="s">
        <v>1014</v>
      </c>
      <c r="H523" s="14" t="s">
        <v>1015</v>
      </c>
      <c r="I523" s="14"/>
      <c r="J523" s="14" t="s">
        <v>1016</v>
      </c>
      <c r="K523" s="14"/>
      <c r="L523" s="14" t="s">
        <v>262</v>
      </c>
      <c r="M523" s="14" t="s">
        <v>1017</v>
      </c>
      <c r="N523" s="14" t="s">
        <v>1018</v>
      </c>
    </row>
    <row r="524" spans="1:14" ht="43.5" x14ac:dyDescent="0.35">
      <c r="A524" s="14" t="s">
        <v>23</v>
      </c>
      <c r="B524" s="14" t="s">
        <v>1008</v>
      </c>
      <c r="C524" s="14" t="s">
        <v>1012</v>
      </c>
      <c r="D524" s="14" t="s">
        <v>3692</v>
      </c>
      <c r="E524" s="14" t="s">
        <v>3693</v>
      </c>
      <c r="F524" s="14" t="s">
        <v>3694</v>
      </c>
      <c r="G524" s="14" t="s">
        <v>1014</v>
      </c>
      <c r="H524" s="14" t="s">
        <v>1015</v>
      </c>
      <c r="I524" s="14" t="s">
        <v>75</v>
      </c>
      <c r="J524" s="14" t="s">
        <v>1016</v>
      </c>
      <c r="K524" s="14"/>
      <c r="L524" s="14" t="s">
        <v>262</v>
      </c>
      <c r="M524" s="14" t="s">
        <v>1017</v>
      </c>
      <c r="N524" s="14" t="s">
        <v>1018</v>
      </c>
    </row>
    <row r="525" spans="1:14" ht="43.5" x14ac:dyDescent="0.35">
      <c r="A525" s="14" t="s">
        <v>23</v>
      </c>
      <c r="B525" s="14" t="s">
        <v>1118</v>
      </c>
      <c r="C525" s="14" t="s">
        <v>1012</v>
      </c>
      <c r="D525" s="14" t="s">
        <v>3695</v>
      </c>
      <c r="E525" s="14" t="s">
        <v>3696</v>
      </c>
      <c r="F525" s="14" t="s">
        <v>3697</v>
      </c>
      <c r="G525" s="14" t="s">
        <v>1014</v>
      </c>
      <c r="H525" s="14" t="s">
        <v>1015</v>
      </c>
      <c r="I525" s="14"/>
      <c r="J525" s="14" t="s">
        <v>1016</v>
      </c>
      <c r="K525" s="14"/>
      <c r="L525" s="14" t="s">
        <v>262</v>
      </c>
      <c r="M525" s="14" t="s">
        <v>1017</v>
      </c>
      <c r="N525" s="14" t="s">
        <v>1018</v>
      </c>
    </row>
    <row r="526" spans="1:14" ht="43.5" x14ac:dyDescent="0.35">
      <c r="A526" s="14" t="s">
        <v>23</v>
      </c>
      <c r="B526" s="14" t="s">
        <v>1118</v>
      </c>
      <c r="C526" s="14" t="s">
        <v>1012</v>
      </c>
      <c r="D526" s="14" t="s">
        <v>3698</v>
      </c>
      <c r="E526" s="14" t="s">
        <v>3699</v>
      </c>
      <c r="F526" s="14" t="s">
        <v>3700</v>
      </c>
      <c r="G526" s="14" t="s">
        <v>1014</v>
      </c>
      <c r="H526" s="14" t="s">
        <v>1015</v>
      </c>
      <c r="I526" s="14"/>
      <c r="J526" s="14" t="s">
        <v>1016</v>
      </c>
      <c r="K526" s="14"/>
      <c r="L526" s="14" t="s">
        <v>262</v>
      </c>
      <c r="M526" s="14" t="s">
        <v>1017</v>
      </c>
      <c r="N526" s="14" t="s">
        <v>1018</v>
      </c>
    </row>
    <row r="527" spans="1:14" ht="43.5" x14ac:dyDescent="0.35">
      <c r="A527" s="14" t="s">
        <v>23</v>
      </c>
      <c r="B527" s="14" t="s">
        <v>1118</v>
      </c>
      <c r="C527" s="14" t="s">
        <v>1012</v>
      </c>
      <c r="D527" s="14" t="s">
        <v>3701</v>
      </c>
      <c r="E527" s="14" t="s">
        <v>3702</v>
      </c>
      <c r="F527" s="14" t="s">
        <v>3703</v>
      </c>
      <c r="G527" s="14" t="s">
        <v>1014</v>
      </c>
      <c r="H527" s="14" t="s">
        <v>1015</v>
      </c>
      <c r="I527" s="14"/>
      <c r="J527" s="14" t="s">
        <v>1016</v>
      </c>
      <c r="K527" s="14"/>
      <c r="L527" s="14" t="s">
        <v>262</v>
      </c>
      <c r="M527" s="14" t="s">
        <v>1017</v>
      </c>
      <c r="N527" s="14" t="s">
        <v>1018</v>
      </c>
    </row>
    <row r="528" spans="1:14" ht="43.5" x14ac:dyDescent="0.35">
      <c r="A528" s="14" t="s">
        <v>23</v>
      </c>
      <c r="B528" s="14" t="s">
        <v>1121</v>
      </c>
      <c r="C528" s="14" t="s">
        <v>1012</v>
      </c>
      <c r="D528" s="14" t="s">
        <v>3599</v>
      </c>
      <c r="E528" s="14" t="s">
        <v>3704</v>
      </c>
      <c r="F528" s="14" t="s">
        <v>3705</v>
      </c>
      <c r="G528" s="14" t="s">
        <v>1014</v>
      </c>
      <c r="H528" s="14" t="s">
        <v>1015</v>
      </c>
      <c r="I528" s="14"/>
      <c r="J528" s="14" t="s">
        <v>1016</v>
      </c>
      <c r="K528" s="14"/>
      <c r="L528" s="14" t="s">
        <v>262</v>
      </c>
      <c r="M528" s="14" t="s">
        <v>1017</v>
      </c>
      <c r="N528" s="14" t="s">
        <v>1018</v>
      </c>
    </row>
    <row r="529" spans="1:14" ht="43.5" x14ac:dyDescent="0.35">
      <c r="A529" s="14" t="s">
        <v>23</v>
      </c>
      <c r="B529" s="14" t="s">
        <v>2049</v>
      </c>
      <c r="C529" s="14" t="s">
        <v>1012</v>
      </c>
      <c r="D529" s="14" t="s">
        <v>3706</v>
      </c>
      <c r="E529" s="14" t="s">
        <v>3707</v>
      </c>
      <c r="F529" s="14" t="s">
        <v>3697</v>
      </c>
      <c r="G529" s="14" t="s">
        <v>1014</v>
      </c>
      <c r="H529" s="14" t="s">
        <v>1015</v>
      </c>
      <c r="I529" s="14"/>
      <c r="J529" s="14" t="s">
        <v>1016</v>
      </c>
      <c r="K529" s="14"/>
      <c r="L529" s="14" t="s">
        <v>262</v>
      </c>
      <c r="M529" s="14" t="s">
        <v>1017</v>
      </c>
      <c r="N529" s="14" t="s">
        <v>1018</v>
      </c>
    </row>
    <row r="530" spans="1:14" ht="43.5" x14ac:dyDescent="0.35">
      <c r="A530" s="14" t="s">
        <v>23</v>
      </c>
      <c r="B530" s="14" t="s">
        <v>2049</v>
      </c>
      <c r="C530" s="14" t="s">
        <v>1012</v>
      </c>
      <c r="D530" s="14" t="s">
        <v>3708</v>
      </c>
      <c r="E530" s="14" t="s">
        <v>3709</v>
      </c>
      <c r="F530" s="14" t="s">
        <v>3700</v>
      </c>
      <c r="G530" s="14" t="s">
        <v>1014</v>
      </c>
      <c r="H530" s="14" t="s">
        <v>1015</v>
      </c>
      <c r="I530" s="14"/>
      <c r="J530" s="14" t="s">
        <v>1016</v>
      </c>
      <c r="K530" s="14"/>
      <c r="L530" s="14" t="s">
        <v>262</v>
      </c>
      <c r="M530" s="14" t="s">
        <v>1017</v>
      </c>
      <c r="N530" s="14" t="s">
        <v>1018</v>
      </c>
    </row>
    <row r="531" spans="1:14" ht="43.5" x14ac:dyDescent="0.35">
      <c r="A531" s="14" t="s">
        <v>23</v>
      </c>
      <c r="B531" s="14" t="s">
        <v>2049</v>
      </c>
      <c r="C531" s="14" t="s">
        <v>1012</v>
      </c>
      <c r="D531" s="14" t="s">
        <v>3710</v>
      </c>
      <c r="E531" s="14" t="s">
        <v>3711</v>
      </c>
      <c r="F531" s="14" t="s">
        <v>3712</v>
      </c>
      <c r="G531" s="14" t="s">
        <v>1014</v>
      </c>
      <c r="H531" s="14" t="s">
        <v>1015</v>
      </c>
      <c r="I531" s="14"/>
      <c r="J531" s="14" t="s">
        <v>1016</v>
      </c>
      <c r="K531" s="14"/>
      <c r="L531" s="14" t="s">
        <v>262</v>
      </c>
      <c r="M531" s="14" t="s">
        <v>1017</v>
      </c>
      <c r="N531" s="14" t="s">
        <v>1018</v>
      </c>
    </row>
    <row r="532" spans="1:14" ht="43.5" x14ac:dyDescent="0.35">
      <c r="A532" s="14" t="s">
        <v>23</v>
      </c>
      <c r="B532" s="14" t="s">
        <v>2049</v>
      </c>
      <c r="C532" s="14" t="s">
        <v>1012</v>
      </c>
      <c r="D532" s="14" t="s">
        <v>3713</v>
      </c>
      <c r="E532" s="14" t="s">
        <v>3714</v>
      </c>
      <c r="F532" s="14" t="s">
        <v>3715</v>
      </c>
      <c r="G532" s="14" t="s">
        <v>1014</v>
      </c>
      <c r="H532" s="14" t="s">
        <v>1015</v>
      </c>
      <c r="I532" s="14"/>
      <c r="J532" s="14" t="s">
        <v>1016</v>
      </c>
      <c r="K532" s="14"/>
      <c r="L532" s="14" t="s">
        <v>262</v>
      </c>
      <c r="M532" s="14" t="s">
        <v>1017</v>
      </c>
      <c r="N532" s="14" t="s">
        <v>1018</v>
      </c>
    </row>
    <row r="533" spans="1:14" ht="43.5" x14ac:dyDescent="0.35">
      <c r="A533" s="14" t="s">
        <v>23</v>
      </c>
      <c r="B533" s="14" t="s">
        <v>2049</v>
      </c>
      <c r="C533" s="14" t="s">
        <v>1012</v>
      </c>
      <c r="D533" s="14" t="s">
        <v>2759</v>
      </c>
      <c r="E533" s="14" t="s">
        <v>2760</v>
      </c>
      <c r="F533" s="14" t="s">
        <v>3716</v>
      </c>
      <c r="G533" s="14" t="s">
        <v>1014</v>
      </c>
      <c r="H533" s="14" t="s">
        <v>1015</v>
      </c>
      <c r="I533" s="14"/>
      <c r="J533" s="14" t="s">
        <v>1016</v>
      </c>
      <c r="K533" s="14"/>
      <c r="L533" s="14" t="s">
        <v>262</v>
      </c>
      <c r="M533" s="14" t="s">
        <v>1017</v>
      </c>
      <c r="N533" s="14" t="s">
        <v>1018</v>
      </c>
    </row>
    <row r="534" spans="1:14" ht="43.5" x14ac:dyDescent="0.35">
      <c r="A534" s="14" t="s">
        <v>23</v>
      </c>
      <c r="B534" s="14" t="s">
        <v>2170</v>
      </c>
      <c r="C534" s="14" t="s">
        <v>1012</v>
      </c>
      <c r="D534" s="14" t="s">
        <v>3717</v>
      </c>
      <c r="E534" s="14" t="s">
        <v>3718</v>
      </c>
      <c r="F534" s="14" t="s">
        <v>3719</v>
      </c>
      <c r="G534" s="14" t="s">
        <v>1014</v>
      </c>
      <c r="H534" s="14" t="s">
        <v>1015</v>
      </c>
      <c r="I534" s="14"/>
      <c r="J534" s="14" t="s">
        <v>1016</v>
      </c>
      <c r="K534" s="14"/>
      <c r="L534" s="14" t="s">
        <v>262</v>
      </c>
      <c r="M534" s="14" t="s">
        <v>1017</v>
      </c>
      <c r="N534" s="14" t="s">
        <v>1018</v>
      </c>
    </row>
    <row r="535" spans="1:14" ht="43.5" x14ac:dyDescent="0.35">
      <c r="A535" s="14" t="s">
        <v>23</v>
      </c>
      <c r="B535" s="14" t="s">
        <v>2170</v>
      </c>
      <c r="C535" s="14" t="s">
        <v>1012</v>
      </c>
      <c r="D535" s="14" t="s">
        <v>3720</v>
      </c>
      <c r="E535" s="14" t="s">
        <v>3721</v>
      </c>
      <c r="F535" s="14" t="s">
        <v>3722</v>
      </c>
      <c r="G535" s="14" t="s">
        <v>1014</v>
      </c>
      <c r="H535" s="14" t="s">
        <v>1015</v>
      </c>
      <c r="I535" s="14"/>
      <c r="J535" s="14" t="s">
        <v>1016</v>
      </c>
      <c r="K535" s="14"/>
      <c r="L535" s="14" t="s">
        <v>262</v>
      </c>
      <c r="M535" s="14" t="s">
        <v>1017</v>
      </c>
      <c r="N535" s="14" t="s">
        <v>1018</v>
      </c>
    </row>
    <row r="536" spans="1:14" ht="43.5" x14ac:dyDescent="0.35">
      <c r="A536" s="14" t="s">
        <v>23</v>
      </c>
      <c r="B536" s="14" t="s">
        <v>2170</v>
      </c>
      <c r="C536" s="14" t="s">
        <v>1012</v>
      </c>
      <c r="D536" s="14" t="s">
        <v>3723</v>
      </c>
      <c r="E536" s="14" t="s">
        <v>3724</v>
      </c>
      <c r="F536" s="14" t="s">
        <v>3725</v>
      </c>
      <c r="G536" s="14" t="s">
        <v>1014</v>
      </c>
      <c r="H536" s="14" t="s">
        <v>1015</v>
      </c>
      <c r="I536" s="14"/>
      <c r="J536" s="14" t="s">
        <v>1016</v>
      </c>
      <c r="K536" s="14"/>
      <c r="L536" s="14" t="s">
        <v>262</v>
      </c>
      <c r="M536" s="14" t="s">
        <v>1017</v>
      </c>
      <c r="N536" s="14" t="s">
        <v>1018</v>
      </c>
    </row>
    <row r="537" spans="1:14" ht="43.5" x14ac:dyDescent="0.35">
      <c r="A537" s="14" t="s">
        <v>23</v>
      </c>
      <c r="B537" s="14" t="s">
        <v>2170</v>
      </c>
      <c r="C537" s="14" t="s">
        <v>1012</v>
      </c>
      <c r="D537" s="14" t="s">
        <v>3726</v>
      </c>
      <c r="E537" s="14" t="s">
        <v>3727</v>
      </c>
      <c r="F537" s="14" t="s">
        <v>3728</v>
      </c>
      <c r="G537" s="14" t="s">
        <v>1014</v>
      </c>
      <c r="H537" s="14" t="s">
        <v>1015</v>
      </c>
      <c r="I537" s="14" t="s">
        <v>75</v>
      </c>
      <c r="J537" s="14" t="s">
        <v>1016</v>
      </c>
      <c r="K537" s="14"/>
      <c r="L537" s="14" t="s">
        <v>262</v>
      </c>
      <c r="M537" s="14" t="s">
        <v>1017</v>
      </c>
      <c r="N537" s="14" t="s">
        <v>1018</v>
      </c>
    </row>
    <row r="538" spans="1:14" ht="43.5" x14ac:dyDescent="0.35">
      <c r="A538" s="14" t="s">
        <v>23</v>
      </c>
      <c r="B538" s="14" t="s">
        <v>2590</v>
      </c>
      <c r="C538" s="14" t="s">
        <v>1012</v>
      </c>
      <c r="D538" s="14" t="s">
        <v>3680</v>
      </c>
      <c r="E538" s="14" t="s">
        <v>3681</v>
      </c>
      <c r="F538" s="14" t="s">
        <v>3719</v>
      </c>
      <c r="G538" s="14" t="s">
        <v>1014</v>
      </c>
      <c r="H538" s="14" t="s">
        <v>1015</v>
      </c>
      <c r="I538" s="14"/>
      <c r="J538" s="14" t="s">
        <v>1016</v>
      </c>
      <c r="K538" s="14"/>
      <c r="L538" s="14" t="s">
        <v>262</v>
      </c>
      <c r="M538" s="14" t="s">
        <v>1017</v>
      </c>
      <c r="N538" s="14" t="s">
        <v>1018</v>
      </c>
    </row>
    <row r="539" spans="1:14" ht="43.5" x14ac:dyDescent="0.35">
      <c r="A539" s="14" t="s">
        <v>23</v>
      </c>
      <c r="B539" s="14" t="s">
        <v>2590</v>
      </c>
      <c r="C539" s="14" t="s">
        <v>1012</v>
      </c>
      <c r="D539" s="14" t="s">
        <v>3683</v>
      </c>
      <c r="E539" s="14" t="s">
        <v>3684</v>
      </c>
      <c r="F539" s="14" t="s">
        <v>3685</v>
      </c>
      <c r="G539" s="14" t="s">
        <v>1014</v>
      </c>
      <c r="H539" s="14" t="s">
        <v>1015</v>
      </c>
      <c r="I539" s="14"/>
      <c r="J539" s="14" t="s">
        <v>1016</v>
      </c>
      <c r="K539" s="14"/>
      <c r="L539" s="14" t="s">
        <v>262</v>
      </c>
      <c r="M539" s="14" t="s">
        <v>1017</v>
      </c>
      <c r="N539" s="14" t="s">
        <v>1018</v>
      </c>
    </row>
    <row r="540" spans="1:14" ht="43.5" x14ac:dyDescent="0.35">
      <c r="A540" s="14" t="s">
        <v>23</v>
      </c>
      <c r="B540" s="14" t="s">
        <v>2590</v>
      </c>
      <c r="C540" s="14" t="s">
        <v>1012</v>
      </c>
      <c r="D540" s="14" t="s">
        <v>3729</v>
      </c>
      <c r="E540" s="14" t="s">
        <v>3730</v>
      </c>
      <c r="F540" s="14" t="s">
        <v>3731</v>
      </c>
      <c r="G540" s="14" t="s">
        <v>1014</v>
      </c>
      <c r="H540" s="14" t="s">
        <v>1015</v>
      </c>
      <c r="I540" s="14"/>
      <c r="J540" s="14" t="s">
        <v>1016</v>
      </c>
      <c r="K540" s="14"/>
      <c r="L540" s="14" t="s">
        <v>262</v>
      </c>
      <c r="M540" s="14" t="s">
        <v>1017</v>
      </c>
      <c r="N540" s="14" t="s">
        <v>1018</v>
      </c>
    </row>
    <row r="541" spans="1:14" ht="43.5" x14ac:dyDescent="0.35">
      <c r="A541" s="14" t="s">
        <v>23</v>
      </c>
      <c r="B541" s="14" t="s">
        <v>2590</v>
      </c>
      <c r="C541" s="14" t="s">
        <v>1012</v>
      </c>
      <c r="D541" s="14" t="s">
        <v>3732</v>
      </c>
      <c r="E541" s="14" t="s">
        <v>3733</v>
      </c>
      <c r="F541" s="14" t="s">
        <v>3688</v>
      </c>
      <c r="G541" s="14" t="s">
        <v>1014</v>
      </c>
      <c r="H541" s="14" t="s">
        <v>1015</v>
      </c>
      <c r="I541" s="14"/>
      <c r="J541" s="14" t="s">
        <v>1016</v>
      </c>
      <c r="K541" s="14"/>
      <c r="L541" s="14" t="s">
        <v>262</v>
      </c>
      <c r="M541" s="14" t="s">
        <v>1017</v>
      </c>
      <c r="N541" s="14" t="s">
        <v>1018</v>
      </c>
    </row>
    <row r="542" spans="1:14" ht="43.5" x14ac:dyDescent="0.35">
      <c r="A542" s="14" t="s">
        <v>23</v>
      </c>
      <c r="B542" s="14" t="s">
        <v>2590</v>
      </c>
      <c r="C542" s="14" t="s">
        <v>1012</v>
      </c>
      <c r="D542" s="14" t="s">
        <v>3689</v>
      </c>
      <c r="E542" s="14" t="s">
        <v>3690</v>
      </c>
      <c r="F542" s="14" t="s">
        <v>3691</v>
      </c>
      <c r="G542" s="14" t="s">
        <v>1014</v>
      </c>
      <c r="H542" s="14" t="s">
        <v>1015</v>
      </c>
      <c r="I542" s="14"/>
      <c r="J542" s="14" t="s">
        <v>1016</v>
      </c>
      <c r="K542" s="14"/>
      <c r="L542" s="14" t="s">
        <v>262</v>
      </c>
      <c r="M542" s="14" t="s">
        <v>1017</v>
      </c>
      <c r="N542" s="14" t="s">
        <v>1018</v>
      </c>
    </row>
    <row r="543" spans="1:14" ht="43.5" x14ac:dyDescent="0.35">
      <c r="A543" s="14" t="s">
        <v>23</v>
      </c>
      <c r="B543" s="14" t="s">
        <v>2590</v>
      </c>
      <c r="C543" s="14" t="s">
        <v>1012</v>
      </c>
      <c r="D543" s="14" t="s">
        <v>3692</v>
      </c>
      <c r="E543" s="14" t="s">
        <v>3693</v>
      </c>
      <c r="F543" s="14" t="s">
        <v>3694</v>
      </c>
      <c r="G543" s="14" t="s">
        <v>1014</v>
      </c>
      <c r="H543" s="14" t="s">
        <v>1015</v>
      </c>
      <c r="I543" s="14" t="s">
        <v>75</v>
      </c>
      <c r="J543" s="14" t="s">
        <v>1016</v>
      </c>
      <c r="K543" s="14"/>
      <c r="L543" s="14" t="s">
        <v>262</v>
      </c>
      <c r="M543" s="14" t="s">
        <v>1017</v>
      </c>
      <c r="N543" s="14" t="s">
        <v>1018</v>
      </c>
    </row>
    <row r="544" spans="1:14" ht="43.5" x14ac:dyDescent="0.35">
      <c r="A544" s="14" t="s">
        <v>23</v>
      </c>
      <c r="B544" s="14" t="s">
        <v>2729</v>
      </c>
      <c r="C544" s="14" t="s">
        <v>1012</v>
      </c>
      <c r="D544" s="14" t="s">
        <v>3565</v>
      </c>
      <c r="E544" s="14" t="s">
        <v>3734</v>
      </c>
      <c r="F544" s="14" t="s">
        <v>3697</v>
      </c>
      <c r="G544" s="14" t="s">
        <v>1014</v>
      </c>
      <c r="H544" s="14" t="s">
        <v>1015</v>
      </c>
      <c r="I544" s="14"/>
      <c r="J544" s="14" t="s">
        <v>1016</v>
      </c>
      <c r="K544" s="14"/>
      <c r="L544" s="14" t="s">
        <v>262</v>
      </c>
      <c r="M544" s="14" t="s">
        <v>1017</v>
      </c>
      <c r="N544" s="14" t="s">
        <v>1018</v>
      </c>
    </row>
    <row r="545" spans="1:14" ht="43.5" x14ac:dyDescent="0.35">
      <c r="A545" s="14" t="s">
        <v>23</v>
      </c>
      <c r="B545" s="14" t="s">
        <v>2729</v>
      </c>
      <c r="C545" s="14" t="s">
        <v>1012</v>
      </c>
      <c r="D545" s="14" t="s">
        <v>3681</v>
      </c>
      <c r="E545" s="14" t="s">
        <v>3735</v>
      </c>
      <c r="F545" s="14" t="s">
        <v>3700</v>
      </c>
      <c r="G545" s="14" t="s">
        <v>1014</v>
      </c>
      <c r="H545" s="14" t="s">
        <v>1015</v>
      </c>
      <c r="I545" s="14"/>
      <c r="J545" s="14" t="s">
        <v>1016</v>
      </c>
      <c r="K545" s="14"/>
      <c r="L545" s="14" t="s">
        <v>262</v>
      </c>
      <c r="M545" s="14" t="s">
        <v>1017</v>
      </c>
      <c r="N545" s="14" t="s">
        <v>1018</v>
      </c>
    </row>
    <row r="546" spans="1:14" ht="43.5" x14ac:dyDescent="0.35">
      <c r="A546" s="14" t="s">
        <v>23</v>
      </c>
      <c r="B546" s="14" t="s">
        <v>2729</v>
      </c>
      <c r="C546" s="14" t="s">
        <v>1012</v>
      </c>
      <c r="D546" s="14" t="s">
        <v>3736</v>
      </c>
      <c r="E546" s="14" t="s">
        <v>3121</v>
      </c>
      <c r="F546" s="14" t="s">
        <v>3703</v>
      </c>
      <c r="G546" s="14" t="s">
        <v>1014</v>
      </c>
      <c r="H546" s="14" t="s">
        <v>1015</v>
      </c>
      <c r="I546" s="14"/>
      <c r="J546" s="14" t="s">
        <v>1016</v>
      </c>
      <c r="K546" s="14"/>
      <c r="L546" s="14" t="s">
        <v>262</v>
      </c>
      <c r="M546" s="14" t="s">
        <v>1017</v>
      </c>
      <c r="N546" s="14" t="s">
        <v>1018</v>
      </c>
    </row>
    <row r="547" spans="1:14" ht="43.5" x14ac:dyDescent="0.35">
      <c r="A547" s="14" t="s">
        <v>23</v>
      </c>
      <c r="B547" s="14" t="s">
        <v>2729</v>
      </c>
      <c r="C547" s="14" t="s">
        <v>1012</v>
      </c>
      <c r="D547" s="14" t="s">
        <v>3737</v>
      </c>
      <c r="E547" s="14" t="s">
        <v>3738</v>
      </c>
      <c r="F547" s="14" t="s">
        <v>3715</v>
      </c>
      <c r="G547" s="14" t="s">
        <v>1014</v>
      </c>
      <c r="H547" s="14" t="s">
        <v>1015</v>
      </c>
      <c r="I547" s="14"/>
      <c r="J547" s="14" t="s">
        <v>1016</v>
      </c>
      <c r="K547" s="14"/>
      <c r="L547" s="14" t="s">
        <v>262</v>
      </c>
      <c r="M547" s="14" t="s">
        <v>1017</v>
      </c>
      <c r="N547" s="14" t="s">
        <v>1018</v>
      </c>
    </row>
    <row r="548" spans="1:14" ht="43.5" x14ac:dyDescent="0.35">
      <c r="A548" s="14" t="s">
        <v>23</v>
      </c>
      <c r="B548" s="14" t="s">
        <v>2729</v>
      </c>
      <c r="C548" s="14" t="s">
        <v>1012</v>
      </c>
      <c r="D548" s="14" t="s">
        <v>3739</v>
      </c>
      <c r="E548" s="14" t="s">
        <v>3740</v>
      </c>
      <c r="F548" s="14" t="s">
        <v>3741</v>
      </c>
      <c r="G548" s="14" t="s">
        <v>1014</v>
      </c>
      <c r="H548" s="14" t="s">
        <v>1015</v>
      </c>
      <c r="I548" s="14"/>
      <c r="J548" s="14" t="s">
        <v>1016</v>
      </c>
      <c r="K548" s="14"/>
      <c r="L548" s="14" t="s">
        <v>262</v>
      </c>
      <c r="M548" s="14" t="s">
        <v>1017</v>
      </c>
      <c r="N548" s="14" t="s">
        <v>1018</v>
      </c>
    </row>
    <row r="549" spans="1:14" ht="43.5" x14ac:dyDescent="0.35">
      <c r="A549" s="14" t="s">
        <v>23</v>
      </c>
      <c r="B549" s="14" t="s">
        <v>2729</v>
      </c>
      <c r="C549" s="14" t="s">
        <v>1012</v>
      </c>
      <c r="D549" s="14" t="s">
        <v>3742</v>
      </c>
      <c r="E549" s="14" t="s">
        <v>3743</v>
      </c>
      <c r="F549" s="14" t="s">
        <v>3744</v>
      </c>
      <c r="G549" s="14" t="s">
        <v>1014</v>
      </c>
      <c r="H549" s="14" t="s">
        <v>1015</v>
      </c>
      <c r="I549" s="14"/>
      <c r="J549" s="14" t="s">
        <v>1016</v>
      </c>
      <c r="K549" s="14"/>
      <c r="L549" s="14" t="s">
        <v>262</v>
      </c>
      <c r="M549" s="14" t="s">
        <v>1017</v>
      </c>
      <c r="N549" s="14" t="s">
        <v>1018</v>
      </c>
    </row>
    <row r="550" spans="1:14" ht="29" x14ac:dyDescent="0.35">
      <c r="A550" s="14" t="s">
        <v>261</v>
      </c>
      <c r="B550" s="14" t="s">
        <v>1625</v>
      </c>
      <c r="C550" s="14" t="s">
        <v>1626</v>
      </c>
      <c r="D550" s="14" t="s">
        <v>3745</v>
      </c>
      <c r="E550" s="14" t="s">
        <v>3674</v>
      </c>
      <c r="F550" s="14" t="s">
        <v>3746</v>
      </c>
      <c r="G550" s="14" t="s">
        <v>1014</v>
      </c>
      <c r="H550" s="14" t="s">
        <v>1015</v>
      </c>
      <c r="I550" s="14" t="s">
        <v>262</v>
      </c>
      <c r="J550" s="14" t="s">
        <v>1016</v>
      </c>
      <c r="K550" s="14"/>
      <c r="L550" s="14" t="s">
        <v>1628</v>
      </c>
      <c r="M550" s="14" t="s">
        <v>1017</v>
      </c>
      <c r="N550" s="14" t="s">
        <v>1629</v>
      </c>
    </row>
    <row r="551" spans="1:14" ht="29" x14ac:dyDescent="0.35">
      <c r="A551" s="14" t="s">
        <v>261</v>
      </c>
      <c r="B551" s="14" t="s">
        <v>2511</v>
      </c>
      <c r="C551" s="14" t="s">
        <v>1626</v>
      </c>
      <c r="D551" s="14" t="s">
        <v>3273</v>
      </c>
      <c r="E551" s="14" t="s">
        <v>2929</v>
      </c>
      <c r="F551" s="14" t="s">
        <v>3746</v>
      </c>
      <c r="G551" s="14" t="s">
        <v>1014</v>
      </c>
      <c r="H551" s="14" t="s">
        <v>1015</v>
      </c>
      <c r="I551" s="14" t="s">
        <v>262</v>
      </c>
      <c r="J551" s="14" t="s">
        <v>1016</v>
      </c>
      <c r="K551" s="14"/>
      <c r="L551" s="14" t="s">
        <v>1628</v>
      </c>
      <c r="M551" s="14" t="s">
        <v>1017</v>
      </c>
      <c r="N551" s="14" t="s">
        <v>1629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78"/>
  <sheetViews>
    <sheetView workbookViewId="0"/>
  </sheetViews>
  <sheetFormatPr defaultRowHeight="14.5" x14ac:dyDescent="0.35"/>
  <cols>
    <col min="1" max="5" width="18" customWidth="1"/>
    <col min="6" max="9" width="34" customWidth="1"/>
    <col min="10" max="13" width="18" customWidth="1"/>
  </cols>
  <sheetData>
    <row r="1" spans="1:13" ht="29" x14ac:dyDescent="0.35">
      <c r="A1" s="16" t="s">
        <v>3747</v>
      </c>
      <c r="B1" s="16" t="s">
        <v>3748</v>
      </c>
      <c r="C1" s="16" t="s">
        <v>3749</v>
      </c>
      <c r="D1" s="16" t="s">
        <v>3750</v>
      </c>
      <c r="E1" s="16" t="s">
        <v>3751</v>
      </c>
      <c r="F1" s="16" t="s">
        <v>3752</v>
      </c>
      <c r="G1" s="16" t="s">
        <v>3753</v>
      </c>
      <c r="H1" s="16" t="s">
        <v>3754</v>
      </c>
      <c r="I1" s="16" t="s">
        <v>3755</v>
      </c>
      <c r="J1" s="16" t="s">
        <v>3756</v>
      </c>
      <c r="K1" s="16" t="s">
        <v>3757</v>
      </c>
      <c r="L1" s="16" t="s">
        <v>3758</v>
      </c>
      <c r="M1" s="16" t="s">
        <v>3759</v>
      </c>
    </row>
    <row r="2" spans="1:13" ht="43.5" x14ac:dyDescent="0.35">
      <c r="A2" s="14" t="s">
        <v>1008</v>
      </c>
      <c r="B2" s="14" t="s">
        <v>1008</v>
      </c>
      <c r="C2" s="14" t="s">
        <v>1019</v>
      </c>
      <c r="D2" s="14" t="s">
        <v>1020</v>
      </c>
      <c r="E2" s="14" t="s">
        <v>1020</v>
      </c>
      <c r="F2" s="14" t="s">
        <v>1022</v>
      </c>
      <c r="G2" s="14" t="s">
        <v>1023</v>
      </c>
      <c r="H2" s="14" t="s">
        <v>1024</v>
      </c>
      <c r="I2" s="14" t="s">
        <v>1025</v>
      </c>
      <c r="J2" s="14" t="s">
        <v>1021</v>
      </c>
      <c r="K2" s="14" t="s">
        <v>3760</v>
      </c>
      <c r="L2" s="14" t="s">
        <v>3760</v>
      </c>
      <c r="M2" s="14" t="s">
        <v>3760</v>
      </c>
    </row>
    <row r="3" spans="1:13" ht="29" x14ac:dyDescent="0.35">
      <c r="A3" s="14" t="s">
        <v>1030</v>
      </c>
      <c r="B3" s="14" t="s">
        <v>1030</v>
      </c>
      <c r="C3" s="14" t="s">
        <v>1019</v>
      </c>
      <c r="D3" s="14" t="s">
        <v>1033</v>
      </c>
      <c r="E3" s="14" t="s">
        <v>1033</v>
      </c>
      <c r="F3" s="14"/>
      <c r="G3" s="14" t="s">
        <v>1034</v>
      </c>
      <c r="H3" s="14" t="s">
        <v>1035</v>
      </c>
      <c r="I3" s="14" t="s">
        <v>1025</v>
      </c>
      <c r="J3" s="14" t="s">
        <v>1021</v>
      </c>
      <c r="K3" s="14" t="s">
        <v>3761</v>
      </c>
      <c r="L3" s="14" t="s">
        <v>3762</v>
      </c>
      <c r="M3" s="14" t="s">
        <v>3763</v>
      </c>
    </row>
    <row r="4" spans="1:13" ht="29" x14ac:dyDescent="0.35">
      <c r="A4" s="14" t="s">
        <v>1042</v>
      </c>
      <c r="B4" s="14" t="s">
        <v>1042</v>
      </c>
      <c r="C4" s="14" t="s">
        <v>1019</v>
      </c>
      <c r="D4" s="14" t="s">
        <v>1046</v>
      </c>
      <c r="E4" s="14" t="s">
        <v>1046</v>
      </c>
      <c r="F4" s="14" t="s">
        <v>1047</v>
      </c>
      <c r="G4" s="14" t="s">
        <v>1048</v>
      </c>
      <c r="H4" s="14" t="s">
        <v>1049</v>
      </c>
      <c r="I4" s="14" t="s">
        <v>1050</v>
      </c>
      <c r="J4" s="14" t="s">
        <v>1021</v>
      </c>
      <c r="K4" s="14" t="s">
        <v>3611</v>
      </c>
      <c r="L4" s="14" t="s">
        <v>3611</v>
      </c>
      <c r="M4" s="14" t="s">
        <v>3611</v>
      </c>
    </row>
    <row r="5" spans="1:13" ht="29" x14ac:dyDescent="0.35">
      <c r="A5" s="14" t="s">
        <v>1053</v>
      </c>
      <c r="B5" s="14" t="s">
        <v>1053</v>
      </c>
      <c r="C5" s="14" t="s">
        <v>1019</v>
      </c>
      <c r="D5" s="14" t="s">
        <v>1033</v>
      </c>
      <c r="E5" s="14" t="s">
        <v>1033</v>
      </c>
      <c r="F5" s="14"/>
      <c r="G5" s="14" t="s">
        <v>1034</v>
      </c>
      <c r="H5" s="14" t="s">
        <v>1035</v>
      </c>
      <c r="I5" s="14" t="s">
        <v>1025</v>
      </c>
      <c r="J5" s="14" t="s">
        <v>1021</v>
      </c>
      <c r="K5" s="14" t="s">
        <v>3761</v>
      </c>
      <c r="L5" s="14" t="s">
        <v>3762</v>
      </c>
      <c r="M5" s="14" t="s">
        <v>3763</v>
      </c>
    </row>
    <row r="6" spans="1:13" ht="87" x14ac:dyDescent="0.35">
      <c r="A6" s="14" t="s">
        <v>1057</v>
      </c>
      <c r="B6" s="14" t="s">
        <v>1057</v>
      </c>
      <c r="C6" s="14" t="s">
        <v>1019</v>
      </c>
      <c r="D6" s="14" t="s">
        <v>1059</v>
      </c>
      <c r="E6" s="14" t="s">
        <v>1059</v>
      </c>
      <c r="F6" s="14" t="s">
        <v>1060</v>
      </c>
      <c r="G6" s="14" t="s">
        <v>1023</v>
      </c>
      <c r="H6" s="14" t="s">
        <v>1061</v>
      </c>
      <c r="I6" s="14" t="s">
        <v>1023</v>
      </c>
      <c r="J6" s="14" t="s">
        <v>1021</v>
      </c>
      <c r="K6" s="14" t="s">
        <v>2911</v>
      </c>
      <c r="L6" s="14" t="s">
        <v>3589</v>
      </c>
      <c r="M6" s="14" t="s">
        <v>3589</v>
      </c>
    </row>
    <row r="7" spans="1:13" ht="29" x14ac:dyDescent="0.35">
      <c r="A7" s="14" t="s">
        <v>1063</v>
      </c>
      <c r="B7" s="14" t="s">
        <v>1063</v>
      </c>
      <c r="C7" s="14" t="s">
        <v>1019</v>
      </c>
      <c r="D7" s="14" t="s">
        <v>1070</v>
      </c>
      <c r="E7" s="14" t="s">
        <v>1070</v>
      </c>
      <c r="F7" s="14" t="s">
        <v>1071</v>
      </c>
      <c r="G7" s="14" t="s">
        <v>1048</v>
      </c>
      <c r="H7" s="14" t="s">
        <v>1072</v>
      </c>
      <c r="I7" s="14" t="s">
        <v>1050</v>
      </c>
      <c r="J7" s="14" t="s">
        <v>1021</v>
      </c>
      <c r="K7" s="14" t="s">
        <v>3611</v>
      </c>
      <c r="L7" s="14" t="s">
        <v>3611</v>
      </c>
      <c r="M7" s="14" t="s">
        <v>3611</v>
      </c>
    </row>
    <row r="8" spans="1:13" ht="29" x14ac:dyDescent="0.35">
      <c r="A8" s="14" t="s">
        <v>1075</v>
      </c>
      <c r="B8" s="14" t="s">
        <v>1075</v>
      </c>
      <c r="C8" s="14" t="s">
        <v>1019</v>
      </c>
      <c r="D8" s="14" t="s">
        <v>1081</v>
      </c>
      <c r="E8" s="14" t="s">
        <v>1081</v>
      </c>
      <c r="F8" s="14" t="s">
        <v>1082</v>
      </c>
      <c r="G8" s="14" t="s">
        <v>1050</v>
      </c>
      <c r="H8" s="14" t="s">
        <v>1083</v>
      </c>
      <c r="I8" s="14" t="s">
        <v>1048</v>
      </c>
      <c r="J8" s="14" t="s">
        <v>1021</v>
      </c>
      <c r="K8" s="14" t="s">
        <v>3611</v>
      </c>
      <c r="L8" s="14" t="s">
        <v>3611</v>
      </c>
      <c r="M8" s="14" t="s">
        <v>3611</v>
      </c>
    </row>
    <row r="9" spans="1:13" ht="72.5" x14ac:dyDescent="0.35">
      <c r="A9" s="14" t="s">
        <v>1085</v>
      </c>
      <c r="B9" s="14" t="s">
        <v>1085</v>
      </c>
      <c r="C9" s="14" t="s">
        <v>1019</v>
      </c>
      <c r="D9" s="14" t="s">
        <v>1091</v>
      </c>
      <c r="E9" s="14" t="s">
        <v>1091</v>
      </c>
      <c r="F9" s="14" t="s">
        <v>1092</v>
      </c>
      <c r="G9" s="14" t="s">
        <v>1048</v>
      </c>
      <c r="H9" s="14"/>
      <c r="I9" s="14" t="s">
        <v>1034</v>
      </c>
      <c r="J9" s="14" t="s">
        <v>1021</v>
      </c>
      <c r="K9" s="14" t="s">
        <v>3611</v>
      </c>
      <c r="L9" s="14" t="s">
        <v>3611</v>
      </c>
      <c r="M9" s="14" t="s">
        <v>3611</v>
      </c>
    </row>
    <row r="10" spans="1:13" ht="29" x14ac:dyDescent="0.35">
      <c r="A10" s="14" t="s">
        <v>1095</v>
      </c>
      <c r="B10" s="14" t="s">
        <v>1095</v>
      </c>
      <c r="C10" s="14" t="s">
        <v>1019</v>
      </c>
      <c r="D10" s="14" t="s">
        <v>1100</v>
      </c>
      <c r="E10" s="14" t="s">
        <v>1100</v>
      </c>
      <c r="F10" s="14" t="s">
        <v>1101</v>
      </c>
      <c r="G10" s="14" t="s">
        <v>1050</v>
      </c>
      <c r="H10" s="14" t="s">
        <v>1102</v>
      </c>
      <c r="I10" s="14" t="s">
        <v>1050</v>
      </c>
      <c r="J10" s="14" t="s">
        <v>1021</v>
      </c>
      <c r="K10" s="14" t="s">
        <v>3611</v>
      </c>
      <c r="L10" s="14" t="s">
        <v>3764</v>
      </c>
      <c r="M10" s="14" t="s">
        <v>3611</v>
      </c>
    </row>
    <row r="11" spans="1:13" ht="29" x14ac:dyDescent="0.35">
      <c r="A11" s="14" t="s">
        <v>1105</v>
      </c>
      <c r="B11" s="14" t="s">
        <v>1105</v>
      </c>
      <c r="C11" s="14" t="s">
        <v>1019</v>
      </c>
      <c r="D11" s="14" t="s">
        <v>1106</v>
      </c>
      <c r="E11" s="14" t="s">
        <v>1106</v>
      </c>
      <c r="F11" s="14" t="s">
        <v>1107</v>
      </c>
      <c r="G11" s="14" t="s">
        <v>1023</v>
      </c>
      <c r="H11" s="14" t="s">
        <v>1108</v>
      </c>
      <c r="I11" s="14" t="s">
        <v>1025</v>
      </c>
      <c r="J11" s="14" t="s">
        <v>1021</v>
      </c>
      <c r="K11" s="14" t="s">
        <v>3760</v>
      </c>
      <c r="L11" s="14" t="s">
        <v>3611</v>
      </c>
      <c r="M11" s="14" t="s">
        <v>3760</v>
      </c>
    </row>
    <row r="12" spans="1:13" ht="29" x14ac:dyDescent="0.35">
      <c r="A12" s="14" t="s">
        <v>1112</v>
      </c>
      <c r="B12" s="14" t="s">
        <v>1112</v>
      </c>
      <c r="C12" s="14" t="s">
        <v>1019</v>
      </c>
      <c r="D12" s="14" t="s">
        <v>1113</v>
      </c>
      <c r="E12" s="14" t="s">
        <v>1113</v>
      </c>
      <c r="F12" s="14"/>
      <c r="G12" s="14" t="s">
        <v>1034</v>
      </c>
      <c r="H12" s="14"/>
      <c r="I12" s="14" t="s">
        <v>1034</v>
      </c>
      <c r="J12" s="14" t="s">
        <v>1114</v>
      </c>
      <c r="K12" s="14" t="s">
        <v>3611</v>
      </c>
      <c r="L12" s="14" t="s">
        <v>3611</v>
      </c>
      <c r="M12" s="14" t="s">
        <v>3611</v>
      </c>
    </row>
    <row r="13" spans="1:13" ht="43.5" x14ac:dyDescent="0.35">
      <c r="A13" s="14" t="s">
        <v>1118</v>
      </c>
      <c r="B13" s="14" t="s">
        <v>1118</v>
      </c>
      <c r="C13" s="14" t="s">
        <v>1019</v>
      </c>
      <c r="D13" s="14" t="s">
        <v>1020</v>
      </c>
      <c r="E13" s="14" t="s">
        <v>1020</v>
      </c>
      <c r="F13" s="14" t="s">
        <v>1022</v>
      </c>
      <c r="G13" s="14" t="s">
        <v>1023</v>
      </c>
      <c r="H13" s="14" t="s">
        <v>1024</v>
      </c>
      <c r="I13" s="14" t="s">
        <v>1025</v>
      </c>
      <c r="J13" s="14" t="s">
        <v>1021</v>
      </c>
      <c r="K13" s="14" t="s">
        <v>3760</v>
      </c>
      <c r="L13" s="14" t="s">
        <v>3760</v>
      </c>
      <c r="M13" s="14" t="s">
        <v>3760</v>
      </c>
    </row>
    <row r="14" spans="1:13" ht="29" x14ac:dyDescent="0.35">
      <c r="A14" s="14" t="s">
        <v>1121</v>
      </c>
      <c r="B14" s="14" t="s">
        <v>1121</v>
      </c>
      <c r="C14" s="14" t="s">
        <v>1019</v>
      </c>
      <c r="D14" s="14"/>
      <c r="E14" s="14"/>
      <c r="F14" s="14"/>
      <c r="G14" s="14" t="s">
        <v>1034</v>
      </c>
      <c r="H14" s="14"/>
      <c r="I14" s="14" t="s">
        <v>1034</v>
      </c>
      <c r="J14" s="14" t="s">
        <v>1123</v>
      </c>
      <c r="K14" s="14"/>
      <c r="L14" s="14"/>
      <c r="M14" s="14"/>
    </row>
    <row r="15" spans="1:13" ht="43.5" x14ac:dyDescent="0.35">
      <c r="A15" s="14" t="s">
        <v>1126</v>
      </c>
      <c r="B15" s="14" t="s">
        <v>1126</v>
      </c>
      <c r="C15" s="14" t="s">
        <v>1019</v>
      </c>
      <c r="D15" s="14" t="s">
        <v>1130</v>
      </c>
      <c r="E15" s="14" t="s">
        <v>1130</v>
      </c>
      <c r="F15" s="14" t="s">
        <v>1131</v>
      </c>
      <c r="G15" s="14" t="s">
        <v>1048</v>
      </c>
      <c r="H15" s="14" t="s">
        <v>1132</v>
      </c>
      <c r="I15" s="14" t="s">
        <v>1050</v>
      </c>
      <c r="J15" s="14" t="s">
        <v>1021</v>
      </c>
      <c r="K15" s="14" t="s">
        <v>3611</v>
      </c>
      <c r="L15" s="14" t="s">
        <v>3611</v>
      </c>
      <c r="M15" s="14" t="s">
        <v>3611</v>
      </c>
    </row>
    <row r="16" spans="1:13" ht="29" x14ac:dyDescent="0.35">
      <c r="A16" s="14" t="s">
        <v>1134</v>
      </c>
      <c r="B16" s="14" t="s">
        <v>1134</v>
      </c>
      <c r="C16" s="14" t="s">
        <v>1019</v>
      </c>
      <c r="D16" s="14" t="s">
        <v>1135</v>
      </c>
      <c r="E16" s="14" t="s">
        <v>1135</v>
      </c>
      <c r="F16" s="14" t="s">
        <v>1136</v>
      </c>
      <c r="G16" s="14" t="s">
        <v>1050</v>
      </c>
      <c r="H16" s="14" t="s">
        <v>1137</v>
      </c>
      <c r="I16" s="14" t="s">
        <v>1050</v>
      </c>
      <c r="J16" s="14" t="s">
        <v>1021</v>
      </c>
      <c r="K16" s="14" t="s">
        <v>3611</v>
      </c>
      <c r="L16" s="14" t="s">
        <v>3611</v>
      </c>
      <c r="M16" s="14" t="s">
        <v>3611</v>
      </c>
    </row>
    <row r="17" spans="1:13" ht="29" x14ac:dyDescent="0.35">
      <c r="A17" s="14" t="s">
        <v>1141</v>
      </c>
      <c r="B17" s="14" t="s">
        <v>1141</v>
      </c>
      <c r="C17" s="14" t="s">
        <v>1019</v>
      </c>
      <c r="D17" s="14" t="s">
        <v>1142</v>
      </c>
      <c r="E17" s="14" t="s">
        <v>1142</v>
      </c>
      <c r="F17" s="14"/>
      <c r="G17" s="14" t="s">
        <v>1034</v>
      </c>
      <c r="H17" s="14"/>
      <c r="I17" s="14" t="s">
        <v>1034</v>
      </c>
      <c r="J17" s="14" t="s">
        <v>1114</v>
      </c>
      <c r="K17" s="14" t="s">
        <v>3611</v>
      </c>
      <c r="L17" s="14" t="s">
        <v>3611</v>
      </c>
      <c r="M17" s="14" t="s">
        <v>3611</v>
      </c>
    </row>
    <row r="18" spans="1:13" ht="87" x14ac:dyDescent="0.35">
      <c r="A18" s="14" t="s">
        <v>1146</v>
      </c>
      <c r="B18" s="14" t="s">
        <v>1146</v>
      </c>
      <c r="C18" s="14" t="s">
        <v>1019</v>
      </c>
      <c r="D18" s="14" t="s">
        <v>1059</v>
      </c>
      <c r="E18" s="14" t="s">
        <v>1059</v>
      </c>
      <c r="F18" s="14" t="s">
        <v>1060</v>
      </c>
      <c r="G18" s="14" t="s">
        <v>1023</v>
      </c>
      <c r="H18" s="14" t="s">
        <v>1061</v>
      </c>
      <c r="I18" s="14" t="s">
        <v>1023</v>
      </c>
      <c r="J18" s="14" t="s">
        <v>1021</v>
      </c>
      <c r="K18" s="14" t="s">
        <v>2911</v>
      </c>
      <c r="L18" s="14" t="s">
        <v>3589</v>
      </c>
      <c r="M18" s="14" t="s">
        <v>3589</v>
      </c>
    </row>
    <row r="19" spans="1:13" ht="29" x14ac:dyDescent="0.35">
      <c r="A19" s="14" t="s">
        <v>1155</v>
      </c>
      <c r="B19" s="14" t="s">
        <v>1155</v>
      </c>
      <c r="C19" s="14" t="s">
        <v>1019</v>
      </c>
      <c r="D19" s="14" t="s">
        <v>1156</v>
      </c>
      <c r="E19" s="14" t="s">
        <v>1156</v>
      </c>
      <c r="F19" s="14"/>
      <c r="G19" s="14" t="s">
        <v>1034</v>
      </c>
      <c r="H19" s="14"/>
      <c r="I19" s="14" t="s">
        <v>1034</v>
      </c>
      <c r="J19" s="14" t="s">
        <v>1114</v>
      </c>
      <c r="K19" s="14" t="s">
        <v>3611</v>
      </c>
      <c r="L19" s="14" t="s">
        <v>3611</v>
      </c>
      <c r="M19" s="14" t="s">
        <v>3611</v>
      </c>
    </row>
    <row r="20" spans="1:13" ht="58" x14ac:dyDescent="0.35">
      <c r="A20" s="14" t="s">
        <v>1159</v>
      </c>
      <c r="B20" s="14" t="s">
        <v>1159</v>
      </c>
      <c r="C20" s="14" t="s">
        <v>1019</v>
      </c>
      <c r="D20" s="14" t="s">
        <v>1161</v>
      </c>
      <c r="E20" s="14" t="s">
        <v>1161</v>
      </c>
      <c r="F20" s="14" t="s">
        <v>1162</v>
      </c>
      <c r="G20" s="14" t="s">
        <v>1048</v>
      </c>
      <c r="H20" s="14" t="s">
        <v>1163</v>
      </c>
      <c r="I20" s="14" t="s">
        <v>1050</v>
      </c>
      <c r="J20" s="14" t="s">
        <v>1021</v>
      </c>
      <c r="K20" s="14" t="s">
        <v>3611</v>
      </c>
      <c r="L20" s="14" t="s">
        <v>3611</v>
      </c>
      <c r="M20" s="14" t="s">
        <v>3611</v>
      </c>
    </row>
    <row r="21" spans="1:13" ht="29" x14ac:dyDescent="0.35">
      <c r="A21" s="14" t="s">
        <v>1165</v>
      </c>
      <c r="B21" s="14" t="s">
        <v>1165</v>
      </c>
      <c r="C21" s="14" t="s">
        <v>1019</v>
      </c>
      <c r="D21" s="14" t="s">
        <v>1166</v>
      </c>
      <c r="E21" s="14" t="s">
        <v>1166</v>
      </c>
      <c r="F21" s="14" t="s">
        <v>1167</v>
      </c>
      <c r="G21" s="14" t="s">
        <v>1023</v>
      </c>
      <c r="H21" s="14" t="s">
        <v>1168</v>
      </c>
      <c r="I21" s="14" t="s">
        <v>1025</v>
      </c>
      <c r="J21" s="14" t="s">
        <v>1021</v>
      </c>
      <c r="K21" s="14" t="s">
        <v>3760</v>
      </c>
      <c r="L21" s="14" t="s">
        <v>3760</v>
      </c>
      <c r="M21" s="14" t="s">
        <v>3760</v>
      </c>
    </row>
    <row r="22" spans="1:13" ht="29" x14ac:dyDescent="0.35">
      <c r="A22" s="14" t="s">
        <v>1170</v>
      </c>
      <c r="B22" s="14" t="s">
        <v>1170</v>
      </c>
      <c r="C22" s="14" t="s">
        <v>1019</v>
      </c>
      <c r="D22" s="14" t="s">
        <v>1171</v>
      </c>
      <c r="E22" s="14" t="s">
        <v>1171</v>
      </c>
      <c r="F22" s="14" t="s">
        <v>1172</v>
      </c>
      <c r="G22" s="14" t="s">
        <v>1048</v>
      </c>
      <c r="H22" s="14" t="s">
        <v>1173</v>
      </c>
      <c r="I22" s="14" t="s">
        <v>1050</v>
      </c>
      <c r="J22" s="14" t="s">
        <v>1021</v>
      </c>
      <c r="K22" s="14" t="s">
        <v>3611</v>
      </c>
      <c r="L22" s="14" t="s">
        <v>3611</v>
      </c>
      <c r="M22" s="14" t="s">
        <v>3611</v>
      </c>
    </row>
    <row r="23" spans="1:13" ht="29" x14ac:dyDescent="0.35">
      <c r="A23" s="14" t="s">
        <v>1175</v>
      </c>
      <c r="B23" s="14" t="s">
        <v>1175</v>
      </c>
      <c r="C23" s="14" t="s">
        <v>1019</v>
      </c>
      <c r="D23" s="14" t="s">
        <v>1176</v>
      </c>
      <c r="E23" s="14" t="s">
        <v>1176</v>
      </c>
      <c r="F23" s="14" t="s">
        <v>1177</v>
      </c>
      <c r="G23" s="14" t="s">
        <v>1025</v>
      </c>
      <c r="H23" s="14" t="s">
        <v>1178</v>
      </c>
      <c r="I23" s="14" t="s">
        <v>1025</v>
      </c>
      <c r="J23" s="14" t="s">
        <v>1021</v>
      </c>
      <c r="K23" s="14" t="s">
        <v>3760</v>
      </c>
      <c r="L23" s="14" t="s">
        <v>3760</v>
      </c>
      <c r="M23" s="14" t="s">
        <v>3760</v>
      </c>
    </row>
    <row r="24" spans="1:13" ht="29" x14ac:dyDescent="0.35">
      <c r="A24" s="14" t="s">
        <v>1180</v>
      </c>
      <c r="B24" s="14" t="s">
        <v>1180</v>
      </c>
      <c r="C24" s="14" t="s">
        <v>1019</v>
      </c>
      <c r="D24" s="14" t="s">
        <v>1181</v>
      </c>
      <c r="E24" s="14" t="s">
        <v>1181</v>
      </c>
      <c r="F24" s="14" t="s">
        <v>1182</v>
      </c>
      <c r="G24" s="14" t="s">
        <v>1025</v>
      </c>
      <c r="H24" s="14" t="s">
        <v>1183</v>
      </c>
      <c r="I24" s="14" t="s">
        <v>1025</v>
      </c>
      <c r="J24" s="14" t="s">
        <v>1021</v>
      </c>
      <c r="K24" s="14" t="s">
        <v>3760</v>
      </c>
      <c r="L24" s="14" t="s">
        <v>3760</v>
      </c>
      <c r="M24" s="14" t="s">
        <v>3760</v>
      </c>
    </row>
    <row r="25" spans="1:13" ht="43.5" x14ac:dyDescent="0.35">
      <c r="A25" s="14" t="s">
        <v>1185</v>
      </c>
      <c r="B25" s="14" t="s">
        <v>1185</v>
      </c>
      <c r="C25" s="14" t="s">
        <v>1019</v>
      </c>
      <c r="D25" s="14" t="s">
        <v>1186</v>
      </c>
      <c r="E25" s="14" t="s">
        <v>1186</v>
      </c>
      <c r="F25" s="14" t="s">
        <v>1187</v>
      </c>
      <c r="G25" s="14" t="s">
        <v>1023</v>
      </c>
      <c r="H25" s="14" t="s">
        <v>1188</v>
      </c>
      <c r="I25" s="14" t="s">
        <v>1025</v>
      </c>
      <c r="J25" s="14" t="s">
        <v>1021</v>
      </c>
      <c r="K25" s="14" t="s">
        <v>3589</v>
      </c>
      <c r="L25" s="14" t="s">
        <v>3589</v>
      </c>
      <c r="M25" s="14" t="s">
        <v>2832</v>
      </c>
    </row>
    <row r="26" spans="1:13" ht="29" x14ac:dyDescent="0.35">
      <c r="A26" s="14" t="s">
        <v>1190</v>
      </c>
      <c r="B26" s="14" t="s">
        <v>1190</v>
      </c>
      <c r="C26" s="14" t="s">
        <v>1019</v>
      </c>
      <c r="D26" s="14" t="s">
        <v>1192</v>
      </c>
      <c r="E26" s="14" t="s">
        <v>1192</v>
      </c>
      <c r="F26" s="14" t="s">
        <v>1193</v>
      </c>
      <c r="G26" s="14" t="s">
        <v>1048</v>
      </c>
      <c r="H26" s="14" t="s">
        <v>1194</v>
      </c>
      <c r="I26" s="14" t="s">
        <v>1048</v>
      </c>
      <c r="J26" s="14" t="s">
        <v>1021</v>
      </c>
      <c r="K26" s="14" t="s">
        <v>3611</v>
      </c>
      <c r="L26" s="14" t="s">
        <v>3611</v>
      </c>
      <c r="M26" s="14" t="s">
        <v>3611</v>
      </c>
    </row>
    <row r="27" spans="1:13" ht="29" x14ac:dyDescent="0.35">
      <c r="A27" s="14" t="s">
        <v>1197</v>
      </c>
      <c r="B27" s="14" t="s">
        <v>1197</v>
      </c>
      <c r="C27" s="14" t="s">
        <v>1019</v>
      </c>
      <c r="D27" s="14" t="s">
        <v>1200</v>
      </c>
      <c r="E27" s="14" t="s">
        <v>1200</v>
      </c>
      <c r="F27" s="14"/>
      <c r="G27" s="14" t="s">
        <v>1034</v>
      </c>
      <c r="H27" s="14"/>
      <c r="I27" s="14" t="s">
        <v>1034</v>
      </c>
      <c r="J27" s="14" t="s">
        <v>1114</v>
      </c>
      <c r="K27" s="14" t="s">
        <v>3611</v>
      </c>
      <c r="L27" s="14" t="s">
        <v>3611</v>
      </c>
      <c r="M27" s="14" t="s">
        <v>3760</v>
      </c>
    </row>
    <row r="28" spans="1:13" ht="101.5" x14ac:dyDescent="0.35">
      <c r="A28" s="14" t="s">
        <v>1207</v>
      </c>
      <c r="B28" s="14" t="s">
        <v>1207</v>
      </c>
      <c r="C28" s="14" t="s">
        <v>1019</v>
      </c>
      <c r="D28" s="14" t="s">
        <v>1208</v>
      </c>
      <c r="E28" s="14" t="s">
        <v>1208</v>
      </c>
      <c r="F28" s="14" t="s">
        <v>1209</v>
      </c>
      <c r="G28" s="14" t="s">
        <v>1048</v>
      </c>
      <c r="H28" s="14" t="s">
        <v>1210</v>
      </c>
      <c r="I28" s="14" t="s">
        <v>1050</v>
      </c>
      <c r="J28" s="14" t="s">
        <v>1021</v>
      </c>
      <c r="K28" s="14" t="s">
        <v>3611</v>
      </c>
      <c r="L28" s="14" t="s">
        <v>3611</v>
      </c>
      <c r="M28" s="14" t="s">
        <v>3611</v>
      </c>
    </row>
    <row r="29" spans="1:13" ht="43.5" x14ac:dyDescent="0.35">
      <c r="A29" s="14" t="s">
        <v>1212</v>
      </c>
      <c r="B29" s="14" t="s">
        <v>1212</v>
      </c>
      <c r="C29" s="14" t="s">
        <v>1019</v>
      </c>
      <c r="D29" s="14" t="s">
        <v>1215</v>
      </c>
      <c r="E29" s="14" t="s">
        <v>1215</v>
      </c>
      <c r="F29" s="14" t="s">
        <v>1216</v>
      </c>
      <c r="G29" s="14" t="s">
        <v>1048</v>
      </c>
      <c r="H29" s="14" t="s">
        <v>1217</v>
      </c>
      <c r="I29" s="14" t="s">
        <v>1050</v>
      </c>
      <c r="J29" s="14" t="s">
        <v>1021</v>
      </c>
      <c r="K29" s="14" t="s">
        <v>3611</v>
      </c>
      <c r="L29" s="14" t="s">
        <v>3611</v>
      </c>
      <c r="M29" s="14" t="s">
        <v>3611</v>
      </c>
    </row>
    <row r="30" spans="1:13" ht="29" x14ac:dyDescent="0.35">
      <c r="A30" s="14" t="s">
        <v>1219</v>
      </c>
      <c r="B30" s="14" t="s">
        <v>1219</v>
      </c>
      <c r="C30" s="14" t="s">
        <v>1019</v>
      </c>
      <c r="D30" s="14" t="s">
        <v>1220</v>
      </c>
      <c r="E30" s="14" t="s">
        <v>1220</v>
      </c>
      <c r="F30" s="14" t="s">
        <v>1221</v>
      </c>
      <c r="G30" s="14" t="s">
        <v>1025</v>
      </c>
      <c r="H30" s="14" t="s">
        <v>1222</v>
      </c>
      <c r="I30" s="14" t="s">
        <v>1025</v>
      </c>
      <c r="J30" s="14" t="s">
        <v>1021</v>
      </c>
      <c r="K30" s="14" t="s">
        <v>2911</v>
      </c>
      <c r="L30" s="14" t="s">
        <v>2911</v>
      </c>
      <c r="M30" s="14" t="s">
        <v>2911</v>
      </c>
    </row>
    <row r="31" spans="1:13" ht="29" x14ac:dyDescent="0.35">
      <c r="A31" s="14" t="s">
        <v>1224</v>
      </c>
      <c r="B31" s="14" t="s">
        <v>1224</v>
      </c>
      <c r="C31" s="14" t="s">
        <v>1019</v>
      </c>
      <c r="D31" s="14" t="s">
        <v>1226</v>
      </c>
      <c r="E31" s="14" t="s">
        <v>1226</v>
      </c>
      <c r="F31" s="14"/>
      <c r="G31" s="14" t="s">
        <v>1034</v>
      </c>
      <c r="H31" s="14"/>
      <c r="I31" s="14" t="s">
        <v>1034</v>
      </c>
      <c r="J31" s="14" t="s">
        <v>1114</v>
      </c>
      <c r="K31" s="14" t="s">
        <v>3611</v>
      </c>
      <c r="L31" s="14" t="s">
        <v>3611</v>
      </c>
      <c r="M31" s="14" t="s">
        <v>3611</v>
      </c>
    </row>
    <row r="32" spans="1:13" ht="29" x14ac:dyDescent="0.35">
      <c r="A32" s="14" t="s">
        <v>1232</v>
      </c>
      <c r="B32" s="14" t="s">
        <v>1232</v>
      </c>
      <c r="C32" s="14" t="s">
        <v>1019</v>
      </c>
      <c r="D32" s="14" t="s">
        <v>1233</v>
      </c>
      <c r="E32" s="14" t="s">
        <v>1233</v>
      </c>
      <c r="F32" s="14"/>
      <c r="G32" s="14" t="s">
        <v>1034</v>
      </c>
      <c r="H32" s="14"/>
      <c r="I32" s="14" t="s">
        <v>1034</v>
      </c>
      <c r="J32" s="14" t="s">
        <v>1114</v>
      </c>
      <c r="K32" s="14" t="s">
        <v>3611</v>
      </c>
      <c r="L32" s="14" t="s">
        <v>3611</v>
      </c>
      <c r="M32" s="14" t="s">
        <v>3611</v>
      </c>
    </row>
    <row r="33" spans="1:13" ht="319" x14ac:dyDescent="0.35">
      <c r="A33" s="14" t="s">
        <v>1236</v>
      </c>
      <c r="B33" s="14" t="s">
        <v>1236</v>
      </c>
      <c r="C33" s="14" t="s">
        <v>1019</v>
      </c>
      <c r="D33" s="14" t="s">
        <v>1242</v>
      </c>
      <c r="E33" s="14" t="s">
        <v>1242</v>
      </c>
      <c r="F33" s="14" t="s">
        <v>1243</v>
      </c>
      <c r="G33" s="14" t="s">
        <v>1048</v>
      </c>
      <c r="H33" s="14" t="s">
        <v>1244</v>
      </c>
      <c r="I33" s="14" t="s">
        <v>1023</v>
      </c>
      <c r="J33" s="14" t="s">
        <v>1021</v>
      </c>
      <c r="K33" s="14" t="s">
        <v>2911</v>
      </c>
      <c r="L33" s="14" t="s">
        <v>3760</v>
      </c>
      <c r="M33" s="14" t="s">
        <v>3760</v>
      </c>
    </row>
    <row r="34" spans="1:13" ht="29" x14ac:dyDescent="0.35">
      <c r="A34" s="14" t="s">
        <v>1247</v>
      </c>
      <c r="B34" s="14" t="s">
        <v>1247</v>
      </c>
      <c r="C34" s="14" t="s">
        <v>1019</v>
      </c>
      <c r="D34" s="14" t="s">
        <v>1248</v>
      </c>
      <c r="E34" s="14" t="s">
        <v>1248</v>
      </c>
      <c r="F34" s="14"/>
      <c r="G34" s="14" t="s">
        <v>1034</v>
      </c>
      <c r="H34" s="14"/>
      <c r="I34" s="14" t="s">
        <v>1034</v>
      </c>
      <c r="J34" s="14" t="s">
        <v>1114</v>
      </c>
      <c r="K34" s="14" t="s">
        <v>3611</v>
      </c>
      <c r="L34" s="14" t="s">
        <v>3611</v>
      </c>
      <c r="M34" s="14" t="s">
        <v>3611</v>
      </c>
    </row>
    <row r="35" spans="1:13" ht="29" x14ac:dyDescent="0.35">
      <c r="A35" s="14" t="s">
        <v>1250</v>
      </c>
      <c r="B35" s="14" t="s">
        <v>1250</v>
      </c>
      <c r="C35" s="14" t="s">
        <v>1019</v>
      </c>
      <c r="D35" s="14" t="s">
        <v>1251</v>
      </c>
      <c r="E35" s="14" t="s">
        <v>1251</v>
      </c>
      <c r="F35" s="14"/>
      <c r="G35" s="14" t="s">
        <v>1034</v>
      </c>
      <c r="H35" s="14"/>
      <c r="I35" s="14" t="s">
        <v>1034</v>
      </c>
      <c r="J35" s="14" t="s">
        <v>1114</v>
      </c>
      <c r="K35" s="14" t="s">
        <v>3611</v>
      </c>
      <c r="L35" s="14" t="s">
        <v>3611</v>
      </c>
      <c r="M35" s="14" t="s">
        <v>3611</v>
      </c>
    </row>
    <row r="36" spans="1:13" ht="43.5" x14ac:dyDescent="0.35">
      <c r="A36" s="14" t="s">
        <v>1253</v>
      </c>
      <c r="B36" s="14" t="s">
        <v>1253</v>
      </c>
      <c r="C36" s="14" t="s">
        <v>1019</v>
      </c>
      <c r="D36" s="14" t="s">
        <v>1254</v>
      </c>
      <c r="E36" s="14" t="s">
        <v>1254</v>
      </c>
      <c r="F36" s="14" t="s">
        <v>1255</v>
      </c>
      <c r="G36" s="14" t="s">
        <v>1048</v>
      </c>
      <c r="H36" s="14" t="s">
        <v>1256</v>
      </c>
      <c r="I36" s="14" t="s">
        <v>1050</v>
      </c>
      <c r="J36" s="14" t="s">
        <v>1021</v>
      </c>
      <c r="K36" s="14" t="s">
        <v>3611</v>
      </c>
      <c r="L36" s="14" t="s">
        <v>3611</v>
      </c>
      <c r="M36" s="14" t="s">
        <v>3611</v>
      </c>
    </row>
    <row r="37" spans="1:13" ht="29" x14ac:dyDescent="0.35">
      <c r="A37" s="14" t="s">
        <v>1258</v>
      </c>
      <c r="B37" s="14" t="s">
        <v>1258</v>
      </c>
      <c r="C37" s="14" t="s">
        <v>1019</v>
      </c>
      <c r="D37" s="14" t="s">
        <v>1259</v>
      </c>
      <c r="E37" s="14" t="s">
        <v>1259</v>
      </c>
      <c r="F37" s="14" t="s">
        <v>1260</v>
      </c>
      <c r="G37" s="14" t="s">
        <v>1023</v>
      </c>
      <c r="H37" s="14" t="s">
        <v>1261</v>
      </c>
      <c r="I37" s="14" t="s">
        <v>1025</v>
      </c>
      <c r="J37" s="14" t="s">
        <v>1021</v>
      </c>
      <c r="K37" s="14" t="s">
        <v>2911</v>
      </c>
      <c r="L37" s="14" t="s">
        <v>2911</v>
      </c>
      <c r="M37" s="14" t="s">
        <v>3589</v>
      </c>
    </row>
    <row r="38" spans="1:13" ht="29" x14ac:dyDescent="0.35">
      <c r="A38" s="14" t="s">
        <v>1263</v>
      </c>
      <c r="B38" s="14" t="s">
        <v>1263</v>
      </c>
      <c r="C38" s="14" t="s">
        <v>1019</v>
      </c>
      <c r="D38" s="14" t="s">
        <v>1265</v>
      </c>
      <c r="E38" s="14" t="s">
        <v>1265</v>
      </c>
      <c r="F38" s="14"/>
      <c r="G38" s="14" t="s">
        <v>1034</v>
      </c>
      <c r="H38" s="14"/>
      <c r="I38" s="14" t="s">
        <v>1034</v>
      </c>
      <c r="J38" s="14" t="s">
        <v>1114</v>
      </c>
      <c r="K38" s="14" t="s">
        <v>3611</v>
      </c>
      <c r="L38" s="14" t="s">
        <v>3611</v>
      </c>
      <c r="M38" s="14" t="s">
        <v>3611</v>
      </c>
    </row>
    <row r="39" spans="1:13" ht="43.5" x14ac:dyDescent="0.35">
      <c r="A39" s="14" t="s">
        <v>1267</v>
      </c>
      <c r="B39" s="14" t="s">
        <v>1267</v>
      </c>
      <c r="C39" s="14" t="s">
        <v>1019</v>
      </c>
      <c r="D39" s="14" t="s">
        <v>1268</v>
      </c>
      <c r="E39" s="14" t="s">
        <v>1268</v>
      </c>
      <c r="F39" s="14" t="s">
        <v>1269</v>
      </c>
      <c r="G39" s="14" t="s">
        <v>1048</v>
      </c>
      <c r="H39" s="14" t="s">
        <v>1270</v>
      </c>
      <c r="I39" s="14" t="s">
        <v>1050</v>
      </c>
      <c r="J39" s="14" t="s">
        <v>1021</v>
      </c>
      <c r="K39" s="14" t="s">
        <v>3611</v>
      </c>
      <c r="L39" s="14" t="s">
        <v>3611</v>
      </c>
      <c r="M39" s="14" t="s">
        <v>3611</v>
      </c>
    </row>
    <row r="40" spans="1:13" ht="43.5" x14ac:dyDescent="0.35">
      <c r="A40" s="14" t="s">
        <v>1272</v>
      </c>
      <c r="B40" s="14" t="s">
        <v>1272</v>
      </c>
      <c r="C40" s="14" t="s">
        <v>1019</v>
      </c>
      <c r="D40" s="14" t="s">
        <v>1274</v>
      </c>
      <c r="E40" s="14" t="s">
        <v>1274</v>
      </c>
      <c r="F40" s="14" t="s">
        <v>1275</v>
      </c>
      <c r="G40" s="14" t="s">
        <v>1023</v>
      </c>
      <c r="H40" s="14" t="s">
        <v>1276</v>
      </c>
      <c r="I40" s="14" t="s">
        <v>1025</v>
      </c>
      <c r="J40" s="14" t="s">
        <v>1021</v>
      </c>
      <c r="K40" s="14" t="s">
        <v>3760</v>
      </c>
      <c r="L40" s="14" t="s">
        <v>3611</v>
      </c>
      <c r="M40" s="14" t="s">
        <v>3760</v>
      </c>
    </row>
    <row r="41" spans="1:13" ht="29" x14ac:dyDescent="0.35">
      <c r="A41" s="14" t="s">
        <v>1278</v>
      </c>
      <c r="B41" s="14" t="s">
        <v>1278</v>
      </c>
      <c r="C41" s="14" t="s">
        <v>1019</v>
      </c>
      <c r="D41" s="14" t="s">
        <v>1281</v>
      </c>
      <c r="E41" s="14" t="s">
        <v>1281</v>
      </c>
      <c r="F41" s="14" t="s">
        <v>1282</v>
      </c>
      <c r="G41" s="14" t="s">
        <v>1048</v>
      </c>
      <c r="H41" s="14" t="s">
        <v>1283</v>
      </c>
      <c r="I41" s="14" t="s">
        <v>1050</v>
      </c>
      <c r="J41" s="14" t="s">
        <v>1021</v>
      </c>
      <c r="K41" s="14" t="s">
        <v>3611</v>
      </c>
      <c r="L41" s="14" t="s">
        <v>3611</v>
      </c>
      <c r="M41" s="14" t="s">
        <v>3611</v>
      </c>
    </row>
    <row r="42" spans="1:13" ht="29" x14ac:dyDescent="0.35">
      <c r="A42" s="14" t="s">
        <v>1285</v>
      </c>
      <c r="B42" s="14" t="s">
        <v>1285</v>
      </c>
      <c r="C42" s="14" t="s">
        <v>1019</v>
      </c>
      <c r="D42" s="14" t="s">
        <v>1176</v>
      </c>
      <c r="E42" s="14" t="s">
        <v>1176</v>
      </c>
      <c r="F42" s="14" t="s">
        <v>1177</v>
      </c>
      <c r="G42" s="14" t="s">
        <v>1025</v>
      </c>
      <c r="H42" s="14" t="s">
        <v>1178</v>
      </c>
      <c r="I42" s="14" t="s">
        <v>1025</v>
      </c>
      <c r="J42" s="14" t="s">
        <v>1021</v>
      </c>
      <c r="K42" s="14" t="s">
        <v>3760</v>
      </c>
      <c r="L42" s="14" t="s">
        <v>3760</v>
      </c>
      <c r="M42" s="14" t="s">
        <v>3760</v>
      </c>
    </row>
    <row r="43" spans="1:13" ht="29" x14ac:dyDescent="0.35">
      <c r="A43" s="14" t="s">
        <v>1288</v>
      </c>
      <c r="B43" s="14" t="s">
        <v>1288</v>
      </c>
      <c r="C43" s="14" t="s">
        <v>1019</v>
      </c>
      <c r="D43" s="14" t="s">
        <v>1181</v>
      </c>
      <c r="E43" s="14" t="s">
        <v>1181</v>
      </c>
      <c r="F43" s="14" t="s">
        <v>1182</v>
      </c>
      <c r="G43" s="14" t="s">
        <v>1025</v>
      </c>
      <c r="H43" s="14" t="s">
        <v>1183</v>
      </c>
      <c r="I43" s="14" t="s">
        <v>1025</v>
      </c>
      <c r="J43" s="14" t="s">
        <v>1021</v>
      </c>
      <c r="K43" s="14" t="s">
        <v>3760</v>
      </c>
      <c r="L43" s="14" t="s">
        <v>3760</v>
      </c>
      <c r="M43" s="14" t="s">
        <v>3760</v>
      </c>
    </row>
    <row r="44" spans="1:13" ht="43.5" x14ac:dyDescent="0.35">
      <c r="A44" s="14" t="s">
        <v>1290</v>
      </c>
      <c r="B44" s="14" t="s">
        <v>1290</v>
      </c>
      <c r="C44" s="14" t="s">
        <v>1019</v>
      </c>
      <c r="D44" s="14" t="s">
        <v>1186</v>
      </c>
      <c r="E44" s="14" t="s">
        <v>1186</v>
      </c>
      <c r="F44" s="14" t="s">
        <v>1187</v>
      </c>
      <c r="G44" s="14" t="s">
        <v>1023</v>
      </c>
      <c r="H44" s="14" t="s">
        <v>1188</v>
      </c>
      <c r="I44" s="14" t="s">
        <v>1025</v>
      </c>
      <c r="J44" s="14" t="s">
        <v>1021</v>
      </c>
      <c r="K44" s="14" t="s">
        <v>3589</v>
      </c>
      <c r="L44" s="14" t="s">
        <v>3589</v>
      </c>
      <c r="M44" s="14" t="s">
        <v>2832</v>
      </c>
    </row>
    <row r="45" spans="1:13" ht="29" x14ac:dyDescent="0.35">
      <c r="A45" s="14" t="s">
        <v>1294</v>
      </c>
      <c r="B45" s="14" t="s">
        <v>1294</v>
      </c>
      <c r="C45" s="14" t="s">
        <v>1019</v>
      </c>
      <c r="D45" s="14" t="s">
        <v>1296</v>
      </c>
      <c r="E45" s="14" t="s">
        <v>1296</v>
      </c>
      <c r="F45" s="14" t="s">
        <v>1297</v>
      </c>
      <c r="G45" s="14" t="s">
        <v>1048</v>
      </c>
      <c r="H45" s="14" t="s">
        <v>1298</v>
      </c>
      <c r="I45" s="14" t="s">
        <v>1050</v>
      </c>
      <c r="J45" s="14" t="s">
        <v>1021</v>
      </c>
      <c r="K45" s="14" t="s">
        <v>3611</v>
      </c>
      <c r="L45" s="14" t="s">
        <v>3611</v>
      </c>
      <c r="M45" s="14" t="s">
        <v>3611</v>
      </c>
    </row>
    <row r="46" spans="1:13" ht="43.5" x14ac:dyDescent="0.35">
      <c r="A46" s="14" t="s">
        <v>1300</v>
      </c>
      <c r="B46" s="14" t="s">
        <v>1300</v>
      </c>
      <c r="C46" s="14" t="s">
        <v>1019</v>
      </c>
      <c r="D46" s="14" t="s">
        <v>1274</v>
      </c>
      <c r="E46" s="14" t="s">
        <v>1274</v>
      </c>
      <c r="F46" s="14" t="s">
        <v>1275</v>
      </c>
      <c r="G46" s="14" t="s">
        <v>1023</v>
      </c>
      <c r="H46" s="14" t="s">
        <v>1276</v>
      </c>
      <c r="I46" s="14" t="s">
        <v>1025</v>
      </c>
      <c r="J46" s="14" t="s">
        <v>1021</v>
      </c>
      <c r="K46" s="14" t="s">
        <v>3760</v>
      </c>
      <c r="L46" s="14" t="s">
        <v>3611</v>
      </c>
      <c r="M46" s="14" t="s">
        <v>3760</v>
      </c>
    </row>
    <row r="47" spans="1:13" ht="58" x14ac:dyDescent="0.35">
      <c r="A47" s="14" t="s">
        <v>1304</v>
      </c>
      <c r="B47" s="14" t="s">
        <v>1304</v>
      </c>
      <c r="C47" s="14" t="s">
        <v>1019</v>
      </c>
      <c r="D47" s="14" t="s">
        <v>1305</v>
      </c>
      <c r="E47" s="14" t="s">
        <v>1305</v>
      </c>
      <c r="F47" s="14" t="s">
        <v>1306</v>
      </c>
      <c r="G47" s="14" t="s">
        <v>1023</v>
      </c>
      <c r="H47" s="14" t="s">
        <v>1307</v>
      </c>
      <c r="I47" s="14" t="s">
        <v>1025</v>
      </c>
      <c r="J47" s="14" t="s">
        <v>1021</v>
      </c>
      <c r="K47" s="14" t="s">
        <v>3760</v>
      </c>
      <c r="L47" s="14" t="s">
        <v>3760</v>
      </c>
      <c r="M47" s="14" t="s">
        <v>3760</v>
      </c>
    </row>
    <row r="48" spans="1:13" ht="29" x14ac:dyDescent="0.35">
      <c r="A48" s="14" t="s">
        <v>1311</v>
      </c>
      <c r="B48" s="14" t="s">
        <v>1311</v>
      </c>
      <c r="C48" s="14" t="s">
        <v>1019</v>
      </c>
      <c r="D48" s="14" t="s">
        <v>1313</v>
      </c>
      <c r="E48" s="14" t="s">
        <v>1313</v>
      </c>
      <c r="F48" s="14" t="s">
        <v>1314</v>
      </c>
      <c r="G48" s="14" t="s">
        <v>1023</v>
      </c>
      <c r="H48" s="14" t="s">
        <v>1315</v>
      </c>
      <c r="I48" s="14" t="s">
        <v>1025</v>
      </c>
      <c r="J48" s="14" t="s">
        <v>1021</v>
      </c>
      <c r="K48" s="14" t="s">
        <v>3760</v>
      </c>
      <c r="L48" s="14" t="s">
        <v>3760</v>
      </c>
      <c r="M48" s="14" t="s">
        <v>3760</v>
      </c>
    </row>
    <row r="49" spans="1:13" ht="43.5" x14ac:dyDescent="0.35">
      <c r="A49" s="14" t="s">
        <v>1317</v>
      </c>
      <c r="B49" s="14" t="s">
        <v>1317</v>
      </c>
      <c r="C49" s="14" t="s">
        <v>1019</v>
      </c>
      <c r="D49" s="14" t="s">
        <v>1318</v>
      </c>
      <c r="E49" s="14" t="s">
        <v>1318</v>
      </c>
      <c r="F49" s="14" t="s">
        <v>1319</v>
      </c>
      <c r="G49" s="14" t="s">
        <v>1048</v>
      </c>
      <c r="H49" s="14" t="s">
        <v>1320</v>
      </c>
      <c r="I49" s="14" t="s">
        <v>1050</v>
      </c>
      <c r="J49" s="14" t="s">
        <v>1021</v>
      </c>
      <c r="K49" s="14" t="s">
        <v>3611</v>
      </c>
      <c r="L49" s="14" t="s">
        <v>3611</v>
      </c>
      <c r="M49" s="14" t="s">
        <v>3611</v>
      </c>
    </row>
    <row r="50" spans="1:13" ht="29" x14ac:dyDescent="0.35">
      <c r="A50" s="14" t="s">
        <v>1322</v>
      </c>
      <c r="B50" s="14" t="s">
        <v>1322</v>
      </c>
      <c r="C50" s="14" t="s">
        <v>1019</v>
      </c>
      <c r="D50" s="14" t="s">
        <v>1325</v>
      </c>
      <c r="E50" s="14" t="s">
        <v>1325</v>
      </c>
      <c r="F50" s="14" t="s">
        <v>1326</v>
      </c>
      <c r="G50" s="14" t="s">
        <v>1025</v>
      </c>
      <c r="H50" s="14" t="s">
        <v>1327</v>
      </c>
      <c r="I50" s="14" t="s">
        <v>1025</v>
      </c>
      <c r="J50" s="14" t="s">
        <v>1021</v>
      </c>
      <c r="K50" s="14" t="s">
        <v>3760</v>
      </c>
      <c r="L50" s="14" t="s">
        <v>3611</v>
      </c>
      <c r="M50" s="14" t="s">
        <v>3611</v>
      </c>
    </row>
    <row r="51" spans="1:13" ht="29" x14ac:dyDescent="0.35">
      <c r="A51" s="14" t="s">
        <v>1331</v>
      </c>
      <c r="B51" s="14" t="s">
        <v>1331</v>
      </c>
      <c r="C51" s="14" t="s">
        <v>1019</v>
      </c>
      <c r="D51" s="14" t="s">
        <v>1313</v>
      </c>
      <c r="E51" s="14" t="s">
        <v>1313</v>
      </c>
      <c r="F51" s="14" t="s">
        <v>1314</v>
      </c>
      <c r="G51" s="14" t="s">
        <v>1023</v>
      </c>
      <c r="H51" s="14" t="s">
        <v>1315</v>
      </c>
      <c r="I51" s="14" t="s">
        <v>1025</v>
      </c>
      <c r="J51" s="14" t="s">
        <v>1021</v>
      </c>
      <c r="K51" s="14" t="s">
        <v>3760</v>
      </c>
      <c r="L51" s="14" t="s">
        <v>3760</v>
      </c>
      <c r="M51" s="14" t="s">
        <v>3760</v>
      </c>
    </row>
    <row r="52" spans="1:13" ht="29" x14ac:dyDescent="0.35">
      <c r="A52" s="14" t="s">
        <v>1334</v>
      </c>
      <c r="B52" s="14" t="s">
        <v>1334</v>
      </c>
      <c r="C52" s="14" t="s">
        <v>1019</v>
      </c>
      <c r="D52" s="14" t="s">
        <v>1335</v>
      </c>
      <c r="E52" s="14" t="s">
        <v>1335</v>
      </c>
      <c r="F52" s="14" t="s">
        <v>1336</v>
      </c>
      <c r="G52" s="14" t="s">
        <v>1050</v>
      </c>
      <c r="H52" s="14" t="s">
        <v>1337</v>
      </c>
      <c r="I52" s="14" t="s">
        <v>1050</v>
      </c>
      <c r="J52" s="14" t="s">
        <v>1021</v>
      </c>
      <c r="K52" s="14" t="s">
        <v>3611</v>
      </c>
      <c r="L52" s="14" t="s">
        <v>3611</v>
      </c>
      <c r="M52" s="14" t="s">
        <v>3611</v>
      </c>
    </row>
    <row r="53" spans="1:13" ht="43.5" x14ac:dyDescent="0.35">
      <c r="A53" s="14" t="s">
        <v>1339</v>
      </c>
      <c r="B53" s="14" t="s">
        <v>1339</v>
      </c>
      <c r="C53" s="14" t="s">
        <v>1019</v>
      </c>
      <c r="D53" s="14" t="s">
        <v>1341</v>
      </c>
      <c r="E53" s="14" t="s">
        <v>1341</v>
      </c>
      <c r="F53" s="14" t="s">
        <v>1342</v>
      </c>
      <c r="G53" s="14" t="s">
        <v>1048</v>
      </c>
      <c r="H53" s="14" t="s">
        <v>1343</v>
      </c>
      <c r="I53" s="14" t="s">
        <v>1050</v>
      </c>
      <c r="J53" s="14" t="s">
        <v>1021</v>
      </c>
      <c r="K53" s="14" t="s">
        <v>3611</v>
      </c>
      <c r="L53" s="14" t="s">
        <v>3611</v>
      </c>
      <c r="M53" s="14" t="s">
        <v>3611</v>
      </c>
    </row>
    <row r="54" spans="1:13" ht="29" x14ac:dyDescent="0.35">
      <c r="A54" s="14" t="s">
        <v>1345</v>
      </c>
      <c r="B54" s="14" t="s">
        <v>1345</v>
      </c>
      <c r="C54" s="14" t="s">
        <v>1019</v>
      </c>
      <c r="D54" s="14" t="s">
        <v>1346</v>
      </c>
      <c r="E54" s="14" t="s">
        <v>1346</v>
      </c>
      <c r="F54" s="14" t="s">
        <v>1347</v>
      </c>
      <c r="G54" s="14" t="s">
        <v>1048</v>
      </c>
      <c r="H54" s="14" t="s">
        <v>1348</v>
      </c>
      <c r="I54" s="14" t="s">
        <v>1050</v>
      </c>
      <c r="J54" s="14" t="s">
        <v>1021</v>
      </c>
      <c r="K54" s="14" t="s">
        <v>3611</v>
      </c>
      <c r="L54" s="14" t="s">
        <v>3611</v>
      </c>
      <c r="M54" s="14" t="s">
        <v>3611</v>
      </c>
    </row>
    <row r="55" spans="1:13" ht="58" x14ac:dyDescent="0.35">
      <c r="A55" s="14" t="s">
        <v>1350</v>
      </c>
      <c r="B55" s="14" t="s">
        <v>1350</v>
      </c>
      <c r="C55" s="14" t="s">
        <v>1019</v>
      </c>
      <c r="D55" s="14" t="s">
        <v>1351</v>
      </c>
      <c r="E55" s="14" t="s">
        <v>1351</v>
      </c>
      <c r="F55" s="14" t="s">
        <v>1352</v>
      </c>
      <c r="G55" s="14" t="s">
        <v>1048</v>
      </c>
      <c r="H55" s="14" t="s">
        <v>1353</v>
      </c>
      <c r="I55" s="14" t="s">
        <v>1050</v>
      </c>
      <c r="J55" s="14" t="s">
        <v>1021</v>
      </c>
      <c r="K55" s="14" t="s">
        <v>3611</v>
      </c>
      <c r="L55" s="14" t="s">
        <v>2911</v>
      </c>
      <c r="M55" s="14" t="s">
        <v>2911</v>
      </c>
    </row>
    <row r="56" spans="1:13" ht="29" x14ac:dyDescent="0.35">
      <c r="A56" s="14" t="s">
        <v>1355</v>
      </c>
      <c r="B56" s="14" t="s">
        <v>1355</v>
      </c>
      <c r="C56" s="14" t="s">
        <v>1019</v>
      </c>
      <c r="D56" s="14" t="s">
        <v>1356</v>
      </c>
      <c r="E56" s="14" t="s">
        <v>1356</v>
      </c>
      <c r="F56" s="14" t="s">
        <v>1357</v>
      </c>
      <c r="G56" s="14" t="s">
        <v>1025</v>
      </c>
      <c r="H56" s="14" t="s">
        <v>1358</v>
      </c>
      <c r="I56" s="14" t="s">
        <v>1025</v>
      </c>
      <c r="J56" s="14" t="s">
        <v>1021</v>
      </c>
      <c r="K56" s="14" t="s">
        <v>3589</v>
      </c>
      <c r="L56" s="14" t="s">
        <v>3589</v>
      </c>
      <c r="M56" s="14" t="s">
        <v>3589</v>
      </c>
    </row>
    <row r="57" spans="1:13" ht="29" x14ac:dyDescent="0.35">
      <c r="A57" s="14" t="s">
        <v>1362</v>
      </c>
      <c r="B57" s="14" t="s">
        <v>1362</v>
      </c>
      <c r="C57" s="14" t="s">
        <v>1019</v>
      </c>
      <c r="D57" s="14" t="s">
        <v>1363</v>
      </c>
      <c r="E57" s="14" t="s">
        <v>1363</v>
      </c>
      <c r="F57" s="14" t="s">
        <v>1364</v>
      </c>
      <c r="G57" s="14" t="s">
        <v>1048</v>
      </c>
      <c r="H57" s="14" t="s">
        <v>1365</v>
      </c>
      <c r="I57" s="14" t="s">
        <v>1050</v>
      </c>
      <c r="J57" s="14" t="s">
        <v>1021</v>
      </c>
      <c r="K57" s="14" t="s">
        <v>3611</v>
      </c>
      <c r="L57" s="14" t="s">
        <v>3611</v>
      </c>
      <c r="M57" s="14" t="s">
        <v>3611</v>
      </c>
    </row>
    <row r="58" spans="1:13" ht="29" x14ac:dyDescent="0.35">
      <c r="A58" s="14" t="s">
        <v>1368</v>
      </c>
      <c r="B58" s="14" t="s">
        <v>1368</v>
      </c>
      <c r="C58" s="14" t="s">
        <v>1019</v>
      </c>
      <c r="D58" s="14" t="s">
        <v>1369</v>
      </c>
      <c r="E58" s="14" t="s">
        <v>1369</v>
      </c>
      <c r="F58" s="14"/>
      <c r="G58" s="14" t="s">
        <v>1034</v>
      </c>
      <c r="H58" s="14"/>
      <c r="I58" s="14" t="s">
        <v>1034</v>
      </c>
      <c r="J58" s="14" t="s">
        <v>1114</v>
      </c>
      <c r="K58" s="14" t="s">
        <v>3611</v>
      </c>
      <c r="L58" s="14" t="s">
        <v>3611</v>
      </c>
      <c r="M58" s="14" t="s">
        <v>3611</v>
      </c>
    </row>
    <row r="59" spans="1:13" ht="58" x14ac:dyDescent="0.35">
      <c r="A59" s="14" t="s">
        <v>1371</v>
      </c>
      <c r="B59" s="14" t="s">
        <v>1371</v>
      </c>
      <c r="C59" s="14" t="s">
        <v>1019</v>
      </c>
      <c r="D59" s="14" t="s">
        <v>1372</v>
      </c>
      <c r="E59" s="14" t="s">
        <v>1372</v>
      </c>
      <c r="F59" s="14" t="s">
        <v>1373</v>
      </c>
      <c r="G59" s="14" t="s">
        <v>1023</v>
      </c>
      <c r="H59" s="14" t="s">
        <v>1374</v>
      </c>
      <c r="I59" s="14" t="s">
        <v>1023</v>
      </c>
      <c r="J59" s="14" t="s">
        <v>1021</v>
      </c>
      <c r="K59" s="14" t="s">
        <v>2832</v>
      </c>
      <c r="L59" s="14" t="s">
        <v>3589</v>
      </c>
      <c r="M59" s="14" t="s">
        <v>3765</v>
      </c>
    </row>
    <row r="60" spans="1:13" ht="29" x14ac:dyDescent="0.35">
      <c r="A60" s="14" t="s">
        <v>1376</v>
      </c>
      <c r="B60" s="14" t="s">
        <v>1376</v>
      </c>
      <c r="C60" s="14" t="s">
        <v>1019</v>
      </c>
      <c r="D60" s="14" t="s">
        <v>1378</v>
      </c>
      <c r="E60" s="14" t="s">
        <v>1378</v>
      </c>
      <c r="F60" s="14" t="s">
        <v>1379</v>
      </c>
      <c r="G60" s="14" t="s">
        <v>1048</v>
      </c>
      <c r="H60" s="14" t="s">
        <v>1380</v>
      </c>
      <c r="I60" s="14" t="s">
        <v>1048</v>
      </c>
      <c r="J60" s="14" t="s">
        <v>1021</v>
      </c>
      <c r="K60" s="14" t="s">
        <v>3611</v>
      </c>
      <c r="L60" s="14" t="s">
        <v>3611</v>
      </c>
      <c r="M60" s="14" t="s">
        <v>3611</v>
      </c>
    </row>
    <row r="61" spans="1:13" ht="29" x14ac:dyDescent="0.35">
      <c r="A61" s="14" t="s">
        <v>1382</v>
      </c>
      <c r="B61" s="14" t="s">
        <v>1382</v>
      </c>
      <c r="C61" s="14" t="s">
        <v>1019</v>
      </c>
      <c r="D61" s="14" t="s">
        <v>1384</v>
      </c>
      <c r="E61" s="14" t="s">
        <v>1384</v>
      </c>
      <c r="F61" s="14" t="s">
        <v>1385</v>
      </c>
      <c r="G61" s="14" t="s">
        <v>1048</v>
      </c>
      <c r="H61" s="14" t="s">
        <v>1386</v>
      </c>
      <c r="I61" s="14" t="s">
        <v>1050</v>
      </c>
      <c r="J61" s="14" t="s">
        <v>1021</v>
      </c>
      <c r="K61" s="14" t="s">
        <v>3611</v>
      </c>
      <c r="L61" s="14" t="s">
        <v>3611</v>
      </c>
      <c r="M61" s="14" t="s">
        <v>3611</v>
      </c>
    </row>
    <row r="62" spans="1:13" ht="29" x14ac:dyDescent="0.35">
      <c r="A62" s="14" t="s">
        <v>1388</v>
      </c>
      <c r="B62" s="14" t="s">
        <v>1388</v>
      </c>
      <c r="C62" s="14" t="s">
        <v>1019</v>
      </c>
      <c r="D62" s="14" t="s">
        <v>1389</v>
      </c>
      <c r="E62" s="14" t="s">
        <v>1389</v>
      </c>
      <c r="F62" s="14" t="s">
        <v>1390</v>
      </c>
      <c r="G62" s="14" t="s">
        <v>1048</v>
      </c>
      <c r="H62" s="14" t="s">
        <v>1391</v>
      </c>
      <c r="I62" s="14" t="s">
        <v>1050</v>
      </c>
      <c r="J62" s="14" t="s">
        <v>1021</v>
      </c>
      <c r="K62" s="14" t="s">
        <v>3611</v>
      </c>
      <c r="L62" s="14" t="s">
        <v>3611</v>
      </c>
      <c r="M62" s="14" t="s">
        <v>3611</v>
      </c>
    </row>
    <row r="63" spans="1:13" ht="29" x14ac:dyDescent="0.35">
      <c r="A63" s="14" t="s">
        <v>1394</v>
      </c>
      <c r="B63" s="14" t="s">
        <v>1394</v>
      </c>
      <c r="C63" s="14" t="s">
        <v>1019</v>
      </c>
      <c r="D63" s="14" t="s">
        <v>1399</v>
      </c>
      <c r="E63" s="14" t="s">
        <v>1399</v>
      </c>
      <c r="F63" s="14" t="s">
        <v>1400</v>
      </c>
      <c r="G63" s="14" t="s">
        <v>1050</v>
      </c>
      <c r="H63" s="14" t="s">
        <v>1401</v>
      </c>
      <c r="I63" s="14" t="s">
        <v>1050</v>
      </c>
      <c r="J63" s="14" t="s">
        <v>1021</v>
      </c>
      <c r="K63" s="14" t="s">
        <v>3611</v>
      </c>
      <c r="L63" s="14" t="s">
        <v>3611</v>
      </c>
      <c r="M63" s="14" t="s">
        <v>3611</v>
      </c>
    </row>
    <row r="64" spans="1:13" ht="43.5" x14ac:dyDescent="0.35">
      <c r="A64" s="14" t="s">
        <v>1405</v>
      </c>
      <c r="B64" s="14" t="s">
        <v>1405</v>
      </c>
      <c r="C64" s="14" t="s">
        <v>1019</v>
      </c>
      <c r="D64" s="14" t="s">
        <v>1408</v>
      </c>
      <c r="E64" s="14" t="s">
        <v>1408</v>
      </c>
      <c r="F64" s="14" t="s">
        <v>1409</v>
      </c>
      <c r="G64" s="14" t="s">
        <v>1023</v>
      </c>
      <c r="H64" s="14" t="s">
        <v>1410</v>
      </c>
      <c r="I64" s="14" t="s">
        <v>1025</v>
      </c>
      <c r="J64" s="14" t="s">
        <v>1021</v>
      </c>
      <c r="K64" s="14" t="s">
        <v>3760</v>
      </c>
      <c r="L64" s="14" t="s">
        <v>3760</v>
      </c>
      <c r="M64" s="14" t="s">
        <v>3760</v>
      </c>
    </row>
    <row r="65" spans="1:13" ht="43.5" x14ac:dyDescent="0.35">
      <c r="A65" s="14" t="s">
        <v>1412</v>
      </c>
      <c r="B65" s="14" t="s">
        <v>1412</v>
      </c>
      <c r="C65" s="14" t="s">
        <v>1019</v>
      </c>
      <c r="D65" s="14" t="s">
        <v>1413</v>
      </c>
      <c r="E65" s="14" t="s">
        <v>1413</v>
      </c>
      <c r="F65" s="14" t="s">
        <v>1414</v>
      </c>
      <c r="G65" s="14" t="s">
        <v>1048</v>
      </c>
      <c r="H65" s="14" t="s">
        <v>1415</v>
      </c>
      <c r="I65" s="14" t="s">
        <v>1048</v>
      </c>
      <c r="J65" s="14" t="s">
        <v>1021</v>
      </c>
      <c r="K65" s="14" t="s">
        <v>3611</v>
      </c>
      <c r="L65" s="14" t="s">
        <v>3611</v>
      </c>
      <c r="M65" s="14" t="s">
        <v>3611</v>
      </c>
    </row>
    <row r="66" spans="1:13" ht="29" x14ac:dyDescent="0.35">
      <c r="A66" s="14" t="s">
        <v>1417</v>
      </c>
      <c r="B66" s="14" t="s">
        <v>1417</v>
      </c>
      <c r="C66" s="14" t="s">
        <v>1019</v>
      </c>
      <c r="D66" s="14" t="s">
        <v>1418</v>
      </c>
      <c r="E66" s="14" t="s">
        <v>1418</v>
      </c>
      <c r="F66" s="14"/>
      <c r="G66" s="14" t="s">
        <v>1034</v>
      </c>
      <c r="H66" s="14"/>
      <c r="I66" s="14" t="s">
        <v>1034</v>
      </c>
      <c r="J66" s="14" t="s">
        <v>1114</v>
      </c>
      <c r="K66" s="14" t="s">
        <v>3040</v>
      </c>
      <c r="L66" s="14" t="s">
        <v>3764</v>
      </c>
      <c r="M66" s="14" t="s">
        <v>3764</v>
      </c>
    </row>
    <row r="67" spans="1:13" ht="29" x14ac:dyDescent="0.35">
      <c r="A67" s="14" t="s">
        <v>1420</v>
      </c>
      <c r="B67" s="14" t="s">
        <v>1420</v>
      </c>
      <c r="C67" s="14" t="s">
        <v>1019</v>
      </c>
      <c r="D67" s="14" t="s">
        <v>1421</v>
      </c>
      <c r="E67" s="14" t="s">
        <v>1421</v>
      </c>
      <c r="F67" s="14"/>
      <c r="G67" s="14" t="s">
        <v>1034</v>
      </c>
      <c r="H67" s="14" t="s">
        <v>1422</v>
      </c>
      <c r="I67" s="14" t="s">
        <v>1050</v>
      </c>
      <c r="J67" s="14" t="s">
        <v>1021</v>
      </c>
      <c r="K67" s="14" t="s">
        <v>3611</v>
      </c>
      <c r="L67" s="14" t="s">
        <v>3611</v>
      </c>
      <c r="M67" s="14" t="s">
        <v>3611</v>
      </c>
    </row>
    <row r="68" spans="1:13" ht="29" x14ac:dyDescent="0.35">
      <c r="A68" s="14" t="s">
        <v>1424</v>
      </c>
      <c r="B68" s="14" t="s">
        <v>1424</v>
      </c>
      <c r="C68" s="14" t="s">
        <v>1019</v>
      </c>
      <c r="D68" s="14" t="s">
        <v>1425</v>
      </c>
      <c r="E68" s="14" t="s">
        <v>1425</v>
      </c>
      <c r="F68" s="14" t="s">
        <v>1426</v>
      </c>
      <c r="G68" s="14" t="s">
        <v>1048</v>
      </c>
      <c r="H68" s="14" t="s">
        <v>1427</v>
      </c>
      <c r="I68" s="14" t="s">
        <v>1050</v>
      </c>
      <c r="J68" s="14" t="s">
        <v>1021</v>
      </c>
      <c r="K68" s="14" t="s">
        <v>3611</v>
      </c>
      <c r="L68" s="14" t="s">
        <v>3611</v>
      </c>
      <c r="M68" s="14" t="s">
        <v>3611</v>
      </c>
    </row>
    <row r="69" spans="1:13" ht="43.5" x14ac:dyDescent="0.35">
      <c r="A69" s="14" t="s">
        <v>1429</v>
      </c>
      <c r="B69" s="14" t="s">
        <v>1429</v>
      </c>
      <c r="C69" s="14" t="s">
        <v>1019</v>
      </c>
      <c r="D69" s="14" t="s">
        <v>1430</v>
      </c>
      <c r="E69" s="14" t="s">
        <v>1430</v>
      </c>
      <c r="F69" s="14" t="s">
        <v>1431</v>
      </c>
      <c r="G69" s="14" t="s">
        <v>1048</v>
      </c>
      <c r="H69" s="14" t="s">
        <v>1432</v>
      </c>
      <c r="I69" s="14" t="s">
        <v>1050</v>
      </c>
      <c r="J69" s="14" t="s">
        <v>1021</v>
      </c>
      <c r="K69" s="14" t="s">
        <v>3611</v>
      </c>
      <c r="L69" s="14" t="s">
        <v>3760</v>
      </c>
      <c r="M69" s="14" t="s">
        <v>3760</v>
      </c>
    </row>
    <row r="70" spans="1:13" ht="29" x14ac:dyDescent="0.35">
      <c r="A70" s="14" t="s">
        <v>1436</v>
      </c>
      <c r="B70" s="14" t="s">
        <v>1436</v>
      </c>
      <c r="C70" s="14" t="s">
        <v>1019</v>
      </c>
      <c r="D70" s="14" t="s">
        <v>1437</v>
      </c>
      <c r="E70" s="14" t="s">
        <v>1437</v>
      </c>
      <c r="F70" s="14" t="s">
        <v>1438</v>
      </c>
      <c r="G70" s="14" t="s">
        <v>1048</v>
      </c>
      <c r="H70" s="14" t="s">
        <v>1439</v>
      </c>
      <c r="I70" s="14" t="s">
        <v>1048</v>
      </c>
      <c r="J70" s="14" t="s">
        <v>1021</v>
      </c>
      <c r="K70" s="14" t="s">
        <v>3611</v>
      </c>
      <c r="L70" s="14" t="s">
        <v>3611</v>
      </c>
      <c r="M70" s="14" t="s">
        <v>3611</v>
      </c>
    </row>
    <row r="71" spans="1:13" ht="43.5" x14ac:dyDescent="0.35">
      <c r="A71" s="14" t="s">
        <v>1444</v>
      </c>
      <c r="B71" s="14" t="s">
        <v>1444</v>
      </c>
      <c r="C71" s="14" t="s">
        <v>1019</v>
      </c>
      <c r="D71" s="14" t="s">
        <v>1447</v>
      </c>
      <c r="E71" s="14" t="s">
        <v>1447</v>
      </c>
      <c r="F71" s="14" t="s">
        <v>1448</v>
      </c>
      <c r="G71" s="14" t="s">
        <v>1048</v>
      </c>
      <c r="H71" s="14" t="s">
        <v>1449</v>
      </c>
      <c r="I71" s="14" t="s">
        <v>1050</v>
      </c>
      <c r="J71" s="14" t="s">
        <v>1021</v>
      </c>
      <c r="K71" s="14" t="s">
        <v>3611</v>
      </c>
      <c r="L71" s="14" t="s">
        <v>3611</v>
      </c>
      <c r="M71" s="14" t="s">
        <v>3611</v>
      </c>
    </row>
    <row r="72" spans="1:13" ht="29" x14ac:dyDescent="0.35">
      <c r="A72" s="14" t="s">
        <v>1451</v>
      </c>
      <c r="B72" s="14" t="s">
        <v>1451</v>
      </c>
      <c r="C72" s="14" t="s">
        <v>1019</v>
      </c>
      <c r="D72" s="14" t="s">
        <v>1456</v>
      </c>
      <c r="E72" s="14" t="s">
        <v>1456</v>
      </c>
      <c r="F72" s="14" t="s">
        <v>1457</v>
      </c>
      <c r="G72" s="14" t="s">
        <v>1048</v>
      </c>
      <c r="H72" s="14" t="s">
        <v>1458</v>
      </c>
      <c r="I72" s="14" t="s">
        <v>1050</v>
      </c>
      <c r="J72" s="14" t="s">
        <v>1021</v>
      </c>
      <c r="K72" s="14" t="s">
        <v>3611</v>
      </c>
      <c r="L72" s="14" t="s">
        <v>3611</v>
      </c>
      <c r="M72" s="14" t="s">
        <v>3611</v>
      </c>
    </row>
    <row r="73" spans="1:13" ht="29" x14ac:dyDescent="0.35">
      <c r="A73" s="14" t="s">
        <v>1460</v>
      </c>
      <c r="B73" s="14" t="s">
        <v>1460</v>
      </c>
      <c r="C73" s="14" t="s">
        <v>1019</v>
      </c>
      <c r="D73" s="14" t="s">
        <v>1462</v>
      </c>
      <c r="E73" s="14" t="s">
        <v>1462</v>
      </c>
      <c r="F73" s="14" t="s">
        <v>1463</v>
      </c>
      <c r="G73" s="14" t="s">
        <v>1048</v>
      </c>
      <c r="H73" s="14" t="s">
        <v>1464</v>
      </c>
      <c r="I73" s="14" t="s">
        <v>1025</v>
      </c>
      <c r="J73" s="14" t="s">
        <v>1021</v>
      </c>
      <c r="K73" s="14" t="s">
        <v>2911</v>
      </c>
      <c r="L73" s="14" t="s">
        <v>3760</v>
      </c>
      <c r="M73" s="14" t="s">
        <v>2911</v>
      </c>
    </row>
    <row r="74" spans="1:13" ht="43.5" x14ac:dyDescent="0.35">
      <c r="A74" s="14" t="s">
        <v>1468</v>
      </c>
      <c r="B74" s="14" t="s">
        <v>1468</v>
      </c>
      <c r="C74" s="14" t="s">
        <v>1019</v>
      </c>
      <c r="D74" s="14" t="s">
        <v>1469</v>
      </c>
      <c r="E74" s="14" t="s">
        <v>1469</v>
      </c>
      <c r="F74" s="14" t="s">
        <v>1470</v>
      </c>
      <c r="G74" s="14" t="s">
        <v>1048</v>
      </c>
      <c r="H74" s="14" t="s">
        <v>1471</v>
      </c>
      <c r="I74" s="14" t="s">
        <v>1050</v>
      </c>
      <c r="J74" s="14" t="s">
        <v>1021</v>
      </c>
      <c r="K74" s="14" t="s">
        <v>3611</v>
      </c>
      <c r="L74" s="14" t="s">
        <v>3611</v>
      </c>
      <c r="M74" s="14" t="s">
        <v>3611</v>
      </c>
    </row>
    <row r="75" spans="1:13" ht="29" x14ac:dyDescent="0.35">
      <c r="A75" s="14" t="s">
        <v>1475</v>
      </c>
      <c r="B75" s="14" t="s">
        <v>1475</v>
      </c>
      <c r="C75" s="14" t="s">
        <v>1019</v>
      </c>
      <c r="D75" s="14" t="s">
        <v>1477</v>
      </c>
      <c r="E75" s="14" t="s">
        <v>1477</v>
      </c>
      <c r="F75" s="14"/>
      <c r="G75" s="14" t="s">
        <v>1034</v>
      </c>
      <c r="H75" s="14"/>
      <c r="I75" s="14" t="s">
        <v>1034</v>
      </c>
      <c r="J75" s="14" t="s">
        <v>1114</v>
      </c>
      <c r="K75" s="14" t="s">
        <v>3611</v>
      </c>
      <c r="L75" s="14" t="s">
        <v>3611</v>
      </c>
      <c r="M75" s="14" t="s">
        <v>3611</v>
      </c>
    </row>
    <row r="76" spans="1:13" ht="72.5" x14ac:dyDescent="0.35">
      <c r="A76" s="14" t="s">
        <v>1479</v>
      </c>
      <c r="B76" s="14" t="s">
        <v>1479</v>
      </c>
      <c r="C76" s="14" t="s">
        <v>1019</v>
      </c>
      <c r="D76" s="14" t="s">
        <v>1480</v>
      </c>
      <c r="E76" s="14" t="s">
        <v>1480</v>
      </c>
      <c r="F76" s="14" t="s">
        <v>1481</v>
      </c>
      <c r="G76" s="14" t="s">
        <v>1023</v>
      </c>
      <c r="H76" s="14"/>
      <c r="I76" s="14" t="s">
        <v>1034</v>
      </c>
      <c r="J76" s="14" t="s">
        <v>1021</v>
      </c>
      <c r="K76" s="14" t="s">
        <v>2911</v>
      </c>
      <c r="L76" s="14" t="s">
        <v>2911</v>
      </c>
      <c r="M76" s="14" t="s">
        <v>2911</v>
      </c>
    </row>
    <row r="77" spans="1:13" ht="29" x14ac:dyDescent="0.35">
      <c r="A77" s="14" t="s">
        <v>1483</v>
      </c>
      <c r="B77" s="14" t="s">
        <v>1483</v>
      </c>
      <c r="C77" s="14" t="s">
        <v>1019</v>
      </c>
      <c r="D77" s="14" t="s">
        <v>1484</v>
      </c>
      <c r="E77" s="14" t="s">
        <v>1484</v>
      </c>
      <c r="F77" s="14" t="s">
        <v>1485</v>
      </c>
      <c r="G77" s="14" t="s">
        <v>1050</v>
      </c>
      <c r="H77" s="14" t="s">
        <v>1486</v>
      </c>
      <c r="I77" s="14" t="s">
        <v>1050</v>
      </c>
      <c r="J77" s="14" t="s">
        <v>1021</v>
      </c>
      <c r="K77" s="14" t="s">
        <v>3611</v>
      </c>
      <c r="L77" s="14" t="s">
        <v>3611</v>
      </c>
      <c r="M77" s="14" t="s">
        <v>3611</v>
      </c>
    </row>
    <row r="78" spans="1:13" ht="43.5" x14ac:dyDescent="0.35">
      <c r="A78" s="14" t="s">
        <v>1488</v>
      </c>
      <c r="B78" s="14" t="s">
        <v>1488</v>
      </c>
      <c r="C78" s="14" t="s">
        <v>1019</v>
      </c>
      <c r="D78" s="14" t="s">
        <v>1490</v>
      </c>
      <c r="E78" s="14" t="s">
        <v>1490</v>
      </c>
      <c r="F78" s="14" t="s">
        <v>1491</v>
      </c>
      <c r="G78" s="14" t="s">
        <v>1023</v>
      </c>
      <c r="H78" s="14" t="s">
        <v>1492</v>
      </c>
      <c r="I78" s="14" t="s">
        <v>1025</v>
      </c>
      <c r="J78" s="14" t="s">
        <v>1021</v>
      </c>
      <c r="K78" s="14" t="s">
        <v>3760</v>
      </c>
      <c r="L78" s="14" t="s">
        <v>3760</v>
      </c>
      <c r="M78" s="14" t="s">
        <v>3760</v>
      </c>
    </row>
    <row r="79" spans="1:13" ht="29" x14ac:dyDescent="0.35">
      <c r="A79" s="14" t="s">
        <v>1496</v>
      </c>
      <c r="B79" s="14" t="s">
        <v>1496</v>
      </c>
      <c r="C79" s="14" t="s">
        <v>1019</v>
      </c>
      <c r="D79" s="14" t="s">
        <v>1500</v>
      </c>
      <c r="E79" s="14" t="s">
        <v>1500</v>
      </c>
      <c r="F79" s="14"/>
      <c r="G79" s="14" t="s">
        <v>1034</v>
      </c>
      <c r="H79" s="14"/>
      <c r="I79" s="14" t="s">
        <v>1034</v>
      </c>
      <c r="J79" s="14" t="s">
        <v>1114</v>
      </c>
      <c r="K79" s="14" t="s">
        <v>3611</v>
      </c>
      <c r="L79" s="14" t="s">
        <v>3611</v>
      </c>
      <c r="M79" s="14" t="s">
        <v>3611</v>
      </c>
    </row>
    <row r="80" spans="1:13" ht="58" x14ac:dyDescent="0.35">
      <c r="A80" s="14" t="s">
        <v>1502</v>
      </c>
      <c r="B80" s="14" t="s">
        <v>1502</v>
      </c>
      <c r="C80" s="14" t="s">
        <v>1019</v>
      </c>
      <c r="D80" s="14" t="s">
        <v>1503</v>
      </c>
      <c r="E80" s="14" t="s">
        <v>1503</v>
      </c>
      <c r="F80" s="14" t="s">
        <v>1504</v>
      </c>
      <c r="G80" s="14" t="s">
        <v>1048</v>
      </c>
      <c r="H80" s="14"/>
      <c r="I80" s="14" t="s">
        <v>1034</v>
      </c>
      <c r="J80" s="14" t="s">
        <v>1021</v>
      </c>
      <c r="K80" s="14" t="s">
        <v>3611</v>
      </c>
      <c r="L80" s="14" t="s">
        <v>3760</v>
      </c>
      <c r="M80" s="14" t="s">
        <v>3760</v>
      </c>
    </row>
    <row r="81" spans="1:13" ht="29" x14ac:dyDescent="0.35">
      <c r="A81" s="14" t="s">
        <v>1507</v>
      </c>
      <c r="B81" s="14" t="s">
        <v>1507</v>
      </c>
      <c r="C81" s="14" t="s">
        <v>1019</v>
      </c>
      <c r="D81" s="14" t="s">
        <v>1509</v>
      </c>
      <c r="E81" s="14" t="s">
        <v>1509</v>
      </c>
      <c r="F81" s="14"/>
      <c r="G81" s="14" t="s">
        <v>1034</v>
      </c>
      <c r="H81" s="14"/>
      <c r="I81" s="14" t="s">
        <v>1034</v>
      </c>
      <c r="J81" s="14" t="s">
        <v>1114</v>
      </c>
      <c r="K81" s="14" t="s">
        <v>3611</v>
      </c>
      <c r="L81" s="14" t="s">
        <v>3611</v>
      </c>
      <c r="M81" s="14" t="s">
        <v>3611</v>
      </c>
    </row>
    <row r="82" spans="1:13" ht="29" x14ac:dyDescent="0.35">
      <c r="A82" s="14" t="s">
        <v>1511</v>
      </c>
      <c r="B82" s="14" t="s">
        <v>1511</v>
      </c>
      <c r="C82" s="14" t="s">
        <v>1019</v>
      </c>
      <c r="D82" s="14" t="s">
        <v>1512</v>
      </c>
      <c r="E82" s="14" t="s">
        <v>1512</v>
      </c>
      <c r="F82" s="14" t="s">
        <v>1513</v>
      </c>
      <c r="G82" s="14" t="s">
        <v>1048</v>
      </c>
      <c r="H82" s="14" t="s">
        <v>1514</v>
      </c>
      <c r="I82" s="14" t="s">
        <v>1025</v>
      </c>
      <c r="J82" s="14" t="s">
        <v>1021</v>
      </c>
      <c r="K82" s="14" t="s">
        <v>3760</v>
      </c>
      <c r="L82" s="14" t="s">
        <v>3760</v>
      </c>
      <c r="M82" s="14" t="s">
        <v>3760</v>
      </c>
    </row>
    <row r="83" spans="1:13" ht="29" x14ac:dyDescent="0.35">
      <c r="A83" s="14" t="s">
        <v>1517</v>
      </c>
      <c r="B83" s="14" t="s">
        <v>1517</v>
      </c>
      <c r="C83" s="14" t="s">
        <v>1019</v>
      </c>
      <c r="D83" s="14" t="s">
        <v>1522</v>
      </c>
      <c r="E83" s="14" t="s">
        <v>1522</v>
      </c>
      <c r="F83" s="14" t="s">
        <v>1523</v>
      </c>
      <c r="G83" s="14" t="s">
        <v>1048</v>
      </c>
      <c r="H83" s="14" t="s">
        <v>1524</v>
      </c>
      <c r="I83" s="14" t="s">
        <v>1050</v>
      </c>
      <c r="J83" s="14" t="s">
        <v>1021</v>
      </c>
      <c r="K83" s="14" t="s">
        <v>3611</v>
      </c>
      <c r="L83" s="14" t="s">
        <v>3611</v>
      </c>
      <c r="M83" s="14" t="s">
        <v>3611</v>
      </c>
    </row>
    <row r="84" spans="1:13" ht="43.5" x14ac:dyDescent="0.35">
      <c r="A84" s="14" t="s">
        <v>1526</v>
      </c>
      <c r="B84" s="14" t="s">
        <v>1526</v>
      </c>
      <c r="C84" s="14" t="s">
        <v>1019</v>
      </c>
      <c r="D84" s="14" t="s">
        <v>1527</v>
      </c>
      <c r="E84" s="14" t="s">
        <v>1527</v>
      </c>
      <c r="F84" s="14" t="s">
        <v>1528</v>
      </c>
      <c r="G84" s="14" t="s">
        <v>1048</v>
      </c>
      <c r="H84" s="14" t="s">
        <v>1529</v>
      </c>
      <c r="I84" s="14" t="s">
        <v>1048</v>
      </c>
      <c r="J84" s="14" t="s">
        <v>1021</v>
      </c>
      <c r="K84" s="14" t="s">
        <v>3611</v>
      </c>
      <c r="L84" s="14" t="s">
        <v>3611</v>
      </c>
      <c r="M84" s="14" t="s">
        <v>3611</v>
      </c>
    </row>
    <row r="85" spans="1:13" ht="58" x14ac:dyDescent="0.35">
      <c r="A85" s="14" t="s">
        <v>1532</v>
      </c>
      <c r="B85" s="14" t="s">
        <v>1532</v>
      </c>
      <c r="C85" s="14" t="s">
        <v>1019</v>
      </c>
      <c r="D85" s="14" t="s">
        <v>1535</v>
      </c>
      <c r="E85" s="14" t="s">
        <v>1535</v>
      </c>
      <c r="F85" s="14" t="s">
        <v>1536</v>
      </c>
      <c r="G85" s="14" t="s">
        <v>1048</v>
      </c>
      <c r="H85" s="14" t="s">
        <v>1537</v>
      </c>
      <c r="I85" s="14" t="s">
        <v>1048</v>
      </c>
      <c r="J85" s="14" t="s">
        <v>1021</v>
      </c>
      <c r="K85" s="14" t="s">
        <v>3611</v>
      </c>
      <c r="L85" s="14" t="s">
        <v>3611</v>
      </c>
      <c r="M85" s="14" t="s">
        <v>3611</v>
      </c>
    </row>
    <row r="86" spans="1:13" ht="29" x14ac:dyDescent="0.35">
      <c r="A86" s="14" t="s">
        <v>1541</v>
      </c>
      <c r="B86" s="14" t="s">
        <v>1541</v>
      </c>
      <c r="C86" s="14" t="s">
        <v>1019</v>
      </c>
      <c r="D86" s="14" t="s">
        <v>1542</v>
      </c>
      <c r="E86" s="14" t="s">
        <v>1542</v>
      </c>
      <c r="F86" s="14" t="s">
        <v>1543</v>
      </c>
      <c r="G86" s="14" t="s">
        <v>1050</v>
      </c>
      <c r="H86" s="14" t="s">
        <v>1544</v>
      </c>
      <c r="I86" s="14" t="s">
        <v>1050</v>
      </c>
      <c r="J86" s="14" t="s">
        <v>1021</v>
      </c>
      <c r="K86" s="14" t="s">
        <v>3611</v>
      </c>
      <c r="L86" s="14" t="s">
        <v>3611</v>
      </c>
      <c r="M86" s="14" t="s">
        <v>3611</v>
      </c>
    </row>
    <row r="87" spans="1:13" ht="29" x14ac:dyDescent="0.35">
      <c r="A87" s="14" t="s">
        <v>1546</v>
      </c>
      <c r="B87" s="14" t="s">
        <v>1546</v>
      </c>
      <c r="C87" s="14" t="s">
        <v>1019</v>
      </c>
      <c r="D87" s="14" t="s">
        <v>1547</v>
      </c>
      <c r="E87" s="14" t="s">
        <v>1547</v>
      </c>
      <c r="F87" s="14" t="s">
        <v>1548</v>
      </c>
      <c r="G87" s="14" t="s">
        <v>1050</v>
      </c>
      <c r="H87" s="14" t="s">
        <v>1549</v>
      </c>
      <c r="I87" s="14" t="s">
        <v>1050</v>
      </c>
      <c r="J87" s="14" t="s">
        <v>1021</v>
      </c>
      <c r="K87" s="14" t="s">
        <v>3611</v>
      </c>
      <c r="L87" s="14" t="s">
        <v>3611</v>
      </c>
      <c r="M87" s="14" t="s">
        <v>3611</v>
      </c>
    </row>
    <row r="88" spans="1:13" ht="43.5" x14ac:dyDescent="0.35">
      <c r="A88" s="14" t="s">
        <v>1551</v>
      </c>
      <c r="B88" s="14" t="s">
        <v>1551</v>
      </c>
      <c r="C88" s="14" t="s">
        <v>1019</v>
      </c>
      <c r="D88" s="14" t="s">
        <v>1552</v>
      </c>
      <c r="E88" s="14" t="s">
        <v>1552</v>
      </c>
      <c r="F88" s="14" t="s">
        <v>1553</v>
      </c>
      <c r="G88" s="14" t="s">
        <v>1048</v>
      </c>
      <c r="H88" s="14" t="s">
        <v>1554</v>
      </c>
      <c r="I88" s="14" t="s">
        <v>1048</v>
      </c>
      <c r="J88" s="14" t="s">
        <v>1021</v>
      </c>
      <c r="K88" s="14" t="s">
        <v>3611</v>
      </c>
      <c r="L88" s="14" t="s">
        <v>3611</v>
      </c>
      <c r="M88" s="14" t="s">
        <v>3611</v>
      </c>
    </row>
    <row r="89" spans="1:13" ht="29" x14ac:dyDescent="0.35">
      <c r="A89" s="14" t="s">
        <v>1556</v>
      </c>
      <c r="B89" s="14" t="s">
        <v>1556</v>
      </c>
      <c r="C89" s="14" t="s">
        <v>1019</v>
      </c>
      <c r="D89" s="14" t="s">
        <v>1557</v>
      </c>
      <c r="E89" s="14" t="s">
        <v>1557</v>
      </c>
      <c r="F89" s="14" t="s">
        <v>1558</v>
      </c>
      <c r="G89" s="14" t="s">
        <v>1048</v>
      </c>
      <c r="H89" s="14" t="s">
        <v>1559</v>
      </c>
      <c r="I89" s="14" t="s">
        <v>1050</v>
      </c>
      <c r="J89" s="14" t="s">
        <v>1021</v>
      </c>
      <c r="K89" s="14" t="s">
        <v>3611</v>
      </c>
      <c r="L89" s="14" t="s">
        <v>3764</v>
      </c>
      <c r="M89" s="14" t="s">
        <v>3611</v>
      </c>
    </row>
    <row r="90" spans="1:13" ht="29" x14ac:dyDescent="0.35">
      <c r="A90" s="14" t="s">
        <v>1561</v>
      </c>
      <c r="B90" s="14" t="s">
        <v>1561</v>
      </c>
      <c r="C90" s="14" t="s">
        <v>1019</v>
      </c>
      <c r="D90" s="14" t="s">
        <v>1563</v>
      </c>
      <c r="E90" s="14" t="s">
        <v>1563</v>
      </c>
      <c r="F90" s="14" t="s">
        <v>1564</v>
      </c>
      <c r="G90" s="14" t="s">
        <v>1023</v>
      </c>
      <c r="H90" s="14" t="s">
        <v>1565</v>
      </c>
      <c r="I90" s="14" t="s">
        <v>1025</v>
      </c>
      <c r="J90" s="14" t="s">
        <v>1021</v>
      </c>
      <c r="K90" s="14" t="s">
        <v>3760</v>
      </c>
      <c r="L90" s="14" t="s">
        <v>3760</v>
      </c>
      <c r="M90" s="14" t="s">
        <v>3760</v>
      </c>
    </row>
    <row r="91" spans="1:13" ht="29" x14ac:dyDescent="0.35">
      <c r="A91" s="14" t="s">
        <v>1567</v>
      </c>
      <c r="B91" s="14" t="s">
        <v>1567</v>
      </c>
      <c r="C91" s="14" t="s">
        <v>1019</v>
      </c>
      <c r="D91" s="14" t="s">
        <v>1573</v>
      </c>
      <c r="E91" s="14" t="s">
        <v>1573</v>
      </c>
      <c r="F91" s="14" t="s">
        <v>1574</v>
      </c>
      <c r="G91" s="14" t="s">
        <v>1023</v>
      </c>
      <c r="H91" s="14" t="s">
        <v>1575</v>
      </c>
      <c r="I91" s="14" t="s">
        <v>1025</v>
      </c>
      <c r="J91" s="14" t="s">
        <v>1021</v>
      </c>
      <c r="K91" s="14" t="s">
        <v>3760</v>
      </c>
      <c r="L91" s="14" t="s">
        <v>3760</v>
      </c>
      <c r="M91" s="14" t="s">
        <v>3760</v>
      </c>
    </row>
    <row r="92" spans="1:13" ht="29" x14ac:dyDescent="0.35">
      <c r="A92" s="14" t="s">
        <v>1577</v>
      </c>
      <c r="B92" s="14" t="s">
        <v>1577</v>
      </c>
      <c r="C92" s="14" t="s">
        <v>1019</v>
      </c>
      <c r="D92" s="14" t="s">
        <v>1580</v>
      </c>
      <c r="E92" s="14" t="s">
        <v>1580</v>
      </c>
      <c r="F92" s="14" t="s">
        <v>1581</v>
      </c>
      <c r="G92" s="14" t="s">
        <v>1048</v>
      </c>
      <c r="H92" s="14" t="s">
        <v>1582</v>
      </c>
      <c r="I92" s="14" t="s">
        <v>1025</v>
      </c>
      <c r="J92" s="14" t="s">
        <v>1021</v>
      </c>
      <c r="K92" s="14" t="s">
        <v>3760</v>
      </c>
      <c r="L92" s="14" t="s">
        <v>3760</v>
      </c>
      <c r="M92" s="14" t="s">
        <v>3760</v>
      </c>
    </row>
    <row r="93" spans="1:13" ht="29" x14ac:dyDescent="0.35">
      <c r="A93" s="14" t="s">
        <v>1586</v>
      </c>
      <c r="B93" s="14" t="s">
        <v>1586</v>
      </c>
      <c r="C93" s="14" t="s">
        <v>1019</v>
      </c>
      <c r="D93" s="14" t="s">
        <v>1563</v>
      </c>
      <c r="E93" s="14" t="s">
        <v>1563</v>
      </c>
      <c r="F93" s="14" t="s">
        <v>1564</v>
      </c>
      <c r="G93" s="14" t="s">
        <v>1023</v>
      </c>
      <c r="H93" s="14" t="s">
        <v>1565</v>
      </c>
      <c r="I93" s="14" t="s">
        <v>1025</v>
      </c>
      <c r="J93" s="14" t="s">
        <v>1021</v>
      </c>
      <c r="K93" s="14" t="s">
        <v>3760</v>
      </c>
      <c r="L93" s="14" t="s">
        <v>3760</v>
      </c>
      <c r="M93" s="14" t="s">
        <v>3760</v>
      </c>
    </row>
    <row r="94" spans="1:13" ht="29" x14ac:dyDescent="0.35">
      <c r="A94" s="14" t="s">
        <v>1588</v>
      </c>
      <c r="B94" s="14" t="s">
        <v>1588</v>
      </c>
      <c r="C94" s="14" t="s">
        <v>1019</v>
      </c>
      <c r="D94" s="14" t="s">
        <v>1589</v>
      </c>
      <c r="E94" s="14" t="s">
        <v>1589</v>
      </c>
      <c r="F94" s="14" t="s">
        <v>1590</v>
      </c>
      <c r="G94" s="14" t="s">
        <v>1050</v>
      </c>
      <c r="H94" s="14" t="s">
        <v>1591</v>
      </c>
      <c r="I94" s="14" t="s">
        <v>1050</v>
      </c>
      <c r="J94" s="14" t="s">
        <v>1021</v>
      </c>
      <c r="K94" s="14" t="s">
        <v>3611</v>
      </c>
      <c r="L94" s="14" t="s">
        <v>3611</v>
      </c>
      <c r="M94" s="14" t="s">
        <v>3611</v>
      </c>
    </row>
    <row r="95" spans="1:13" ht="29" x14ac:dyDescent="0.35">
      <c r="A95" s="14" t="s">
        <v>1593</v>
      </c>
      <c r="B95" s="14" t="s">
        <v>1593</v>
      </c>
      <c r="C95" s="14" t="s">
        <v>1019</v>
      </c>
      <c r="D95" s="14" t="s">
        <v>1595</v>
      </c>
      <c r="E95" s="14" t="s">
        <v>1595</v>
      </c>
      <c r="F95" s="14" t="s">
        <v>1596</v>
      </c>
      <c r="G95" s="14" t="s">
        <v>1023</v>
      </c>
      <c r="H95" s="14" t="s">
        <v>1597</v>
      </c>
      <c r="I95" s="14" t="s">
        <v>1023</v>
      </c>
      <c r="J95" s="14" t="s">
        <v>1021</v>
      </c>
      <c r="K95" s="14" t="s">
        <v>3760</v>
      </c>
      <c r="L95" s="14" t="s">
        <v>3611</v>
      </c>
      <c r="M95" s="14" t="s">
        <v>3760</v>
      </c>
    </row>
    <row r="96" spans="1:13" ht="29" x14ac:dyDescent="0.35">
      <c r="A96" s="14" t="s">
        <v>1601</v>
      </c>
      <c r="B96" s="14" t="s">
        <v>1601</v>
      </c>
      <c r="C96" s="14" t="s">
        <v>1019</v>
      </c>
      <c r="D96" s="14" t="s">
        <v>1604</v>
      </c>
      <c r="E96" s="14" t="s">
        <v>1604</v>
      </c>
      <c r="F96" s="14"/>
      <c r="G96" s="14" t="s">
        <v>1034</v>
      </c>
      <c r="H96" s="14"/>
      <c r="I96" s="14" t="s">
        <v>1034</v>
      </c>
      <c r="J96" s="14" t="s">
        <v>1114</v>
      </c>
      <c r="K96" s="14" t="s">
        <v>3611</v>
      </c>
      <c r="L96" s="14" t="s">
        <v>3611</v>
      </c>
      <c r="M96" s="14" t="s">
        <v>3611</v>
      </c>
    </row>
    <row r="97" spans="1:13" ht="29" x14ac:dyDescent="0.35">
      <c r="A97" s="14" t="s">
        <v>1607</v>
      </c>
      <c r="B97" s="14" t="s">
        <v>1607</v>
      </c>
      <c r="C97" s="14" t="s">
        <v>1019</v>
      </c>
      <c r="D97" s="14" t="s">
        <v>1608</v>
      </c>
      <c r="E97" s="14" t="s">
        <v>1608</v>
      </c>
      <c r="F97" s="14" t="s">
        <v>1609</v>
      </c>
      <c r="G97" s="14" t="s">
        <v>1050</v>
      </c>
      <c r="H97" s="14" t="s">
        <v>1610</v>
      </c>
      <c r="I97" s="14" t="s">
        <v>1048</v>
      </c>
      <c r="J97" s="14" t="s">
        <v>1021</v>
      </c>
      <c r="K97" s="14" t="s">
        <v>3611</v>
      </c>
      <c r="L97" s="14" t="s">
        <v>3611</v>
      </c>
      <c r="M97" s="14" t="s">
        <v>3611</v>
      </c>
    </row>
    <row r="98" spans="1:13" ht="29" x14ac:dyDescent="0.35">
      <c r="A98" s="14" t="s">
        <v>1612</v>
      </c>
      <c r="B98" s="14" t="s">
        <v>1612</v>
      </c>
      <c r="C98" s="14" t="s">
        <v>1019</v>
      </c>
      <c r="D98" s="14" t="s">
        <v>1614</v>
      </c>
      <c r="E98" s="14" t="s">
        <v>1614</v>
      </c>
      <c r="F98" s="14"/>
      <c r="G98" s="14" t="s">
        <v>1034</v>
      </c>
      <c r="H98" s="14"/>
      <c r="I98" s="14" t="s">
        <v>1034</v>
      </c>
      <c r="J98" s="14" t="s">
        <v>1114</v>
      </c>
      <c r="K98" s="14" t="s">
        <v>3611</v>
      </c>
      <c r="L98" s="14" t="s">
        <v>3611</v>
      </c>
      <c r="M98" s="14" t="s">
        <v>3611</v>
      </c>
    </row>
    <row r="99" spans="1:13" ht="43.5" x14ac:dyDescent="0.35">
      <c r="A99" s="14" t="s">
        <v>1618</v>
      </c>
      <c r="B99" s="14" t="s">
        <v>1618</v>
      </c>
      <c r="C99" s="14" t="s">
        <v>1019</v>
      </c>
      <c r="D99" s="14" t="s">
        <v>1621</v>
      </c>
      <c r="E99" s="14" t="s">
        <v>1621</v>
      </c>
      <c r="F99" s="14" t="s">
        <v>1622</v>
      </c>
      <c r="G99" s="14" t="s">
        <v>1048</v>
      </c>
      <c r="H99" s="14" t="s">
        <v>1623</v>
      </c>
      <c r="I99" s="14" t="s">
        <v>1050</v>
      </c>
      <c r="J99" s="14" t="s">
        <v>1021</v>
      </c>
      <c r="K99" s="14" t="s">
        <v>3611</v>
      </c>
      <c r="L99" s="14" t="s">
        <v>3611</v>
      </c>
      <c r="M99" s="14" t="s">
        <v>3611</v>
      </c>
    </row>
    <row r="100" spans="1:13" ht="43.5" x14ac:dyDescent="0.35">
      <c r="A100" s="14" t="s">
        <v>1625</v>
      </c>
      <c r="B100" s="14" t="s">
        <v>1625</v>
      </c>
      <c r="C100" s="14" t="s">
        <v>1019</v>
      </c>
      <c r="D100" s="14" t="s">
        <v>1630</v>
      </c>
      <c r="E100" s="14" t="s">
        <v>1630</v>
      </c>
      <c r="F100" s="14" t="s">
        <v>1631</v>
      </c>
      <c r="G100" s="14" t="s">
        <v>1048</v>
      </c>
      <c r="H100" s="14" t="s">
        <v>1632</v>
      </c>
      <c r="I100" s="14" t="s">
        <v>1050</v>
      </c>
      <c r="J100" s="14" t="s">
        <v>1021</v>
      </c>
      <c r="K100" s="14" t="s">
        <v>3611</v>
      </c>
      <c r="L100" s="14" t="s">
        <v>3611</v>
      </c>
      <c r="M100" s="14" t="s">
        <v>3611</v>
      </c>
    </row>
    <row r="101" spans="1:13" ht="72.5" x14ac:dyDescent="0.35">
      <c r="A101" s="14" t="s">
        <v>1636</v>
      </c>
      <c r="B101" s="14" t="s">
        <v>1636</v>
      </c>
      <c r="C101" s="14" t="s">
        <v>1019</v>
      </c>
      <c r="D101" s="14" t="s">
        <v>1480</v>
      </c>
      <c r="E101" s="14" t="s">
        <v>1480</v>
      </c>
      <c r="F101" s="14" t="s">
        <v>1481</v>
      </c>
      <c r="G101" s="14" t="s">
        <v>1023</v>
      </c>
      <c r="H101" s="14"/>
      <c r="I101" s="14" t="s">
        <v>1034</v>
      </c>
      <c r="J101" s="14" t="s">
        <v>1021</v>
      </c>
      <c r="K101" s="14" t="s">
        <v>2911</v>
      </c>
      <c r="L101" s="14" t="s">
        <v>2911</v>
      </c>
      <c r="M101" s="14" t="s">
        <v>2911</v>
      </c>
    </row>
    <row r="102" spans="1:13" ht="29" x14ac:dyDescent="0.35">
      <c r="A102" s="14" t="s">
        <v>1640</v>
      </c>
      <c r="B102" s="14" t="s">
        <v>1640</v>
      </c>
      <c r="C102" s="14" t="s">
        <v>1019</v>
      </c>
      <c r="D102" s="14" t="s">
        <v>1641</v>
      </c>
      <c r="E102" s="14" t="s">
        <v>1641</v>
      </c>
      <c r="F102" s="14" t="s">
        <v>1642</v>
      </c>
      <c r="G102" s="14" t="s">
        <v>1050</v>
      </c>
      <c r="H102" s="14"/>
      <c r="I102" s="14" t="s">
        <v>1034</v>
      </c>
      <c r="J102" s="14" t="s">
        <v>1021</v>
      </c>
      <c r="K102" s="14" t="s">
        <v>3611</v>
      </c>
      <c r="L102" s="14" t="s">
        <v>3764</v>
      </c>
      <c r="M102" s="14" t="s">
        <v>3611</v>
      </c>
    </row>
    <row r="103" spans="1:13" ht="29" x14ac:dyDescent="0.35">
      <c r="A103" s="14" t="s">
        <v>1644</v>
      </c>
      <c r="B103" s="14" t="s">
        <v>1644</v>
      </c>
      <c r="C103" s="14" t="s">
        <v>1019</v>
      </c>
      <c r="D103" s="14" t="s">
        <v>1645</v>
      </c>
      <c r="E103" s="14" t="s">
        <v>1645</v>
      </c>
      <c r="F103" s="14" t="s">
        <v>1646</v>
      </c>
      <c r="G103" s="14" t="s">
        <v>1050</v>
      </c>
      <c r="H103" s="14" t="s">
        <v>1647</v>
      </c>
      <c r="I103" s="14" t="s">
        <v>1050</v>
      </c>
      <c r="J103" s="14" t="s">
        <v>1021</v>
      </c>
      <c r="K103" s="14" t="s">
        <v>3611</v>
      </c>
      <c r="L103" s="14" t="s">
        <v>3611</v>
      </c>
      <c r="M103" s="14" t="s">
        <v>3611</v>
      </c>
    </row>
    <row r="104" spans="1:13" ht="29" x14ac:dyDescent="0.35">
      <c r="A104" s="14" t="s">
        <v>1649</v>
      </c>
      <c r="B104" s="14" t="s">
        <v>1649</v>
      </c>
      <c r="C104" s="14" t="s">
        <v>1019</v>
      </c>
      <c r="D104" s="14" t="s">
        <v>1651</v>
      </c>
      <c r="E104" s="14" t="s">
        <v>1651</v>
      </c>
      <c r="F104" s="14" t="s">
        <v>1652</v>
      </c>
      <c r="G104" s="14" t="s">
        <v>1050</v>
      </c>
      <c r="H104" s="14" t="s">
        <v>1653</v>
      </c>
      <c r="I104" s="14" t="s">
        <v>1050</v>
      </c>
      <c r="J104" s="14" t="s">
        <v>1021</v>
      </c>
      <c r="K104" s="14" t="s">
        <v>3611</v>
      </c>
      <c r="L104" s="14" t="s">
        <v>3611</v>
      </c>
      <c r="M104" s="14" t="s">
        <v>3611</v>
      </c>
    </row>
    <row r="105" spans="1:13" ht="29" x14ac:dyDescent="0.35">
      <c r="A105" s="14" t="s">
        <v>1655</v>
      </c>
      <c r="B105" s="14" t="s">
        <v>1655</v>
      </c>
      <c r="C105" s="14" t="s">
        <v>1019</v>
      </c>
      <c r="D105" s="14" t="s">
        <v>1656</v>
      </c>
      <c r="E105" s="14" t="s">
        <v>1656</v>
      </c>
      <c r="F105" s="14" t="s">
        <v>1657</v>
      </c>
      <c r="G105" s="14" t="s">
        <v>1048</v>
      </c>
      <c r="H105" s="14" t="s">
        <v>1658</v>
      </c>
      <c r="I105" s="14" t="s">
        <v>1050</v>
      </c>
      <c r="J105" s="14" t="s">
        <v>1021</v>
      </c>
      <c r="K105" s="14" t="s">
        <v>3611</v>
      </c>
      <c r="L105" s="14" t="s">
        <v>3760</v>
      </c>
      <c r="M105" s="14" t="s">
        <v>3611</v>
      </c>
    </row>
    <row r="106" spans="1:13" ht="29" x14ac:dyDescent="0.35">
      <c r="A106" s="14" t="s">
        <v>1661</v>
      </c>
      <c r="B106" s="14" t="s">
        <v>1661</v>
      </c>
      <c r="C106" s="14" t="s">
        <v>1019</v>
      </c>
      <c r="D106" s="14" t="s">
        <v>1662</v>
      </c>
      <c r="E106" s="14" t="s">
        <v>1662</v>
      </c>
      <c r="F106" s="14" t="s">
        <v>1663</v>
      </c>
      <c r="G106" s="14" t="s">
        <v>1048</v>
      </c>
      <c r="H106" s="14" t="s">
        <v>1664</v>
      </c>
      <c r="I106" s="14" t="s">
        <v>1050</v>
      </c>
      <c r="J106" s="14" t="s">
        <v>1021</v>
      </c>
      <c r="K106" s="14" t="s">
        <v>3611</v>
      </c>
      <c r="L106" s="14" t="s">
        <v>3611</v>
      </c>
      <c r="M106" s="14" t="s">
        <v>3611</v>
      </c>
    </row>
    <row r="107" spans="1:13" ht="29" x14ac:dyDescent="0.35">
      <c r="A107" s="14" t="s">
        <v>1666</v>
      </c>
      <c r="B107" s="14" t="s">
        <v>1666</v>
      </c>
      <c r="C107" s="14" t="s">
        <v>1019</v>
      </c>
      <c r="D107" s="14" t="s">
        <v>1667</v>
      </c>
      <c r="E107" s="14" t="s">
        <v>1667</v>
      </c>
      <c r="F107" s="14" t="s">
        <v>1668</v>
      </c>
      <c r="G107" s="14" t="s">
        <v>1050</v>
      </c>
      <c r="H107" s="14"/>
      <c r="I107" s="14" t="s">
        <v>1034</v>
      </c>
      <c r="J107" s="14" t="s">
        <v>1021</v>
      </c>
      <c r="K107" s="14" t="s">
        <v>3611</v>
      </c>
      <c r="L107" s="14" t="s">
        <v>3611</v>
      </c>
      <c r="M107" s="14" t="s">
        <v>3611</v>
      </c>
    </row>
    <row r="108" spans="1:13" ht="29" x14ac:dyDescent="0.35">
      <c r="A108" s="14" t="s">
        <v>1670</v>
      </c>
      <c r="B108" s="14" t="s">
        <v>1670</v>
      </c>
      <c r="C108" s="14" t="s">
        <v>1019</v>
      </c>
      <c r="D108" s="14" t="s">
        <v>1671</v>
      </c>
      <c r="E108" s="14" t="s">
        <v>1671</v>
      </c>
      <c r="F108" s="14" t="s">
        <v>1672</v>
      </c>
      <c r="G108" s="14" t="s">
        <v>1050</v>
      </c>
      <c r="H108" s="14" t="s">
        <v>1673</v>
      </c>
      <c r="I108" s="14" t="s">
        <v>1050</v>
      </c>
      <c r="J108" s="14" t="s">
        <v>1021</v>
      </c>
      <c r="K108" s="14" t="s">
        <v>3611</v>
      </c>
      <c r="L108" s="14" t="s">
        <v>3611</v>
      </c>
      <c r="M108" s="14" t="s">
        <v>3611</v>
      </c>
    </row>
    <row r="109" spans="1:13" ht="72.5" x14ac:dyDescent="0.35">
      <c r="A109" s="14" t="s">
        <v>1676</v>
      </c>
      <c r="B109" s="14" t="s">
        <v>1676</v>
      </c>
      <c r="C109" s="14" t="s">
        <v>1019</v>
      </c>
      <c r="D109" s="14" t="s">
        <v>1480</v>
      </c>
      <c r="E109" s="14" t="s">
        <v>1480</v>
      </c>
      <c r="F109" s="14" t="s">
        <v>1481</v>
      </c>
      <c r="G109" s="14" t="s">
        <v>1023</v>
      </c>
      <c r="H109" s="14"/>
      <c r="I109" s="14" t="s">
        <v>1034</v>
      </c>
      <c r="J109" s="14" t="s">
        <v>1021</v>
      </c>
      <c r="K109" s="14" t="s">
        <v>2911</v>
      </c>
      <c r="L109" s="14" t="s">
        <v>2911</v>
      </c>
      <c r="M109" s="14" t="s">
        <v>2911</v>
      </c>
    </row>
    <row r="110" spans="1:13" ht="72.5" x14ac:dyDescent="0.35">
      <c r="A110" s="14" t="s">
        <v>1681</v>
      </c>
      <c r="B110" s="14" t="s">
        <v>1681</v>
      </c>
      <c r="C110" s="14" t="s">
        <v>1019</v>
      </c>
      <c r="D110" s="14" t="s">
        <v>1683</v>
      </c>
      <c r="E110" s="14" t="s">
        <v>1683</v>
      </c>
      <c r="F110" s="14" t="s">
        <v>1684</v>
      </c>
      <c r="G110" s="14" t="s">
        <v>1048</v>
      </c>
      <c r="H110" s="14" t="s">
        <v>1685</v>
      </c>
      <c r="I110" s="14" t="s">
        <v>1050</v>
      </c>
      <c r="J110" s="14" t="s">
        <v>1021</v>
      </c>
      <c r="K110" s="14" t="s">
        <v>3611</v>
      </c>
      <c r="L110" s="14" t="s">
        <v>3611</v>
      </c>
      <c r="M110" s="14" t="s">
        <v>3611</v>
      </c>
    </row>
    <row r="111" spans="1:13" ht="43.5" x14ac:dyDescent="0.35">
      <c r="A111" s="14" t="s">
        <v>1687</v>
      </c>
      <c r="B111" s="14" t="s">
        <v>1687</v>
      </c>
      <c r="C111" s="14" t="s">
        <v>1019</v>
      </c>
      <c r="D111" s="14" t="s">
        <v>1688</v>
      </c>
      <c r="E111" s="14" t="s">
        <v>1688</v>
      </c>
      <c r="F111" s="14" t="s">
        <v>1689</v>
      </c>
      <c r="G111" s="14" t="s">
        <v>1048</v>
      </c>
      <c r="H111" s="14" t="s">
        <v>1690</v>
      </c>
      <c r="I111" s="14" t="s">
        <v>1025</v>
      </c>
      <c r="J111" s="14" t="s">
        <v>1021</v>
      </c>
      <c r="K111" s="14" t="s">
        <v>3760</v>
      </c>
      <c r="L111" s="14" t="s">
        <v>2911</v>
      </c>
      <c r="M111" s="14" t="s">
        <v>3760</v>
      </c>
    </row>
    <row r="112" spans="1:13" ht="43.5" x14ac:dyDescent="0.35">
      <c r="A112" s="14" t="s">
        <v>1693</v>
      </c>
      <c r="B112" s="14" t="s">
        <v>1693</v>
      </c>
      <c r="C112" s="14" t="s">
        <v>1019</v>
      </c>
      <c r="D112" s="14" t="s">
        <v>1490</v>
      </c>
      <c r="E112" s="14" t="s">
        <v>1490</v>
      </c>
      <c r="F112" s="14" t="s">
        <v>1491</v>
      </c>
      <c r="G112" s="14" t="s">
        <v>1023</v>
      </c>
      <c r="H112" s="14" t="s">
        <v>1492</v>
      </c>
      <c r="I112" s="14" t="s">
        <v>1025</v>
      </c>
      <c r="J112" s="14" t="s">
        <v>1021</v>
      </c>
      <c r="K112" s="14" t="s">
        <v>3760</v>
      </c>
      <c r="L112" s="14" t="s">
        <v>3760</v>
      </c>
      <c r="M112" s="14" t="s">
        <v>3760</v>
      </c>
    </row>
    <row r="113" spans="1:13" ht="29" x14ac:dyDescent="0.35">
      <c r="A113" s="14" t="s">
        <v>1698</v>
      </c>
      <c r="B113" s="14" t="s">
        <v>1698</v>
      </c>
      <c r="C113" s="14" t="s">
        <v>1019</v>
      </c>
      <c r="D113" s="14" t="s">
        <v>1701</v>
      </c>
      <c r="E113" s="14" t="s">
        <v>1701</v>
      </c>
      <c r="F113" s="14"/>
      <c r="G113" s="14" t="s">
        <v>1034</v>
      </c>
      <c r="H113" s="14" t="s">
        <v>1702</v>
      </c>
      <c r="I113" s="14" t="s">
        <v>1050</v>
      </c>
      <c r="J113" s="14" t="s">
        <v>1021</v>
      </c>
      <c r="K113" s="14" t="s">
        <v>3611</v>
      </c>
      <c r="L113" s="14" t="s">
        <v>3611</v>
      </c>
      <c r="M113" s="14" t="s">
        <v>3611</v>
      </c>
    </row>
    <row r="114" spans="1:13" ht="72.5" x14ac:dyDescent="0.35">
      <c r="A114" s="14" t="s">
        <v>1704</v>
      </c>
      <c r="B114" s="14" t="s">
        <v>1704</v>
      </c>
      <c r="C114" s="14" t="s">
        <v>1019</v>
      </c>
      <c r="D114" s="14" t="s">
        <v>1706</v>
      </c>
      <c r="E114" s="14" t="s">
        <v>1706</v>
      </c>
      <c r="F114" s="14" t="s">
        <v>1707</v>
      </c>
      <c r="G114" s="14" t="s">
        <v>1048</v>
      </c>
      <c r="H114" s="14" t="s">
        <v>1708</v>
      </c>
      <c r="I114" s="14" t="s">
        <v>1050</v>
      </c>
      <c r="J114" s="14" t="s">
        <v>1021</v>
      </c>
      <c r="K114" s="14" t="s">
        <v>3611</v>
      </c>
      <c r="L114" s="14" t="s">
        <v>3611</v>
      </c>
      <c r="M114" s="14" t="s">
        <v>3611</v>
      </c>
    </row>
    <row r="115" spans="1:13" ht="29" x14ac:dyDescent="0.35">
      <c r="A115" s="14" t="s">
        <v>1710</v>
      </c>
      <c r="B115" s="14" t="s">
        <v>1710</v>
      </c>
      <c r="C115" s="14" t="s">
        <v>1019</v>
      </c>
      <c r="D115" s="14" t="s">
        <v>1711</v>
      </c>
      <c r="E115" s="14" t="s">
        <v>1711</v>
      </c>
      <c r="F115" s="14" t="s">
        <v>1712</v>
      </c>
      <c r="G115" s="14" t="s">
        <v>1048</v>
      </c>
      <c r="H115" s="14" t="s">
        <v>1713</v>
      </c>
      <c r="I115" s="14" t="s">
        <v>1050</v>
      </c>
      <c r="J115" s="14" t="s">
        <v>1021</v>
      </c>
      <c r="K115" s="14" t="s">
        <v>3611</v>
      </c>
      <c r="L115" s="14" t="s">
        <v>3611</v>
      </c>
      <c r="M115" s="14" t="s">
        <v>3611</v>
      </c>
    </row>
    <row r="116" spans="1:13" ht="29" x14ac:dyDescent="0.35">
      <c r="A116" s="14" t="s">
        <v>1715</v>
      </c>
      <c r="B116" s="14" t="s">
        <v>1715</v>
      </c>
      <c r="C116" s="14" t="s">
        <v>1019</v>
      </c>
      <c r="D116" s="14" t="s">
        <v>1716</v>
      </c>
      <c r="E116" s="14" t="s">
        <v>1716</v>
      </c>
      <c r="F116" s="14" t="s">
        <v>1717</v>
      </c>
      <c r="G116" s="14" t="s">
        <v>1050</v>
      </c>
      <c r="H116" s="14" t="s">
        <v>1718</v>
      </c>
      <c r="I116" s="14" t="s">
        <v>1048</v>
      </c>
      <c r="J116" s="14" t="s">
        <v>1021</v>
      </c>
      <c r="K116" s="14" t="s">
        <v>3611</v>
      </c>
      <c r="L116" s="14" t="s">
        <v>3611</v>
      </c>
      <c r="M116" s="14" t="s">
        <v>3611</v>
      </c>
    </row>
    <row r="117" spans="1:13" ht="29" x14ac:dyDescent="0.35">
      <c r="A117" s="14" t="s">
        <v>1720</v>
      </c>
      <c r="B117" s="14" t="s">
        <v>1720</v>
      </c>
      <c r="C117" s="14" t="s">
        <v>1019</v>
      </c>
      <c r="D117" s="14" t="s">
        <v>1721</v>
      </c>
      <c r="E117" s="14" t="s">
        <v>1721</v>
      </c>
      <c r="F117" s="14" t="s">
        <v>1722</v>
      </c>
      <c r="G117" s="14" t="s">
        <v>1025</v>
      </c>
      <c r="H117" s="14" t="s">
        <v>1723</v>
      </c>
      <c r="I117" s="14" t="s">
        <v>1025</v>
      </c>
      <c r="J117" s="14" t="s">
        <v>1021</v>
      </c>
      <c r="K117" s="14" t="s">
        <v>3766</v>
      </c>
      <c r="L117" s="14" t="s">
        <v>3765</v>
      </c>
      <c r="M117" s="14" t="s">
        <v>3765</v>
      </c>
    </row>
    <row r="118" spans="1:13" ht="29" x14ac:dyDescent="0.35">
      <c r="A118" s="14" t="s">
        <v>1725</v>
      </c>
      <c r="B118" s="14" t="s">
        <v>1725</v>
      </c>
      <c r="C118" s="14" t="s">
        <v>1019</v>
      </c>
      <c r="D118" s="14" t="s">
        <v>1726</v>
      </c>
      <c r="E118" s="14" t="s">
        <v>1726</v>
      </c>
      <c r="F118" s="14" t="s">
        <v>1727</v>
      </c>
      <c r="G118" s="14" t="s">
        <v>1048</v>
      </c>
      <c r="H118" s="14" t="s">
        <v>1728</v>
      </c>
      <c r="I118" s="14" t="s">
        <v>1050</v>
      </c>
      <c r="J118" s="14" t="s">
        <v>1021</v>
      </c>
      <c r="K118" s="14" t="s">
        <v>3611</v>
      </c>
      <c r="L118" s="14" t="s">
        <v>3611</v>
      </c>
      <c r="M118" s="14" t="s">
        <v>3611</v>
      </c>
    </row>
    <row r="119" spans="1:13" ht="29" x14ac:dyDescent="0.35">
      <c r="A119" s="14" t="s">
        <v>1730</v>
      </c>
      <c r="B119" s="14" t="s">
        <v>1730</v>
      </c>
      <c r="C119" s="14" t="s">
        <v>1019</v>
      </c>
      <c r="D119" s="14" t="s">
        <v>1731</v>
      </c>
      <c r="E119" s="14" t="s">
        <v>1731</v>
      </c>
      <c r="F119" s="14"/>
      <c r="G119" s="14" t="s">
        <v>1034</v>
      </c>
      <c r="H119" s="14"/>
      <c r="I119" s="14" t="s">
        <v>1034</v>
      </c>
      <c r="J119" s="14" t="s">
        <v>1114</v>
      </c>
      <c r="K119" s="14" t="s">
        <v>3611</v>
      </c>
      <c r="L119" s="14" t="s">
        <v>3611</v>
      </c>
      <c r="M119" s="14" t="s">
        <v>3611</v>
      </c>
    </row>
    <row r="120" spans="1:13" ht="43.5" x14ac:dyDescent="0.35">
      <c r="A120" s="14" t="s">
        <v>1733</v>
      </c>
      <c r="B120" s="14" t="s">
        <v>1733</v>
      </c>
      <c r="C120" s="14" t="s">
        <v>1019</v>
      </c>
      <c r="D120" s="14" t="s">
        <v>1734</v>
      </c>
      <c r="E120" s="14" t="s">
        <v>1734</v>
      </c>
      <c r="F120" s="14" t="s">
        <v>1735</v>
      </c>
      <c r="G120" s="14" t="s">
        <v>1048</v>
      </c>
      <c r="H120" s="14" t="s">
        <v>1736</v>
      </c>
      <c r="I120" s="14" t="s">
        <v>1050</v>
      </c>
      <c r="J120" s="14" t="s">
        <v>1021</v>
      </c>
      <c r="K120" s="14" t="s">
        <v>3611</v>
      </c>
      <c r="L120" s="14" t="s">
        <v>3611</v>
      </c>
      <c r="M120" s="14" t="s">
        <v>3611</v>
      </c>
    </row>
    <row r="121" spans="1:13" ht="87" x14ac:dyDescent="0.35">
      <c r="A121" s="14" t="s">
        <v>1738</v>
      </c>
      <c r="B121" s="14" t="s">
        <v>1738</v>
      </c>
      <c r="C121" s="14" t="s">
        <v>1019</v>
      </c>
      <c r="D121" s="14" t="s">
        <v>1739</v>
      </c>
      <c r="E121" s="14" t="s">
        <v>1739</v>
      </c>
      <c r="F121" s="14" t="s">
        <v>1740</v>
      </c>
      <c r="G121" s="14" t="s">
        <v>1048</v>
      </c>
      <c r="H121" s="14" t="s">
        <v>1741</v>
      </c>
      <c r="I121" s="14" t="s">
        <v>1050</v>
      </c>
      <c r="J121" s="14" t="s">
        <v>1021</v>
      </c>
      <c r="K121" s="14" t="s">
        <v>3611</v>
      </c>
      <c r="L121" s="14" t="s">
        <v>3611</v>
      </c>
      <c r="M121" s="14" t="s">
        <v>3611</v>
      </c>
    </row>
    <row r="122" spans="1:13" ht="43.5" x14ac:dyDescent="0.35">
      <c r="A122" s="14" t="s">
        <v>1743</v>
      </c>
      <c r="B122" s="14" t="s">
        <v>1743</v>
      </c>
      <c r="C122" s="14" t="s">
        <v>1019</v>
      </c>
      <c r="D122" s="14" t="s">
        <v>1744</v>
      </c>
      <c r="E122" s="14" t="s">
        <v>1744</v>
      </c>
      <c r="F122" s="14" t="s">
        <v>1745</v>
      </c>
      <c r="G122" s="14" t="s">
        <v>1048</v>
      </c>
      <c r="H122" s="14" t="s">
        <v>1746</v>
      </c>
      <c r="I122" s="14" t="s">
        <v>1050</v>
      </c>
      <c r="J122" s="14" t="s">
        <v>1021</v>
      </c>
      <c r="K122" s="14" t="s">
        <v>3611</v>
      </c>
      <c r="L122" s="14" t="s">
        <v>3611</v>
      </c>
      <c r="M122" s="14" t="s">
        <v>3611</v>
      </c>
    </row>
    <row r="123" spans="1:13" ht="29" x14ac:dyDescent="0.35">
      <c r="A123" s="14" t="s">
        <v>1748</v>
      </c>
      <c r="B123" s="14" t="s">
        <v>1748</v>
      </c>
      <c r="C123" s="14" t="s">
        <v>1019</v>
      </c>
      <c r="D123" s="14" t="s">
        <v>1751</v>
      </c>
      <c r="E123" s="14" t="s">
        <v>1751</v>
      </c>
      <c r="F123" s="14" t="s">
        <v>1752</v>
      </c>
      <c r="G123" s="14" t="s">
        <v>1048</v>
      </c>
      <c r="H123" s="14" t="s">
        <v>1753</v>
      </c>
      <c r="I123" s="14" t="s">
        <v>1050</v>
      </c>
      <c r="J123" s="14" t="s">
        <v>1021</v>
      </c>
      <c r="K123" s="14" t="s">
        <v>3611</v>
      </c>
      <c r="L123" s="14" t="s">
        <v>3611</v>
      </c>
      <c r="M123" s="14" t="s">
        <v>3611</v>
      </c>
    </row>
    <row r="124" spans="1:13" ht="43.5" x14ac:dyDescent="0.35">
      <c r="A124" s="14" t="s">
        <v>1755</v>
      </c>
      <c r="B124" s="14" t="s">
        <v>1755</v>
      </c>
      <c r="C124" s="14" t="s">
        <v>1019</v>
      </c>
      <c r="D124" s="14" t="s">
        <v>1756</v>
      </c>
      <c r="E124" s="14" t="s">
        <v>1756</v>
      </c>
      <c r="F124" s="14" t="s">
        <v>1757</v>
      </c>
      <c r="G124" s="14" t="s">
        <v>1048</v>
      </c>
      <c r="H124" s="14" t="s">
        <v>1758</v>
      </c>
      <c r="I124" s="14" t="s">
        <v>1050</v>
      </c>
      <c r="J124" s="14" t="s">
        <v>1021</v>
      </c>
      <c r="K124" s="14" t="s">
        <v>3611</v>
      </c>
      <c r="L124" s="14" t="s">
        <v>3611</v>
      </c>
      <c r="M124" s="14" t="s">
        <v>3611</v>
      </c>
    </row>
    <row r="125" spans="1:13" ht="58" x14ac:dyDescent="0.35">
      <c r="A125" s="14" t="s">
        <v>1760</v>
      </c>
      <c r="B125" s="14" t="s">
        <v>1760</v>
      </c>
      <c r="C125" s="14" t="s">
        <v>1019</v>
      </c>
      <c r="D125" s="14" t="s">
        <v>1372</v>
      </c>
      <c r="E125" s="14" t="s">
        <v>1372</v>
      </c>
      <c r="F125" s="14" t="s">
        <v>1373</v>
      </c>
      <c r="G125" s="14" t="s">
        <v>1023</v>
      </c>
      <c r="H125" s="14" t="s">
        <v>1374</v>
      </c>
      <c r="I125" s="14" t="s">
        <v>1023</v>
      </c>
      <c r="J125" s="14" t="s">
        <v>1021</v>
      </c>
      <c r="K125" s="14" t="s">
        <v>2832</v>
      </c>
      <c r="L125" s="14" t="s">
        <v>3589</v>
      </c>
      <c r="M125" s="14" t="s">
        <v>3765</v>
      </c>
    </row>
    <row r="126" spans="1:13" ht="58" x14ac:dyDescent="0.35">
      <c r="A126" s="14" t="s">
        <v>1761</v>
      </c>
      <c r="B126" s="14" t="s">
        <v>1761</v>
      </c>
      <c r="C126" s="14" t="s">
        <v>1019</v>
      </c>
      <c r="D126" s="14" t="s">
        <v>1372</v>
      </c>
      <c r="E126" s="14" t="s">
        <v>1372</v>
      </c>
      <c r="F126" s="14" t="s">
        <v>1373</v>
      </c>
      <c r="G126" s="14" t="s">
        <v>1023</v>
      </c>
      <c r="H126" s="14" t="s">
        <v>1374</v>
      </c>
      <c r="I126" s="14" t="s">
        <v>1023</v>
      </c>
      <c r="J126" s="14" t="s">
        <v>1021</v>
      </c>
      <c r="K126" s="14" t="s">
        <v>2832</v>
      </c>
      <c r="L126" s="14" t="s">
        <v>3589</v>
      </c>
      <c r="M126" s="14" t="s">
        <v>3765</v>
      </c>
    </row>
    <row r="127" spans="1:13" ht="101.5" x14ac:dyDescent="0.35">
      <c r="A127" s="14" t="s">
        <v>1763</v>
      </c>
      <c r="B127" s="14" t="s">
        <v>1763</v>
      </c>
      <c r="C127" s="14" t="s">
        <v>1019</v>
      </c>
      <c r="D127" s="14" t="s">
        <v>1764</v>
      </c>
      <c r="E127" s="14" t="s">
        <v>1764</v>
      </c>
      <c r="F127" s="14" t="s">
        <v>1765</v>
      </c>
      <c r="G127" s="14" t="s">
        <v>1023</v>
      </c>
      <c r="H127" s="14" t="s">
        <v>1766</v>
      </c>
      <c r="I127" s="14" t="s">
        <v>1023</v>
      </c>
      <c r="J127" s="14" t="s">
        <v>1021</v>
      </c>
      <c r="K127" s="14" t="s">
        <v>3760</v>
      </c>
      <c r="L127" s="14" t="s">
        <v>3760</v>
      </c>
      <c r="M127" s="14" t="s">
        <v>3760</v>
      </c>
    </row>
    <row r="128" spans="1:13" ht="43.5" x14ac:dyDescent="0.35">
      <c r="A128" s="14" t="s">
        <v>1768</v>
      </c>
      <c r="B128" s="14" t="s">
        <v>1768</v>
      </c>
      <c r="C128" s="14" t="s">
        <v>1019</v>
      </c>
      <c r="D128" s="14" t="s">
        <v>1186</v>
      </c>
      <c r="E128" s="14" t="s">
        <v>1186</v>
      </c>
      <c r="F128" s="14" t="s">
        <v>1187</v>
      </c>
      <c r="G128" s="14" t="s">
        <v>1023</v>
      </c>
      <c r="H128" s="14" t="s">
        <v>1188</v>
      </c>
      <c r="I128" s="14" t="s">
        <v>1025</v>
      </c>
      <c r="J128" s="14" t="s">
        <v>1021</v>
      </c>
      <c r="K128" s="14" t="s">
        <v>3589</v>
      </c>
      <c r="L128" s="14" t="s">
        <v>3589</v>
      </c>
      <c r="M128" s="14" t="s">
        <v>2832</v>
      </c>
    </row>
    <row r="129" spans="1:13" ht="29" x14ac:dyDescent="0.35">
      <c r="A129" s="14" t="s">
        <v>1770</v>
      </c>
      <c r="B129" s="14" t="s">
        <v>1770</v>
      </c>
      <c r="C129" s="14" t="s">
        <v>1019</v>
      </c>
      <c r="D129" s="14" t="s">
        <v>1771</v>
      </c>
      <c r="E129" s="14" t="s">
        <v>1771</v>
      </c>
      <c r="F129" s="14" t="s">
        <v>1772</v>
      </c>
      <c r="G129" s="14" t="s">
        <v>1048</v>
      </c>
      <c r="H129" s="14" t="s">
        <v>1773</v>
      </c>
      <c r="I129" s="14" t="s">
        <v>1050</v>
      </c>
      <c r="J129" s="14" t="s">
        <v>1021</v>
      </c>
      <c r="K129" s="14" t="s">
        <v>3611</v>
      </c>
      <c r="L129" s="14" t="s">
        <v>3611</v>
      </c>
      <c r="M129" s="14" t="s">
        <v>3611</v>
      </c>
    </row>
    <row r="130" spans="1:13" ht="43.5" x14ac:dyDescent="0.35">
      <c r="A130" s="14" t="s">
        <v>1775</v>
      </c>
      <c r="B130" s="14" t="s">
        <v>1775</v>
      </c>
      <c r="C130" s="14" t="s">
        <v>1019</v>
      </c>
      <c r="D130" s="14" t="s">
        <v>1186</v>
      </c>
      <c r="E130" s="14" t="s">
        <v>1186</v>
      </c>
      <c r="F130" s="14" t="s">
        <v>1187</v>
      </c>
      <c r="G130" s="14" t="s">
        <v>1023</v>
      </c>
      <c r="H130" s="14" t="s">
        <v>1188</v>
      </c>
      <c r="I130" s="14" t="s">
        <v>1025</v>
      </c>
      <c r="J130" s="14" t="s">
        <v>1021</v>
      </c>
      <c r="K130" s="14" t="s">
        <v>3589</v>
      </c>
      <c r="L130" s="14" t="s">
        <v>3589</v>
      </c>
      <c r="M130" s="14" t="s">
        <v>2832</v>
      </c>
    </row>
    <row r="131" spans="1:13" ht="29" x14ac:dyDescent="0.35">
      <c r="A131" s="14" t="s">
        <v>1777</v>
      </c>
      <c r="B131" s="14" t="s">
        <v>1777</v>
      </c>
      <c r="C131" s="14" t="s">
        <v>1019</v>
      </c>
      <c r="D131" s="14" t="s">
        <v>1356</v>
      </c>
      <c r="E131" s="14" t="s">
        <v>1356</v>
      </c>
      <c r="F131" s="14" t="s">
        <v>1779</v>
      </c>
      <c r="G131" s="14" t="s">
        <v>1025</v>
      </c>
      <c r="H131" s="14" t="s">
        <v>1358</v>
      </c>
      <c r="I131" s="14" t="s">
        <v>1025</v>
      </c>
      <c r="J131" s="14" t="s">
        <v>1021</v>
      </c>
      <c r="K131" s="14" t="s">
        <v>3589</v>
      </c>
      <c r="L131" s="14" t="s">
        <v>3589</v>
      </c>
      <c r="M131" s="14" t="s">
        <v>3589</v>
      </c>
    </row>
    <row r="132" spans="1:13" ht="87" x14ac:dyDescent="0.35">
      <c r="A132" s="14" t="s">
        <v>1782</v>
      </c>
      <c r="B132" s="14" t="s">
        <v>1782</v>
      </c>
      <c r="C132" s="14" t="s">
        <v>1019</v>
      </c>
      <c r="D132" s="14" t="s">
        <v>1784</v>
      </c>
      <c r="E132" s="14" t="s">
        <v>1784</v>
      </c>
      <c r="F132" s="14" t="s">
        <v>1785</v>
      </c>
      <c r="G132" s="14" t="s">
        <v>1023</v>
      </c>
      <c r="H132" s="14" t="s">
        <v>1786</v>
      </c>
      <c r="I132" s="14" t="s">
        <v>1025</v>
      </c>
      <c r="J132" s="14" t="s">
        <v>1021</v>
      </c>
      <c r="K132" s="14" t="s">
        <v>3760</v>
      </c>
      <c r="L132" s="14" t="s">
        <v>3760</v>
      </c>
      <c r="M132" s="14" t="s">
        <v>3760</v>
      </c>
    </row>
    <row r="133" spans="1:13" ht="58" x14ac:dyDescent="0.35">
      <c r="A133" s="14" t="s">
        <v>1787</v>
      </c>
      <c r="B133" s="14" t="s">
        <v>1787</v>
      </c>
      <c r="C133" s="14" t="s">
        <v>1019</v>
      </c>
      <c r="D133" s="14" t="s">
        <v>1372</v>
      </c>
      <c r="E133" s="14" t="s">
        <v>1372</v>
      </c>
      <c r="F133" s="14" t="s">
        <v>1373</v>
      </c>
      <c r="G133" s="14" t="s">
        <v>1023</v>
      </c>
      <c r="H133" s="14" t="s">
        <v>1374</v>
      </c>
      <c r="I133" s="14" t="s">
        <v>1023</v>
      </c>
      <c r="J133" s="14" t="s">
        <v>1021</v>
      </c>
      <c r="K133" s="14" t="s">
        <v>2832</v>
      </c>
      <c r="L133" s="14" t="s">
        <v>3589</v>
      </c>
      <c r="M133" s="14" t="s">
        <v>3765</v>
      </c>
    </row>
    <row r="134" spans="1:13" ht="58" x14ac:dyDescent="0.35">
      <c r="A134" s="14" t="s">
        <v>1789</v>
      </c>
      <c r="B134" s="14" t="s">
        <v>1789</v>
      </c>
      <c r="C134" s="14" t="s">
        <v>1019</v>
      </c>
      <c r="D134" s="14" t="s">
        <v>1372</v>
      </c>
      <c r="E134" s="14" t="s">
        <v>1372</v>
      </c>
      <c r="F134" s="14" t="s">
        <v>1373</v>
      </c>
      <c r="G134" s="14" t="s">
        <v>1023</v>
      </c>
      <c r="H134" s="14" t="s">
        <v>1374</v>
      </c>
      <c r="I134" s="14" t="s">
        <v>1023</v>
      </c>
      <c r="J134" s="14" t="s">
        <v>1021</v>
      </c>
      <c r="K134" s="14" t="s">
        <v>2832</v>
      </c>
      <c r="L134" s="14" t="s">
        <v>3589</v>
      </c>
      <c r="M134" s="14" t="s">
        <v>3765</v>
      </c>
    </row>
    <row r="135" spans="1:13" ht="29" x14ac:dyDescent="0.35">
      <c r="A135" s="14" t="s">
        <v>1793</v>
      </c>
      <c r="B135" s="14" t="s">
        <v>1793</v>
      </c>
      <c r="C135" s="14" t="s">
        <v>1019</v>
      </c>
      <c r="D135" s="14" t="s">
        <v>1795</v>
      </c>
      <c r="E135" s="14" t="s">
        <v>1795</v>
      </c>
      <c r="F135" s="14" t="s">
        <v>1796</v>
      </c>
      <c r="G135" s="14" t="s">
        <v>1023</v>
      </c>
      <c r="H135" s="14" t="s">
        <v>1797</v>
      </c>
      <c r="I135" s="14" t="s">
        <v>1025</v>
      </c>
      <c r="J135" s="14" t="s">
        <v>1021</v>
      </c>
      <c r="K135" s="14" t="s">
        <v>2911</v>
      </c>
      <c r="L135" s="14" t="s">
        <v>3611</v>
      </c>
      <c r="M135" s="14" t="s">
        <v>3611</v>
      </c>
    </row>
    <row r="136" spans="1:13" ht="29" x14ac:dyDescent="0.35">
      <c r="A136" s="14" t="s">
        <v>1799</v>
      </c>
      <c r="B136" s="14" t="s">
        <v>1799</v>
      </c>
      <c r="C136" s="14" t="s">
        <v>1019</v>
      </c>
      <c r="D136" s="14" t="s">
        <v>1800</v>
      </c>
      <c r="E136" s="14" t="s">
        <v>1800</v>
      </c>
      <c r="F136" s="14" t="s">
        <v>1801</v>
      </c>
      <c r="G136" s="14" t="s">
        <v>1050</v>
      </c>
      <c r="H136" s="14" t="s">
        <v>1802</v>
      </c>
      <c r="I136" s="14" t="s">
        <v>1048</v>
      </c>
      <c r="J136" s="14" t="s">
        <v>1021</v>
      </c>
      <c r="K136" s="14" t="s">
        <v>3611</v>
      </c>
      <c r="L136" s="14" t="s">
        <v>3611</v>
      </c>
      <c r="M136" s="14" t="s">
        <v>3611</v>
      </c>
    </row>
    <row r="137" spans="1:13" ht="29" x14ac:dyDescent="0.35">
      <c r="A137" s="14" t="s">
        <v>1804</v>
      </c>
      <c r="B137" s="14" t="s">
        <v>1804</v>
      </c>
      <c r="C137" s="14" t="s">
        <v>1019</v>
      </c>
      <c r="D137" s="14" t="s">
        <v>1805</v>
      </c>
      <c r="E137" s="14" t="s">
        <v>1805</v>
      </c>
      <c r="F137" s="14"/>
      <c r="G137" s="14" t="s">
        <v>1034</v>
      </c>
      <c r="H137" s="14"/>
      <c r="I137" s="14" t="s">
        <v>1034</v>
      </c>
      <c r="J137" s="14" t="s">
        <v>1114</v>
      </c>
      <c r="K137" s="14" t="s">
        <v>3611</v>
      </c>
      <c r="L137" s="14" t="s">
        <v>3611</v>
      </c>
      <c r="M137" s="14" t="s">
        <v>3611</v>
      </c>
    </row>
    <row r="138" spans="1:13" ht="29" x14ac:dyDescent="0.35">
      <c r="A138" s="14" t="s">
        <v>1808</v>
      </c>
      <c r="B138" s="14" t="s">
        <v>1808</v>
      </c>
      <c r="C138" s="14" t="s">
        <v>1019</v>
      </c>
      <c r="D138" s="14" t="s">
        <v>1809</v>
      </c>
      <c r="E138" s="14" t="s">
        <v>1809</v>
      </c>
      <c r="F138" s="14" t="s">
        <v>1810</v>
      </c>
      <c r="G138" s="14" t="s">
        <v>1050</v>
      </c>
      <c r="H138" s="14" t="s">
        <v>1811</v>
      </c>
      <c r="I138" s="14" t="s">
        <v>1050</v>
      </c>
      <c r="J138" s="14" t="s">
        <v>1021</v>
      </c>
      <c r="K138" s="14" t="s">
        <v>3611</v>
      </c>
      <c r="L138" s="14" t="s">
        <v>3611</v>
      </c>
      <c r="M138" s="14" t="s">
        <v>3611</v>
      </c>
    </row>
    <row r="139" spans="1:13" ht="29" x14ac:dyDescent="0.35">
      <c r="A139" s="14" t="s">
        <v>1813</v>
      </c>
      <c r="B139" s="14" t="s">
        <v>1813</v>
      </c>
      <c r="C139" s="14" t="s">
        <v>1019</v>
      </c>
      <c r="D139" s="14" t="s">
        <v>1814</v>
      </c>
      <c r="E139" s="14" t="s">
        <v>1814</v>
      </c>
      <c r="F139" s="14" t="s">
        <v>1815</v>
      </c>
      <c r="G139" s="14" t="s">
        <v>1050</v>
      </c>
      <c r="H139" s="14" t="s">
        <v>1816</v>
      </c>
      <c r="I139" s="14" t="s">
        <v>1048</v>
      </c>
      <c r="J139" s="14" t="s">
        <v>1021</v>
      </c>
      <c r="K139" s="14" t="s">
        <v>3611</v>
      </c>
      <c r="L139" s="14" t="s">
        <v>3611</v>
      </c>
      <c r="M139" s="14" t="s">
        <v>3611</v>
      </c>
    </row>
    <row r="140" spans="1:13" ht="87" x14ac:dyDescent="0.35">
      <c r="A140" s="14" t="s">
        <v>1818</v>
      </c>
      <c r="B140" s="14" t="s">
        <v>1818</v>
      </c>
      <c r="C140" s="14" t="s">
        <v>1019</v>
      </c>
      <c r="D140" s="14" t="s">
        <v>1784</v>
      </c>
      <c r="E140" s="14" t="s">
        <v>1784</v>
      </c>
      <c r="F140" s="14" t="s">
        <v>1785</v>
      </c>
      <c r="G140" s="14" t="s">
        <v>1023</v>
      </c>
      <c r="H140" s="14" t="s">
        <v>1786</v>
      </c>
      <c r="I140" s="14" t="s">
        <v>1025</v>
      </c>
      <c r="J140" s="14" t="s">
        <v>1021</v>
      </c>
      <c r="K140" s="14" t="s">
        <v>3760</v>
      </c>
      <c r="L140" s="14" t="s">
        <v>3760</v>
      </c>
      <c r="M140" s="14" t="s">
        <v>3760</v>
      </c>
    </row>
    <row r="141" spans="1:13" ht="29" x14ac:dyDescent="0.35">
      <c r="A141" s="14" t="s">
        <v>1820</v>
      </c>
      <c r="B141" s="14" t="s">
        <v>1820</v>
      </c>
      <c r="C141" s="14" t="s">
        <v>1019</v>
      </c>
      <c r="D141" s="14" t="s">
        <v>1821</v>
      </c>
      <c r="E141" s="14" t="s">
        <v>1821</v>
      </c>
      <c r="F141" s="14"/>
      <c r="G141" s="14" t="s">
        <v>1034</v>
      </c>
      <c r="H141" s="14"/>
      <c r="I141" s="14" t="s">
        <v>1034</v>
      </c>
      <c r="J141" s="14" t="s">
        <v>1114</v>
      </c>
      <c r="K141" s="14" t="s">
        <v>3611</v>
      </c>
      <c r="L141" s="14" t="s">
        <v>3611</v>
      </c>
      <c r="M141" s="14" t="s">
        <v>3611</v>
      </c>
    </row>
    <row r="142" spans="1:13" ht="29" x14ac:dyDescent="0.35">
      <c r="A142" s="14" t="s">
        <v>1823</v>
      </c>
      <c r="B142" s="14" t="s">
        <v>1823</v>
      </c>
      <c r="C142" s="14" t="s">
        <v>1019</v>
      </c>
      <c r="D142" s="14" t="s">
        <v>1825</v>
      </c>
      <c r="E142" s="14" t="s">
        <v>1825</v>
      </c>
      <c r="F142" s="14"/>
      <c r="G142" s="14" t="s">
        <v>1034</v>
      </c>
      <c r="H142" s="14"/>
      <c r="I142" s="14" t="s">
        <v>1034</v>
      </c>
      <c r="J142" s="14" t="s">
        <v>1114</v>
      </c>
      <c r="K142" s="14" t="s">
        <v>3611</v>
      </c>
      <c r="L142" s="14" t="s">
        <v>3611</v>
      </c>
      <c r="M142" s="14" t="s">
        <v>3611</v>
      </c>
    </row>
    <row r="143" spans="1:13" ht="29" x14ac:dyDescent="0.35">
      <c r="A143" s="14" t="s">
        <v>1827</v>
      </c>
      <c r="B143" s="14" t="s">
        <v>1827</v>
      </c>
      <c r="C143" s="14" t="s">
        <v>1019</v>
      </c>
      <c r="D143" s="14" t="s">
        <v>1828</v>
      </c>
      <c r="E143" s="14" t="s">
        <v>1828</v>
      </c>
      <c r="F143" s="14" t="s">
        <v>1829</v>
      </c>
      <c r="G143" s="14" t="s">
        <v>1048</v>
      </c>
      <c r="H143" s="14" t="s">
        <v>1830</v>
      </c>
      <c r="I143" s="14" t="s">
        <v>1050</v>
      </c>
      <c r="J143" s="14" t="s">
        <v>1021</v>
      </c>
      <c r="K143" s="14" t="s">
        <v>3611</v>
      </c>
      <c r="L143" s="14" t="s">
        <v>3611</v>
      </c>
      <c r="M143" s="14" t="s">
        <v>3611</v>
      </c>
    </row>
    <row r="144" spans="1:13" ht="29" x14ac:dyDescent="0.35">
      <c r="A144" s="14" t="s">
        <v>1832</v>
      </c>
      <c r="B144" s="14" t="s">
        <v>1832</v>
      </c>
      <c r="C144" s="14" t="s">
        <v>1019</v>
      </c>
      <c r="D144" s="14" t="s">
        <v>1106</v>
      </c>
      <c r="E144" s="14" t="s">
        <v>1106</v>
      </c>
      <c r="F144" s="14" t="s">
        <v>1107</v>
      </c>
      <c r="G144" s="14" t="s">
        <v>1023</v>
      </c>
      <c r="H144" s="14" t="s">
        <v>1108</v>
      </c>
      <c r="I144" s="14" t="s">
        <v>1025</v>
      </c>
      <c r="J144" s="14" t="s">
        <v>1021</v>
      </c>
      <c r="K144" s="14" t="s">
        <v>3760</v>
      </c>
      <c r="L144" s="14" t="s">
        <v>3611</v>
      </c>
      <c r="M144" s="14" t="s">
        <v>3760</v>
      </c>
    </row>
    <row r="145" spans="1:13" ht="43.5" x14ac:dyDescent="0.35">
      <c r="A145" s="14" t="s">
        <v>1835</v>
      </c>
      <c r="B145" s="14" t="s">
        <v>1835</v>
      </c>
      <c r="C145" s="14" t="s">
        <v>1019</v>
      </c>
      <c r="D145" s="14" t="s">
        <v>1837</v>
      </c>
      <c r="E145" s="14" t="s">
        <v>1837</v>
      </c>
      <c r="F145" s="14" t="s">
        <v>1838</v>
      </c>
      <c r="G145" s="14" t="s">
        <v>1048</v>
      </c>
      <c r="H145" s="14" t="s">
        <v>1839</v>
      </c>
      <c r="I145" s="14" t="s">
        <v>1048</v>
      </c>
      <c r="J145" s="14" t="s">
        <v>1021</v>
      </c>
      <c r="K145" s="14" t="s">
        <v>3611</v>
      </c>
      <c r="L145" s="14" t="s">
        <v>3611</v>
      </c>
      <c r="M145" s="14" t="s">
        <v>2911</v>
      </c>
    </row>
    <row r="146" spans="1:13" ht="101.5" x14ac:dyDescent="0.35">
      <c r="A146" s="14" t="s">
        <v>1843</v>
      </c>
      <c r="B146" s="14" t="s">
        <v>1843</v>
      </c>
      <c r="C146" s="14" t="s">
        <v>1019</v>
      </c>
      <c r="D146" s="14" t="s">
        <v>1851</v>
      </c>
      <c r="E146" s="14" t="s">
        <v>1851</v>
      </c>
      <c r="F146" s="14" t="s">
        <v>1852</v>
      </c>
      <c r="G146" s="14" t="s">
        <v>1048</v>
      </c>
      <c r="H146" s="14" t="s">
        <v>1853</v>
      </c>
      <c r="I146" s="14" t="s">
        <v>1050</v>
      </c>
      <c r="J146" s="14" t="s">
        <v>1021</v>
      </c>
      <c r="K146" s="14" t="s">
        <v>3611</v>
      </c>
      <c r="L146" s="14" t="s">
        <v>3611</v>
      </c>
      <c r="M146" s="14" t="s">
        <v>3611</v>
      </c>
    </row>
    <row r="147" spans="1:13" ht="58" x14ac:dyDescent="0.35">
      <c r="A147" s="14" t="s">
        <v>1857</v>
      </c>
      <c r="B147" s="14" t="s">
        <v>1857</v>
      </c>
      <c r="C147" s="14" t="s">
        <v>1019</v>
      </c>
      <c r="D147" s="14" t="s">
        <v>1859</v>
      </c>
      <c r="E147" s="14" t="s">
        <v>1859</v>
      </c>
      <c r="F147" s="14" t="s">
        <v>1860</v>
      </c>
      <c r="G147" s="14" t="s">
        <v>1048</v>
      </c>
      <c r="H147" s="14" t="s">
        <v>1861</v>
      </c>
      <c r="I147" s="14" t="s">
        <v>1050</v>
      </c>
      <c r="J147" s="14" t="s">
        <v>1021</v>
      </c>
      <c r="K147" s="14" t="s">
        <v>3611</v>
      </c>
      <c r="L147" s="14" t="s">
        <v>3611</v>
      </c>
      <c r="M147" s="14" t="s">
        <v>3611</v>
      </c>
    </row>
    <row r="148" spans="1:13" ht="29" x14ac:dyDescent="0.35">
      <c r="A148" s="14" t="s">
        <v>1865</v>
      </c>
      <c r="B148" s="14" t="s">
        <v>1865</v>
      </c>
      <c r="C148" s="14" t="s">
        <v>1019</v>
      </c>
      <c r="D148" s="14" t="s">
        <v>1868</v>
      </c>
      <c r="E148" s="14" t="s">
        <v>1868</v>
      </c>
      <c r="F148" s="14"/>
      <c r="G148" s="14" t="s">
        <v>1034</v>
      </c>
      <c r="H148" s="14"/>
      <c r="I148" s="14" t="s">
        <v>1034</v>
      </c>
      <c r="J148" s="14" t="s">
        <v>1114</v>
      </c>
      <c r="K148" s="14" t="s">
        <v>3611</v>
      </c>
      <c r="L148" s="14" t="s">
        <v>3611</v>
      </c>
      <c r="M148" s="14" t="s">
        <v>3611</v>
      </c>
    </row>
    <row r="149" spans="1:13" ht="87" x14ac:dyDescent="0.35">
      <c r="A149" s="14" t="s">
        <v>1871</v>
      </c>
      <c r="B149" s="14" t="s">
        <v>1871</v>
      </c>
      <c r="C149" s="14" t="s">
        <v>1019</v>
      </c>
      <c r="D149" s="14" t="s">
        <v>1059</v>
      </c>
      <c r="E149" s="14" t="s">
        <v>1059</v>
      </c>
      <c r="F149" s="14" t="s">
        <v>1060</v>
      </c>
      <c r="G149" s="14" t="s">
        <v>1023</v>
      </c>
      <c r="H149" s="14" t="s">
        <v>1061</v>
      </c>
      <c r="I149" s="14" t="s">
        <v>1023</v>
      </c>
      <c r="J149" s="14" t="s">
        <v>1021</v>
      </c>
      <c r="K149" s="14" t="s">
        <v>2911</v>
      </c>
      <c r="L149" s="14" t="s">
        <v>3589</v>
      </c>
      <c r="M149" s="14" t="s">
        <v>3589</v>
      </c>
    </row>
    <row r="150" spans="1:13" ht="29" x14ac:dyDescent="0.35">
      <c r="A150" s="14" t="s">
        <v>1876</v>
      </c>
      <c r="B150" s="14" t="s">
        <v>1876</v>
      </c>
      <c r="C150" s="14" t="s">
        <v>1019</v>
      </c>
      <c r="D150" s="14" t="s">
        <v>1882</v>
      </c>
      <c r="E150" s="14" t="s">
        <v>1882</v>
      </c>
      <c r="F150" s="14" t="s">
        <v>1883</v>
      </c>
      <c r="G150" s="14" t="s">
        <v>1048</v>
      </c>
      <c r="H150" s="14"/>
      <c r="I150" s="14" t="s">
        <v>1034</v>
      </c>
      <c r="J150" s="14" t="s">
        <v>1021</v>
      </c>
      <c r="K150" s="14" t="s">
        <v>3611</v>
      </c>
      <c r="L150" s="14" t="s">
        <v>3611</v>
      </c>
      <c r="M150" s="14" t="s">
        <v>3611</v>
      </c>
    </row>
    <row r="151" spans="1:13" ht="29" x14ac:dyDescent="0.35">
      <c r="A151" s="14" t="s">
        <v>1885</v>
      </c>
      <c r="B151" s="14" t="s">
        <v>1885</v>
      </c>
      <c r="C151" s="14" t="s">
        <v>1019</v>
      </c>
      <c r="D151" s="14" t="s">
        <v>1886</v>
      </c>
      <c r="E151" s="14" t="s">
        <v>1886</v>
      </c>
      <c r="F151" s="14"/>
      <c r="G151" s="14" t="s">
        <v>1034</v>
      </c>
      <c r="H151" s="14"/>
      <c r="I151" s="14" t="s">
        <v>1034</v>
      </c>
      <c r="J151" s="14" t="s">
        <v>1114</v>
      </c>
      <c r="K151" s="14" t="s">
        <v>3611</v>
      </c>
      <c r="L151" s="14" t="s">
        <v>3611</v>
      </c>
      <c r="M151" s="14" t="s">
        <v>3611</v>
      </c>
    </row>
    <row r="152" spans="1:13" ht="29" x14ac:dyDescent="0.35">
      <c r="A152" s="14" t="s">
        <v>1888</v>
      </c>
      <c r="B152" s="14" t="s">
        <v>1888</v>
      </c>
      <c r="C152" s="14" t="s">
        <v>1019</v>
      </c>
      <c r="D152" s="14" t="s">
        <v>1889</v>
      </c>
      <c r="E152" s="14" t="s">
        <v>1889</v>
      </c>
      <c r="F152" s="14"/>
      <c r="G152" s="14" t="s">
        <v>1034</v>
      </c>
      <c r="H152" s="14"/>
      <c r="I152" s="14" t="s">
        <v>1034</v>
      </c>
      <c r="J152" s="14" t="s">
        <v>1114</v>
      </c>
      <c r="K152" s="14" t="s">
        <v>3611</v>
      </c>
      <c r="L152" s="14" t="s">
        <v>3611</v>
      </c>
      <c r="M152" s="14" t="s">
        <v>3611</v>
      </c>
    </row>
    <row r="153" spans="1:13" ht="72.5" x14ac:dyDescent="0.35">
      <c r="A153" s="14" t="s">
        <v>1891</v>
      </c>
      <c r="B153" s="14" t="s">
        <v>1891</v>
      </c>
      <c r="C153" s="14" t="s">
        <v>1019</v>
      </c>
      <c r="D153" s="14" t="s">
        <v>1893</v>
      </c>
      <c r="E153" s="14" t="s">
        <v>1893</v>
      </c>
      <c r="F153" s="14" t="s">
        <v>1894</v>
      </c>
      <c r="G153" s="14" t="s">
        <v>1048</v>
      </c>
      <c r="H153" s="14" t="s">
        <v>1895</v>
      </c>
      <c r="I153" s="14" t="s">
        <v>1048</v>
      </c>
      <c r="J153" s="14" t="s">
        <v>1021</v>
      </c>
      <c r="K153" s="14" t="s">
        <v>3611</v>
      </c>
      <c r="L153" s="14" t="s">
        <v>3760</v>
      </c>
      <c r="M153" s="14" t="s">
        <v>3611</v>
      </c>
    </row>
    <row r="154" spans="1:13" ht="58" x14ac:dyDescent="0.35">
      <c r="A154" s="14" t="s">
        <v>1897</v>
      </c>
      <c r="B154" s="14" t="s">
        <v>1897</v>
      </c>
      <c r="C154" s="14" t="s">
        <v>1019</v>
      </c>
      <c r="D154" s="14" t="s">
        <v>1898</v>
      </c>
      <c r="E154" s="14" t="s">
        <v>1898</v>
      </c>
      <c r="F154" s="14" t="s">
        <v>1899</v>
      </c>
      <c r="G154" s="14" t="s">
        <v>1048</v>
      </c>
      <c r="H154" s="14" t="s">
        <v>1900</v>
      </c>
      <c r="I154" s="14" t="s">
        <v>1050</v>
      </c>
      <c r="J154" s="14" t="s">
        <v>1021</v>
      </c>
      <c r="K154" s="14" t="s">
        <v>3611</v>
      </c>
      <c r="L154" s="14" t="s">
        <v>3611</v>
      </c>
      <c r="M154" s="14" t="s">
        <v>3611</v>
      </c>
    </row>
    <row r="155" spans="1:13" ht="29" x14ac:dyDescent="0.35">
      <c r="A155" s="14" t="s">
        <v>1902</v>
      </c>
      <c r="B155" s="14" t="s">
        <v>1902</v>
      </c>
      <c r="C155" s="14" t="s">
        <v>1019</v>
      </c>
      <c r="D155" s="14" t="s">
        <v>1904</v>
      </c>
      <c r="E155" s="14" t="s">
        <v>1904</v>
      </c>
      <c r="F155" s="14" t="s">
        <v>1905</v>
      </c>
      <c r="G155" s="14" t="s">
        <v>1048</v>
      </c>
      <c r="H155" s="14" t="s">
        <v>1906</v>
      </c>
      <c r="I155" s="14" t="s">
        <v>1050</v>
      </c>
      <c r="J155" s="14" t="s">
        <v>1021</v>
      </c>
      <c r="K155" s="14" t="s">
        <v>3611</v>
      </c>
      <c r="L155" s="14" t="s">
        <v>3611</v>
      </c>
      <c r="M155" s="14" t="s">
        <v>3611</v>
      </c>
    </row>
    <row r="156" spans="1:13" ht="29" x14ac:dyDescent="0.35">
      <c r="A156" s="14" t="s">
        <v>1908</v>
      </c>
      <c r="B156" s="14" t="s">
        <v>1908</v>
      </c>
      <c r="C156" s="14" t="s">
        <v>1019</v>
      </c>
      <c r="D156" s="14" t="s">
        <v>1909</v>
      </c>
      <c r="E156" s="14" t="s">
        <v>1909</v>
      </c>
      <c r="F156" s="14" t="s">
        <v>1910</v>
      </c>
      <c r="G156" s="14" t="s">
        <v>1050</v>
      </c>
      <c r="H156" s="14" t="s">
        <v>1911</v>
      </c>
      <c r="I156" s="14" t="s">
        <v>1050</v>
      </c>
      <c r="J156" s="14" t="s">
        <v>1021</v>
      </c>
      <c r="K156" s="14" t="s">
        <v>3611</v>
      </c>
      <c r="L156" s="14" t="s">
        <v>3611</v>
      </c>
      <c r="M156" s="14" t="s">
        <v>3611</v>
      </c>
    </row>
    <row r="157" spans="1:13" ht="58" x14ac:dyDescent="0.35">
      <c r="A157" s="14" t="s">
        <v>1913</v>
      </c>
      <c r="B157" s="14" t="s">
        <v>1913</v>
      </c>
      <c r="C157" s="14" t="s">
        <v>1019</v>
      </c>
      <c r="D157" s="14" t="s">
        <v>1915</v>
      </c>
      <c r="E157" s="14" t="s">
        <v>1915</v>
      </c>
      <c r="F157" s="14" t="s">
        <v>1916</v>
      </c>
      <c r="G157" s="14" t="s">
        <v>1023</v>
      </c>
      <c r="H157" s="14" t="s">
        <v>1917</v>
      </c>
      <c r="I157" s="14" t="s">
        <v>1025</v>
      </c>
      <c r="J157" s="14" t="s">
        <v>1021</v>
      </c>
      <c r="K157" s="14" t="s">
        <v>3760</v>
      </c>
      <c r="L157" s="14" t="s">
        <v>3760</v>
      </c>
      <c r="M157" s="14" t="s">
        <v>3760</v>
      </c>
    </row>
    <row r="158" spans="1:13" ht="319" x14ac:dyDescent="0.35">
      <c r="A158" s="14" t="s">
        <v>1919</v>
      </c>
      <c r="B158" s="14" t="s">
        <v>1919</v>
      </c>
      <c r="C158" s="14" t="s">
        <v>1019</v>
      </c>
      <c r="D158" s="14" t="s">
        <v>1242</v>
      </c>
      <c r="E158" s="14" t="s">
        <v>1242</v>
      </c>
      <c r="F158" s="14" t="s">
        <v>1920</v>
      </c>
      <c r="G158" s="14" t="s">
        <v>1050</v>
      </c>
      <c r="H158" s="14" t="s">
        <v>1244</v>
      </c>
      <c r="I158" s="14" t="s">
        <v>1023</v>
      </c>
      <c r="J158" s="14" t="s">
        <v>1021</v>
      </c>
      <c r="K158" s="14" t="s">
        <v>2911</v>
      </c>
      <c r="L158" s="14" t="s">
        <v>3760</v>
      </c>
      <c r="M158" s="14" t="s">
        <v>3760</v>
      </c>
    </row>
    <row r="159" spans="1:13" ht="29" x14ac:dyDescent="0.35">
      <c r="A159" s="14" t="s">
        <v>1922</v>
      </c>
      <c r="B159" s="14" t="s">
        <v>1922</v>
      </c>
      <c r="C159" s="14" t="s">
        <v>1019</v>
      </c>
      <c r="D159" s="14" t="s">
        <v>1923</v>
      </c>
      <c r="E159" s="14" t="s">
        <v>1923</v>
      </c>
      <c r="F159" s="14" t="s">
        <v>1924</v>
      </c>
      <c r="G159" s="14" t="s">
        <v>1048</v>
      </c>
      <c r="H159" s="14" t="s">
        <v>1925</v>
      </c>
      <c r="I159" s="14" t="s">
        <v>1050</v>
      </c>
      <c r="J159" s="14" t="s">
        <v>1021</v>
      </c>
      <c r="K159" s="14" t="s">
        <v>3611</v>
      </c>
      <c r="L159" s="14" t="s">
        <v>3611</v>
      </c>
      <c r="M159" s="14" t="s">
        <v>3611</v>
      </c>
    </row>
    <row r="160" spans="1:13" ht="29" x14ac:dyDescent="0.35">
      <c r="A160" s="14" t="s">
        <v>1929</v>
      </c>
      <c r="B160" s="14" t="s">
        <v>1929</v>
      </c>
      <c r="C160" s="14" t="s">
        <v>1019</v>
      </c>
      <c r="D160" s="14" t="s">
        <v>1868</v>
      </c>
      <c r="E160" s="14" t="s">
        <v>1868</v>
      </c>
      <c r="F160" s="14"/>
      <c r="G160" s="14" t="s">
        <v>1034</v>
      </c>
      <c r="H160" s="14"/>
      <c r="I160" s="14" t="s">
        <v>1034</v>
      </c>
      <c r="J160" s="14" t="s">
        <v>1114</v>
      </c>
      <c r="K160" s="14" t="s">
        <v>3611</v>
      </c>
      <c r="L160" s="14" t="s">
        <v>3611</v>
      </c>
      <c r="M160" s="14" t="s">
        <v>3611</v>
      </c>
    </row>
    <row r="161" spans="1:13" ht="29" x14ac:dyDescent="0.35">
      <c r="A161" s="14" t="s">
        <v>1931</v>
      </c>
      <c r="B161" s="14" t="s">
        <v>1931</v>
      </c>
      <c r="C161" s="14" t="s">
        <v>1019</v>
      </c>
      <c r="D161" s="14" t="s">
        <v>1356</v>
      </c>
      <c r="E161" s="14" t="s">
        <v>1356</v>
      </c>
      <c r="F161" s="14" t="s">
        <v>1779</v>
      </c>
      <c r="G161" s="14" t="s">
        <v>1025</v>
      </c>
      <c r="H161" s="14" t="s">
        <v>1358</v>
      </c>
      <c r="I161" s="14" t="s">
        <v>1025</v>
      </c>
      <c r="J161" s="14" t="s">
        <v>1021</v>
      </c>
      <c r="K161" s="14" t="s">
        <v>3589</v>
      </c>
      <c r="L161" s="14" t="s">
        <v>3589</v>
      </c>
      <c r="M161" s="14" t="s">
        <v>3589</v>
      </c>
    </row>
    <row r="162" spans="1:13" ht="29" x14ac:dyDescent="0.35">
      <c r="A162" s="14" t="s">
        <v>1934</v>
      </c>
      <c r="B162" s="14" t="s">
        <v>1934</v>
      </c>
      <c r="C162" s="14" t="s">
        <v>1019</v>
      </c>
      <c r="D162" s="14" t="s">
        <v>1259</v>
      </c>
      <c r="E162" s="14" t="s">
        <v>1259</v>
      </c>
      <c r="F162" s="14" t="s">
        <v>1260</v>
      </c>
      <c r="G162" s="14" t="s">
        <v>1023</v>
      </c>
      <c r="H162" s="14" t="s">
        <v>1261</v>
      </c>
      <c r="I162" s="14" t="s">
        <v>1025</v>
      </c>
      <c r="J162" s="14" t="s">
        <v>1021</v>
      </c>
      <c r="K162" s="14" t="s">
        <v>2911</v>
      </c>
      <c r="L162" s="14" t="s">
        <v>2911</v>
      </c>
      <c r="M162" s="14" t="s">
        <v>3589</v>
      </c>
    </row>
    <row r="163" spans="1:13" ht="29" x14ac:dyDescent="0.35">
      <c r="A163" s="14" t="s">
        <v>1936</v>
      </c>
      <c r="B163" s="14" t="s">
        <v>1936</v>
      </c>
      <c r="C163" s="14" t="s">
        <v>1019</v>
      </c>
      <c r="D163" s="14" t="s">
        <v>1937</v>
      </c>
      <c r="E163" s="14" t="s">
        <v>1937</v>
      </c>
      <c r="F163" s="14" t="s">
        <v>1938</v>
      </c>
      <c r="G163" s="14" t="s">
        <v>1050</v>
      </c>
      <c r="H163" s="14" t="s">
        <v>1939</v>
      </c>
      <c r="I163" s="14" t="s">
        <v>1050</v>
      </c>
      <c r="J163" s="14" t="s">
        <v>1021</v>
      </c>
      <c r="K163" s="14" t="s">
        <v>3764</v>
      </c>
      <c r="L163" s="14" t="s">
        <v>3611</v>
      </c>
      <c r="M163" s="14" t="s">
        <v>3611</v>
      </c>
    </row>
    <row r="164" spans="1:13" ht="29" x14ac:dyDescent="0.35">
      <c r="A164" s="14" t="s">
        <v>1941</v>
      </c>
      <c r="B164" s="14" t="s">
        <v>1941</v>
      </c>
      <c r="C164" s="14" t="s">
        <v>1019</v>
      </c>
      <c r="D164" s="14" t="s">
        <v>1942</v>
      </c>
      <c r="E164" s="14" t="s">
        <v>1942</v>
      </c>
      <c r="F164" s="14"/>
      <c r="G164" s="14" t="s">
        <v>1034</v>
      </c>
      <c r="H164" s="14"/>
      <c r="I164" s="14" t="s">
        <v>1034</v>
      </c>
      <c r="J164" s="14" t="s">
        <v>1114</v>
      </c>
      <c r="K164" s="14" t="s">
        <v>3764</v>
      </c>
      <c r="L164" s="14" t="s">
        <v>3611</v>
      </c>
      <c r="M164" s="14" t="s">
        <v>3611</v>
      </c>
    </row>
    <row r="165" spans="1:13" ht="29" x14ac:dyDescent="0.35">
      <c r="A165" s="14" t="s">
        <v>1943</v>
      </c>
      <c r="B165" s="14" t="s">
        <v>1943</v>
      </c>
      <c r="C165" s="14" t="s">
        <v>1019</v>
      </c>
      <c r="D165" s="14" t="s">
        <v>1259</v>
      </c>
      <c r="E165" s="14" t="s">
        <v>1259</v>
      </c>
      <c r="F165" s="14" t="s">
        <v>1260</v>
      </c>
      <c r="G165" s="14" t="s">
        <v>1023</v>
      </c>
      <c r="H165" s="14" t="s">
        <v>1261</v>
      </c>
      <c r="I165" s="14" t="s">
        <v>1025</v>
      </c>
      <c r="J165" s="14" t="s">
        <v>1021</v>
      </c>
      <c r="K165" s="14" t="s">
        <v>2911</v>
      </c>
      <c r="L165" s="14" t="s">
        <v>2911</v>
      </c>
      <c r="M165" s="14" t="s">
        <v>3589</v>
      </c>
    </row>
    <row r="166" spans="1:13" ht="43.5" x14ac:dyDescent="0.35">
      <c r="A166" s="14" t="s">
        <v>1945</v>
      </c>
      <c r="B166" s="14" t="s">
        <v>1945</v>
      </c>
      <c r="C166" s="14" t="s">
        <v>1019</v>
      </c>
      <c r="D166" s="14" t="s">
        <v>1947</v>
      </c>
      <c r="E166" s="14" t="s">
        <v>1947</v>
      </c>
      <c r="F166" s="14" t="s">
        <v>1948</v>
      </c>
      <c r="G166" s="14" t="s">
        <v>1048</v>
      </c>
      <c r="H166" s="14" t="s">
        <v>1949</v>
      </c>
      <c r="I166" s="14" t="s">
        <v>1050</v>
      </c>
      <c r="J166" s="14" t="s">
        <v>1021</v>
      </c>
      <c r="K166" s="14" t="s">
        <v>3611</v>
      </c>
      <c r="L166" s="14" t="s">
        <v>3611</v>
      </c>
      <c r="M166" s="14" t="s">
        <v>3611</v>
      </c>
    </row>
    <row r="167" spans="1:13" ht="43.5" x14ac:dyDescent="0.35">
      <c r="A167" s="14" t="s">
        <v>1951</v>
      </c>
      <c r="B167" s="14" t="s">
        <v>1951</v>
      </c>
      <c r="C167" s="14" t="s">
        <v>1019</v>
      </c>
      <c r="D167" s="14" t="s">
        <v>1130</v>
      </c>
      <c r="E167" s="14" t="s">
        <v>1130</v>
      </c>
      <c r="F167" s="14" t="s">
        <v>1131</v>
      </c>
      <c r="G167" s="14" t="s">
        <v>1048</v>
      </c>
      <c r="H167" s="14" t="s">
        <v>1132</v>
      </c>
      <c r="I167" s="14" t="s">
        <v>1050</v>
      </c>
      <c r="J167" s="14" t="s">
        <v>1021</v>
      </c>
      <c r="K167" s="14" t="s">
        <v>3611</v>
      </c>
      <c r="L167" s="14" t="s">
        <v>3611</v>
      </c>
      <c r="M167" s="14" t="s">
        <v>3611</v>
      </c>
    </row>
    <row r="168" spans="1:13" ht="87" x14ac:dyDescent="0.35">
      <c r="A168" s="14" t="s">
        <v>1954</v>
      </c>
      <c r="B168" s="14" t="s">
        <v>1954</v>
      </c>
      <c r="C168" s="14" t="s">
        <v>1019</v>
      </c>
      <c r="D168" s="14" t="s">
        <v>1059</v>
      </c>
      <c r="E168" s="14" t="s">
        <v>1059</v>
      </c>
      <c r="F168" s="14" t="s">
        <v>1060</v>
      </c>
      <c r="G168" s="14" t="s">
        <v>1023</v>
      </c>
      <c r="H168" s="14" t="s">
        <v>1061</v>
      </c>
      <c r="I168" s="14" t="s">
        <v>1023</v>
      </c>
      <c r="J168" s="14" t="s">
        <v>1021</v>
      </c>
      <c r="K168" s="14" t="s">
        <v>2911</v>
      </c>
      <c r="L168" s="14" t="s">
        <v>3589</v>
      </c>
      <c r="M168" s="14" t="s">
        <v>3589</v>
      </c>
    </row>
    <row r="169" spans="1:13" ht="43.5" x14ac:dyDescent="0.35">
      <c r="A169" s="14" t="s">
        <v>1956</v>
      </c>
      <c r="B169" s="14" t="s">
        <v>1956</v>
      </c>
      <c r="C169" s="14" t="s">
        <v>1019</v>
      </c>
      <c r="D169" s="14" t="s">
        <v>1630</v>
      </c>
      <c r="E169" s="14" t="s">
        <v>1630</v>
      </c>
      <c r="F169" s="14" t="s">
        <v>1631</v>
      </c>
      <c r="G169" s="14" t="s">
        <v>1048</v>
      </c>
      <c r="H169" s="14" t="s">
        <v>1632</v>
      </c>
      <c r="I169" s="14" t="s">
        <v>1050</v>
      </c>
      <c r="J169" s="14" t="s">
        <v>1021</v>
      </c>
      <c r="K169" s="14" t="s">
        <v>3611</v>
      </c>
      <c r="L169" s="14" t="s">
        <v>3611</v>
      </c>
      <c r="M169" s="14" t="s">
        <v>3611</v>
      </c>
    </row>
    <row r="170" spans="1:13" ht="43.5" x14ac:dyDescent="0.35">
      <c r="A170" s="14" t="s">
        <v>1958</v>
      </c>
      <c r="B170" s="14" t="s">
        <v>1958</v>
      </c>
      <c r="C170" s="14" t="s">
        <v>1019</v>
      </c>
      <c r="D170" s="14" t="s">
        <v>1621</v>
      </c>
      <c r="E170" s="14" t="s">
        <v>1621</v>
      </c>
      <c r="F170" s="14" t="s">
        <v>1622</v>
      </c>
      <c r="G170" s="14" t="s">
        <v>1048</v>
      </c>
      <c r="H170" s="14" t="s">
        <v>1623</v>
      </c>
      <c r="I170" s="14" t="s">
        <v>1050</v>
      </c>
      <c r="J170" s="14" t="s">
        <v>1021</v>
      </c>
      <c r="K170" s="14" t="s">
        <v>3611</v>
      </c>
      <c r="L170" s="14" t="s">
        <v>3611</v>
      </c>
      <c r="M170" s="14" t="s">
        <v>3611</v>
      </c>
    </row>
    <row r="171" spans="1:13" ht="29" x14ac:dyDescent="0.35">
      <c r="A171" s="14" t="s">
        <v>1960</v>
      </c>
      <c r="B171" s="14" t="s">
        <v>1960</v>
      </c>
      <c r="C171" s="14" t="s">
        <v>1019</v>
      </c>
      <c r="D171" s="14" t="s">
        <v>1113</v>
      </c>
      <c r="E171" s="14" t="s">
        <v>1113</v>
      </c>
      <c r="F171" s="14"/>
      <c r="G171" s="14" t="s">
        <v>1034</v>
      </c>
      <c r="H171" s="14"/>
      <c r="I171" s="14" t="s">
        <v>1034</v>
      </c>
      <c r="J171" s="14" t="s">
        <v>1114</v>
      </c>
      <c r="K171" s="14" t="s">
        <v>3611</v>
      </c>
      <c r="L171" s="14" t="s">
        <v>3611</v>
      </c>
      <c r="M171" s="14" t="s">
        <v>3611</v>
      </c>
    </row>
    <row r="172" spans="1:13" ht="29" x14ac:dyDescent="0.35">
      <c r="A172" s="14" t="s">
        <v>1963</v>
      </c>
      <c r="B172" s="14" t="s">
        <v>1963</v>
      </c>
      <c r="C172" s="14" t="s">
        <v>1019</v>
      </c>
      <c r="D172" s="14" t="s">
        <v>1795</v>
      </c>
      <c r="E172" s="14" t="s">
        <v>1795</v>
      </c>
      <c r="F172" s="14" t="s">
        <v>1796</v>
      </c>
      <c r="G172" s="14" t="s">
        <v>1048</v>
      </c>
      <c r="H172" s="14" t="s">
        <v>1797</v>
      </c>
      <c r="I172" s="14" t="s">
        <v>1050</v>
      </c>
      <c r="J172" s="14" t="s">
        <v>1021</v>
      </c>
      <c r="K172" s="14" t="s">
        <v>2911</v>
      </c>
      <c r="L172" s="14" t="s">
        <v>3611</v>
      </c>
      <c r="M172" s="14" t="s">
        <v>3611</v>
      </c>
    </row>
    <row r="173" spans="1:13" ht="29" x14ac:dyDescent="0.35">
      <c r="A173" s="14" t="s">
        <v>1966</v>
      </c>
      <c r="B173" s="14" t="s">
        <v>1966</v>
      </c>
      <c r="C173" s="14" t="s">
        <v>1019</v>
      </c>
      <c r="D173" s="14" t="s">
        <v>1800</v>
      </c>
      <c r="E173" s="14" t="s">
        <v>1800</v>
      </c>
      <c r="F173" s="14" t="s">
        <v>1801</v>
      </c>
      <c r="G173" s="14" t="s">
        <v>1050</v>
      </c>
      <c r="H173" s="14" t="s">
        <v>1802</v>
      </c>
      <c r="I173" s="14" t="s">
        <v>1048</v>
      </c>
      <c r="J173" s="14" t="s">
        <v>1021</v>
      </c>
      <c r="K173" s="14" t="s">
        <v>3611</v>
      </c>
      <c r="L173" s="14" t="s">
        <v>3611</v>
      </c>
      <c r="M173" s="14" t="s">
        <v>3611</v>
      </c>
    </row>
    <row r="174" spans="1:13" ht="29" x14ac:dyDescent="0.35">
      <c r="A174" s="14" t="s">
        <v>1968</v>
      </c>
      <c r="B174" s="14" t="s">
        <v>1968</v>
      </c>
      <c r="C174" s="14" t="s">
        <v>1019</v>
      </c>
      <c r="D174" s="14" t="s">
        <v>1667</v>
      </c>
      <c r="E174" s="14" t="s">
        <v>1667</v>
      </c>
      <c r="F174" s="14" t="s">
        <v>1668</v>
      </c>
      <c r="G174" s="14" t="s">
        <v>1050</v>
      </c>
      <c r="H174" s="14"/>
      <c r="I174" s="14" t="s">
        <v>1034</v>
      </c>
      <c r="J174" s="14" t="s">
        <v>1021</v>
      </c>
      <c r="K174" s="14" t="s">
        <v>3611</v>
      </c>
      <c r="L174" s="14" t="s">
        <v>3611</v>
      </c>
      <c r="M174" s="14" t="s">
        <v>3611</v>
      </c>
    </row>
    <row r="175" spans="1:13" ht="29" x14ac:dyDescent="0.35">
      <c r="A175" s="14" t="s">
        <v>1970</v>
      </c>
      <c r="B175" s="14" t="s">
        <v>1970</v>
      </c>
      <c r="C175" s="14" t="s">
        <v>1019</v>
      </c>
      <c r="D175" s="14" t="s">
        <v>1671</v>
      </c>
      <c r="E175" s="14" t="s">
        <v>1671</v>
      </c>
      <c r="F175" s="14" t="s">
        <v>1672</v>
      </c>
      <c r="G175" s="14" t="s">
        <v>1050</v>
      </c>
      <c r="H175" s="14" t="s">
        <v>1673</v>
      </c>
      <c r="I175" s="14" t="s">
        <v>1050</v>
      </c>
      <c r="J175" s="14" t="s">
        <v>1021</v>
      </c>
      <c r="K175" s="14" t="s">
        <v>3611</v>
      </c>
      <c r="L175" s="14" t="s">
        <v>3611</v>
      </c>
      <c r="M175" s="14" t="s">
        <v>3611</v>
      </c>
    </row>
    <row r="176" spans="1:13" ht="72.5" x14ac:dyDescent="0.35">
      <c r="A176" s="14" t="s">
        <v>1972</v>
      </c>
      <c r="B176" s="14" t="s">
        <v>1972</v>
      </c>
      <c r="C176" s="14" t="s">
        <v>1019</v>
      </c>
      <c r="D176" s="14" t="s">
        <v>1091</v>
      </c>
      <c r="E176" s="14" t="s">
        <v>1091</v>
      </c>
      <c r="F176" s="14" t="s">
        <v>1092</v>
      </c>
      <c r="G176" s="14" t="s">
        <v>1048</v>
      </c>
      <c r="H176" s="14"/>
      <c r="I176" s="14" t="s">
        <v>1034</v>
      </c>
      <c r="J176" s="14" t="s">
        <v>1021</v>
      </c>
      <c r="K176" s="14" t="s">
        <v>3611</v>
      </c>
      <c r="L176" s="14" t="s">
        <v>3611</v>
      </c>
      <c r="M176" s="14" t="s">
        <v>3611</v>
      </c>
    </row>
    <row r="177" spans="1:13" ht="29" x14ac:dyDescent="0.35">
      <c r="A177" s="14" t="s">
        <v>1975</v>
      </c>
      <c r="B177" s="14" t="s">
        <v>1975</v>
      </c>
      <c r="C177" s="14" t="s">
        <v>1019</v>
      </c>
      <c r="D177" s="14" t="s">
        <v>1701</v>
      </c>
      <c r="E177" s="14" t="s">
        <v>1701</v>
      </c>
      <c r="F177" s="14"/>
      <c r="G177" s="14" t="s">
        <v>1034</v>
      </c>
      <c r="H177" s="14" t="s">
        <v>1702</v>
      </c>
      <c r="I177" s="14" t="s">
        <v>1050</v>
      </c>
      <c r="J177" s="14" t="s">
        <v>1021</v>
      </c>
      <c r="K177" s="14" t="s">
        <v>3611</v>
      </c>
      <c r="L177" s="14" t="s">
        <v>3611</v>
      </c>
      <c r="M177" s="14" t="s">
        <v>3611</v>
      </c>
    </row>
    <row r="178" spans="1:13" ht="29" x14ac:dyDescent="0.35">
      <c r="A178" s="14" t="s">
        <v>1981</v>
      </c>
      <c r="B178" s="14" t="s">
        <v>1981</v>
      </c>
      <c r="C178" s="14" t="s">
        <v>1019</v>
      </c>
      <c r="D178" s="14" t="s">
        <v>1711</v>
      </c>
      <c r="E178" s="14" t="s">
        <v>1711</v>
      </c>
      <c r="F178" s="14" t="s">
        <v>1712</v>
      </c>
      <c r="G178" s="14" t="s">
        <v>1048</v>
      </c>
      <c r="H178" s="14" t="s">
        <v>1713</v>
      </c>
      <c r="I178" s="14" t="s">
        <v>1050</v>
      </c>
      <c r="J178" s="14" t="s">
        <v>1021</v>
      </c>
      <c r="K178" s="14" t="s">
        <v>3611</v>
      </c>
      <c r="L178" s="14" t="s">
        <v>3611</v>
      </c>
      <c r="M178" s="14" t="s">
        <v>3611</v>
      </c>
    </row>
    <row r="179" spans="1:13" ht="29" x14ac:dyDescent="0.35">
      <c r="A179" s="14" t="s">
        <v>1982</v>
      </c>
      <c r="B179" s="14" t="s">
        <v>1982</v>
      </c>
      <c r="C179" s="14" t="s">
        <v>1019</v>
      </c>
      <c r="D179" s="14" t="s">
        <v>1751</v>
      </c>
      <c r="E179" s="14" t="s">
        <v>1751</v>
      </c>
      <c r="F179" s="14" t="s">
        <v>1752</v>
      </c>
      <c r="G179" s="14" t="s">
        <v>1048</v>
      </c>
      <c r="H179" s="14" t="s">
        <v>1753</v>
      </c>
      <c r="I179" s="14" t="s">
        <v>1050</v>
      </c>
      <c r="J179" s="14" t="s">
        <v>1021</v>
      </c>
      <c r="K179" s="14" t="s">
        <v>3611</v>
      </c>
      <c r="L179" s="14" t="s">
        <v>3611</v>
      </c>
      <c r="M179" s="14" t="s">
        <v>3611</v>
      </c>
    </row>
    <row r="180" spans="1:13" ht="43.5" x14ac:dyDescent="0.35">
      <c r="A180" s="14" t="s">
        <v>1985</v>
      </c>
      <c r="B180" s="14" t="s">
        <v>1985</v>
      </c>
      <c r="C180" s="14" t="s">
        <v>1019</v>
      </c>
      <c r="D180" s="14" t="s">
        <v>1254</v>
      </c>
      <c r="E180" s="14" t="s">
        <v>1254</v>
      </c>
      <c r="F180" s="14" t="s">
        <v>1255</v>
      </c>
      <c r="G180" s="14" t="s">
        <v>1048</v>
      </c>
      <c r="H180" s="14" t="s">
        <v>1256</v>
      </c>
      <c r="I180" s="14" t="s">
        <v>1050</v>
      </c>
      <c r="J180" s="14" t="s">
        <v>1021</v>
      </c>
      <c r="K180" s="14" t="s">
        <v>3611</v>
      </c>
      <c r="L180" s="14" t="s">
        <v>3611</v>
      </c>
      <c r="M180" s="14" t="s">
        <v>3611</v>
      </c>
    </row>
    <row r="181" spans="1:13" ht="29" x14ac:dyDescent="0.35">
      <c r="A181" s="14" t="s">
        <v>1987</v>
      </c>
      <c r="B181" s="14" t="s">
        <v>1987</v>
      </c>
      <c r="C181" s="14" t="s">
        <v>1019</v>
      </c>
      <c r="D181" s="14" t="s">
        <v>1809</v>
      </c>
      <c r="E181" s="14" t="s">
        <v>1809</v>
      </c>
      <c r="F181" s="14" t="s">
        <v>1810</v>
      </c>
      <c r="G181" s="14" t="s">
        <v>1050</v>
      </c>
      <c r="H181" s="14" t="s">
        <v>1811</v>
      </c>
      <c r="I181" s="14" t="s">
        <v>1050</v>
      </c>
      <c r="J181" s="14" t="s">
        <v>1021</v>
      </c>
      <c r="K181" s="14" t="s">
        <v>3611</v>
      </c>
      <c r="L181" s="14" t="s">
        <v>3611</v>
      </c>
      <c r="M181" s="14" t="s">
        <v>3611</v>
      </c>
    </row>
    <row r="182" spans="1:13" ht="29" x14ac:dyDescent="0.35">
      <c r="A182" s="14" t="s">
        <v>1989</v>
      </c>
      <c r="B182" s="14" t="s">
        <v>1989</v>
      </c>
      <c r="C182" s="14" t="s">
        <v>1019</v>
      </c>
      <c r="D182" s="14" t="s">
        <v>1886</v>
      </c>
      <c r="E182" s="14" t="s">
        <v>1886</v>
      </c>
      <c r="F182" s="14"/>
      <c r="G182" s="14" t="s">
        <v>1034</v>
      </c>
      <c r="H182" s="14"/>
      <c r="I182" s="14" t="s">
        <v>1034</v>
      </c>
      <c r="J182" s="14" t="s">
        <v>1114</v>
      </c>
      <c r="K182" s="14" t="s">
        <v>3611</v>
      </c>
      <c r="L182" s="14" t="s">
        <v>3611</v>
      </c>
      <c r="M182" s="14" t="s">
        <v>3611</v>
      </c>
    </row>
    <row r="183" spans="1:13" ht="29" x14ac:dyDescent="0.35">
      <c r="A183" s="14" t="s">
        <v>1992</v>
      </c>
      <c r="B183" s="14" t="s">
        <v>1992</v>
      </c>
      <c r="C183" s="14" t="s">
        <v>1019</v>
      </c>
      <c r="D183" s="14" t="s">
        <v>1313</v>
      </c>
      <c r="E183" s="14" t="s">
        <v>1313</v>
      </c>
      <c r="F183" s="14" t="s">
        <v>1314</v>
      </c>
      <c r="G183" s="14" t="s">
        <v>1023</v>
      </c>
      <c r="H183" s="14" t="s">
        <v>1315</v>
      </c>
      <c r="I183" s="14" t="s">
        <v>1025</v>
      </c>
      <c r="J183" s="14" t="s">
        <v>1021</v>
      </c>
      <c r="K183" s="14" t="s">
        <v>3760</v>
      </c>
      <c r="L183" s="14" t="s">
        <v>3760</v>
      </c>
      <c r="M183" s="14" t="s">
        <v>3760</v>
      </c>
    </row>
    <row r="184" spans="1:13" ht="29" x14ac:dyDescent="0.35">
      <c r="A184" s="14" t="s">
        <v>1993</v>
      </c>
      <c r="B184" s="14" t="s">
        <v>1993</v>
      </c>
      <c r="C184" s="14" t="s">
        <v>1019</v>
      </c>
      <c r="D184" s="14" t="s">
        <v>1384</v>
      </c>
      <c r="E184" s="14" t="s">
        <v>1384</v>
      </c>
      <c r="F184" s="14" t="s">
        <v>1385</v>
      </c>
      <c r="G184" s="14" t="s">
        <v>1048</v>
      </c>
      <c r="H184" s="14" t="s">
        <v>1386</v>
      </c>
      <c r="I184" s="14" t="s">
        <v>1050</v>
      </c>
      <c r="J184" s="14" t="s">
        <v>1021</v>
      </c>
      <c r="K184" s="14" t="s">
        <v>3611</v>
      </c>
      <c r="L184" s="14" t="s">
        <v>3611</v>
      </c>
      <c r="M184" s="14" t="s">
        <v>3611</v>
      </c>
    </row>
    <row r="185" spans="1:13" ht="29" x14ac:dyDescent="0.35">
      <c r="A185" s="14" t="s">
        <v>1996</v>
      </c>
      <c r="B185" s="14" t="s">
        <v>1996</v>
      </c>
      <c r="C185" s="14" t="s">
        <v>1019</v>
      </c>
      <c r="D185" s="14" t="s">
        <v>1378</v>
      </c>
      <c r="E185" s="14" t="s">
        <v>1378</v>
      </c>
      <c r="F185" s="14" t="s">
        <v>1379</v>
      </c>
      <c r="G185" s="14" t="s">
        <v>1048</v>
      </c>
      <c r="H185" s="14" t="s">
        <v>1380</v>
      </c>
      <c r="I185" s="14" t="s">
        <v>1048</v>
      </c>
      <c r="J185" s="14" t="s">
        <v>1021</v>
      </c>
      <c r="K185" s="14" t="s">
        <v>3611</v>
      </c>
      <c r="L185" s="14" t="s">
        <v>3611</v>
      </c>
      <c r="M185" s="14" t="s">
        <v>3611</v>
      </c>
    </row>
    <row r="186" spans="1:13" ht="58" x14ac:dyDescent="0.35">
      <c r="A186" s="14" t="s">
        <v>1997</v>
      </c>
      <c r="B186" s="14" t="s">
        <v>1997</v>
      </c>
      <c r="C186" s="14" t="s">
        <v>1019</v>
      </c>
      <c r="D186" s="14" t="s">
        <v>1372</v>
      </c>
      <c r="E186" s="14" t="s">
        <v>1372</v>
      </c>
      <c r="F186" s="14" t="s">
        <v>1373</v>
      </c>
      <c r="G186" s="14" t="s">
        <v>1023</v>
      </c>
      <c r="H186" s="14" t="s">
        <v>1374</v>
      </c>
      <c r="I186" s="14" t="s">
        <v>1023</v>
      </c>
      <c r="J186" s="14" t="s">
        <v>1021</v>
      </c>
      <c r="K186" s="14" t="s">
        <v>2832</v>
      </c>
      <c r="L186" s="14" t="s">
        <v>3589</v>
      </c>
      <c r="M186" s="14" t="s">
        <v>3765</v>
      </c>
    </row>
    <row r="187" spans="1:13" ht="58" x14ac:dyDescent="0.35">
      <c r="A187" s="14" t="s">
        <v>1999</v>
      </c>
      <c r="B187" s="14" t="s">
        <v>1999</v>
      </c>
      <c r="C187" s="14" t="s">
        <v>1019</v>
      </c>
      <c r="D187" s="14" t="s">
        <v>1503</v>
      </c>
      <c r="E187" s="14" t="s">
        <v>1503</v>
      </c>
      <c r="F187" s="14" t="s">
        <v>1504</v>
      </c>
      <c r="G187" s="14" t="s">
        <v>1048</v>
      </c>
      <c r="H187" s="14"/>
      <c r="I187" s="14" t="s">
        <v>1034</v>
      </c>
      <c r="J187" s="14" t="s">
        <v>1021</v>
      </c>
      <c r="K187" s="14" t="s">
        <v>3611</v>
      </c>
      <c r="L187" s="14" t="s">
        <v>3760</v>
      </c>
      <c r="M187" s="14" t="s">
        <v>3760</v>
      </c>
    </row>
    <row r="188" spans="1:13" ht="29" x14ac:dyDescent="0.35">
      <c r="A188" s="14" t="s">
        <v>2003</v>
      </c>
      <c r="B188" s="14" t="s">
        <v>2003</v>
      </c>
      <c r="C188" s="14" t="s">
        <v>1019</v>
      </c>
      <c r="D188" s="14" t="s">
        <v>1046</v>
      </c>
      <c r="E188" s="14" t="s">
        <v>1046</v>
      </c>
      <c r="F188" s="14" t="s">
        <v>1047</v>
      </c>
      <c r="G188" s="14" t="s">
        <v>1048</v>
      </c>
      <c r="H188" s="14" t="s">
        <v>1049</v>
      </c>
      <c r="I188" s="14" t="s">
        <v>1050</v>
      </c>
      <c r="J188" s="14" t="s">
        <v>1021</v>
      </c>
      <c r="K188" s="14" t="s">
        <v>3611</v>
      </c>
      <c r="L188" s="14" t="s">
        <v>3611</v>
      </c>
      <c r="M188" s="14" t="s">
        <v>3611</v>
      </c>
    </row>
    <row r="189" spans="1:13" ht="43.5" x14ac:dyDescent="0.35">
      <c r="A189" s="14" t="s">
        <v>2006</v>
      </c>
      <c r="B189" s="14" t="s">
        <v>2006</v>
      </c>
      <c r="C189" s="14" t="s">
        <v>1019</v>
      </c>
      <c r="D189" s="14" t="s">
        <v>1490</v>
      </c>
      <c r="E189" s="14" t="s">
        <v>1490</v>
      </c>
      <c r="F189" s="14" t="s">
        <v>1491</v>
      </c>
      <c r="G189" s="14" t="s">
        <v>1023</v>
      </c>
      <c r="H189" s="14" t="s">
        <v>1492</v>
      </c>
      <c r="I189" s="14" t="s">
        <v>1025</v>
      </c>
      <c r="J189" s="14" t="s">
        <v>1021</v>
      </c>
      <c r="K189" s="14" t="s">
        <v>3760</v>
      </c>
      <c r="L189" s="14" t="s">
        <v>3760</v>
      </c>
      <c r="M189" s="14" t="s">
        <v>3760</v>
      </c>
    </row>
    <row r="190" spans="1:13" ht="29" x14ac:dyDescent="0.35">
      <c r="A190" s="14" t="s">
        <v>2008</v>
      </c>
      <c r="B190" s="14" t="s">
        <v>2008</v>
      </c>
      <c r="C190" s="14" t="s">
        <v>1019</v>
      </c>
      <c r="D190" s="14" t="s">
        <v>1259</v>
      </c>
      <c r="E190" s="14" t="s">
        <v>1259</v>
      </c>
      <c r="F190" s="14" t="s">
        <v>1260</v>
      </c>
      <c r="G190" s="14" t="s">
        <v>1023</v>
      </c>
      <c r="H190" s="14" t="s">
        <v>1261</v>
      </c>
      <c r="I190" s="14" t="s">
        <v>1025</v>
      </c>
      <c r="J190" s="14" t="s">
        <v>1021</v>
      </c>
      <c r="K190" s="14" t="s">
        <v>2911</v>
      </c>
      <c r="L190" s="14" t="s">
        <v>2911</v>
      </c>
      <c r="M190" s="14" t="s">
        <v>3589</v>
      </c>
    </row>
    <row r="191" spans="1:13" ht="58" x14ac:dyDescent="0.35">
      <c r="A191" s="14" t="s">
        <v>2011</v>
      </c>
      <c r="B191" s="14" t="s">
        <v>2011</v>
      </c>
      <c r="C191" s="14" t="s">
        <v>1019</v>
      </c>
      <c r="D191" s="14" t="s">
        <v>1161</v>
      </c>
      <c r="E191" s="14" t="s">
        <v>1161</v>
      </c>
      <c r="F191" s="14" t="s">
        <v>1162</v>
      </c>
      <c r="G191" s="14" t="s">
        <v>1048</v>
      </c>
      <c r="H191" s="14" t="s">
        <v>1163</v>
      </c>
      <c r="I191" s="14" t="s">
        <v>1050</v>
      </c>
      <c r="J191" s="14" t="s">
        <v>1021</v>
      </c>
      <c r="K191" s="14" t="s">
        <v>3611</v>
      </c>
      <c r="L191" s="14" t="s">
        <v>3611</v>
      </c>
      <c r="M191" s="14" t="s">
        <v>3611</v>
      </c>
    </row>
    <row r="192" spans="1:13" ht="101.5" x14ac:dyDescent="0.35">
      <c r="A192" s="14" t="s">
        <v>2015</v>
      </c>
      <c r="B192" s="14" t="s">
        <v>2015</v>
      </c>
      <c r="C192" s="14" t="s">
        <v>1019</v>
      </c>
      <c r="D192" s="14" t="s">
        <v>1851</v>
      </c>
      <c r="E192" s="14" t="s">
        <v>1851</v>
      </c>
      <c r="F192" s="14" t="s">
        <v>1852</v>
      </c>
      <c r="G192" s="14" t="s">
        <v>1048</v>
      </c>
      <c r="H192" s="14" t="s">
        <v>1853</v>
      </c>
      <c r="I192" s="14" t="s">
        <v>1050</v>
      </c>
      <c r="J192" s="14" t="s">
        <v>1021</v>
      </c>
      <c r="K192" s="14" t="s">
        <v>3611</v>
      </c>
      <c r="L192" s="14" t="s">
        <v>3611</v>
      </c>
      <c r="M192" s="14" t="s">
        <v>3611</v>
      </c>
    </row>
    <row r="193" spans="1:13" ht="29" x14ac:dyDescent="0.35">
      <c r="A193" s="14" t="s">
        <v>2021</v>
      </c>
      <c r="B193" s="14" t="s">
        <v>2021</v>
      </c>
      <c r="C193" s="14" t="s">
        <v>1019</v>
      </c>
      <c r="D193" s="14" t="s">
        <v>1604</v>
      </c>
      <c r="E193" s="14" t="s">
        <v>1604</v>
      </c>
      <c r="F193" s="14"/>
      <c r="G193" s="14" t="s">
        <v>1034</v>
      </c>
      <c r="H193" s="14"/>
      <c r="I193" s="14" t="s">
        <v>1034</v>
      </c>
      <c r="J193" s="14" t="s">
        <v>1114</v>
      </c>
      <c r="K193" s="14" t="s">
        <v>3611</v>
      </c>
      <c r="L193" s="14" t="s">
        <v>3611</v>
      </c>
      <c r="M193" s="14" t="s">
        <v>3611</v>
      </c>
    </row>
    <row r="194" spans="1:13" ht="58" x14ac:dyDescent="0.35">
      <c r="A194" s="14" t="s">
        <v>2027</v>
      </c>
      <c r="B194" s="14" t="s">
        <v>2027</v>
      </c>
      <c r="C194" s="14" t="s">
        <v>1019</v>
      </c>
      <c r="D194" s="14" t="s">
        <v>1859</v>
      </c>
      <c r="E194" s="14" t="s">
        <v>1859</v>
      </c>
      <c r="F194" s="14" t="s">
        <v>1860</v>
      </c>
      <c r="G194" s="14" t="s">
        <v>1048</v>
      </c>
      <c r="H194" s="14" t="s">
        <v>1861</v>
      </c>
      <c r="I194" s="14" t="s">
        <v>1050</v>
      </c>
      <c r="J194" s="14" t="s">
        <v>1021</v>
      </c>
      <c r="K194" s="14" t="s">
        <v>3611</v>
      </c>
      <c r="L194" s="14" t="s">
        <v>3611</v>
      </c>
      <c r="M194" s="14" t="s">
        <v>3611</v>
      </c>
    </row>
    <row r="195" spans="1:13" ht="29" x14ac:dyDescent="0.35">
      <c r="A195" s="14" t="s">
        <v>2031</v>
      </c>
      <c r="B195" s="14" t="s">
        <v>2031</v>
      </c>
      <c r="C195" s="14" t="s">
        <v>1019</v>
      </c>
      <c r="D195" s="14" t="s">
        <v>1882</v>
      </c>
      <c r="E195" s="14" t="s">
        <v>1882</v>
      </c>
      <c r="F195" s="14" t="s">
        <v>1883</v>
      </c>
      <c r="G195" s="14" t="s">
        <v>1048</v>
      </c>
      <c r="H195" s="14"/>
      <c r="I195" s="14" t="s">
        <v>1034</v>
      </c>
      <c r="J195" s="14" t="s">
        <v>1021</v>
      </c>
      <c r="K195" s="14" t="s">
        <v>3611</v>
      </c>
      <c r="L195" s="14" t="s">
        <v>3611</v>
      </c>
      <c r="M195" s="14" t="s">
        <v>3611</v>
      </c>
    </row>
    <row r="196" spans="1:13" ht="43.5" x14ac:dyDescent="0.35">
      <c r="A196" s="14" t="s">
        <v>2034</v>
      </c>
      <c r="B196" s="14" t="s">
        <v>2034</v>
      </c>
      <c r="C196" s="14" t="s">
        <v>1019</v>
      </c>
      <c r="D196" s="14" t="s">
        <v>1268</v>
      </c>
      <c r="E196" s="14" t="s">
        <v>1268</v>
      </c>
      <c r="F196" s="14" t="s">
        <v>1269</v>
      </c>
      <c r="G196" s="14" t="s">
        <v>1048</v>
      </c>
      <c r="H196" s="14" t="s">
        <v>1270</v>
      </c>
      <c r="I196" s="14" t="s">
        <v>1050</v>
      </c>
      <c r="J196" s="14" t="s">
        <v>1021</v>
      </c>
      <c r="K196" s="14" t="s">
        <v>3611</v>
      </c>
      <c r="L196" s="14" t="s">
        <v>3611</v>
      </c>
      <c r="M196" s="14" t="s">
        <v>3611</v>
      </c>
    </row>
    <row r="197" spans="1:13" ht="29" x14ac:dyDescent="0.35">
      <c r="A197" s="14" t="s">
        <v>2036</v>
      </c>
      <c r="B197" s="14" t="s">
        <v>2036</v>
      </c>
      <c r="C197" s="14" t="s">
        <v>1019</v>
      </c>
      <c r="D197" s="14" t="s">
        <v>1325</v>
      </c>
      <c r="E197" s="14" t="s">
        <v>1325</v>
      </c>
      <c r="F197" s="14" t="s">
        <v>1326</v>
      </c>
      <c r="G197" s="14" t="s">
        <v>1050</v>
      </c>
      <c r="H197" s="14" t="s">
        <v>1327</v>
      </c>
      <c r="I197" s="14" t="s">
        <v>1050</v>
      </c>
      <c r="J197" s="14" t="s">
        <v>1021</v>
      </c>
      <c r="K197" s="14" t="s">
        <v>3760</v>
      </c>
      <c r="L197" s="14" t="s">
        <v>3611</v>
      </c>
      <c r="M197" s="14" t="s">
        <v>3611</v>
      </c>
    </row>
    <row r="198" spans="1:13" ht="29" x14ac:dyDescent="0.35">
      <c r="A198" s="14" t="s">
        <v>2045</v>
      </c>
      <c r="B198" s="14" t="s">
        <v>2045</v>
      </c>
      <c r="C198" s="14" t="s">
        <v>1019</v>
      </c>
      <c r="D198" s="14" t="s">
        <v>1313</v>
      </c>
      <c r="E198" s="14" t="s">
        <v>1313</v>
      </c>
      <c r="F198" s="14" t="s">
        <v>1314</v>
      </c>
      <c r="G198" s="14" t="s">
        <v>1023</v>
      </c>
      <c r="H198" s="14" t="s">
        <v>1315</v>
      </c>
      <c r="I198" s="14" t="s">
        <v>1025</v>
      </c>
      <c r="J198" s="14" t="s">
        <v>1021</v>
      </c>
      <c r="K198" s="14" t="s">
        <v>3760</v>
      </c>
      <c r="L198" s="14" t="s">
        <v>3760</v>
      </c>
      <c r="M198" s="14" t="s">
        <v>3760</v>
      </c>
    </row>
    <row r="199" spans="1:13" ht="29" x14ac:dyDescent="0.35">
      <c r="A199" s="14" t="s">
        <v>2047</v>
      </c>
      <c r="B199" s="14" t="s">
        <v>2047</v>
      </c>
      <c r="C199" s="14" t="s">
        <v>1019</v>
      </c>
      <c r="D199" s="14" t="s">
        <v>1335</v>
      </c>
      <c r="E199" s="14" t="s">
        <v>1335</v>
      </c>
      <c r="F199" s="14" t="s">
        <v>1336</v>
      </c>
      <c r="G199" s="14" t="s">
        <v>1050</v>
      </c>
      <c r="H199" s="14" t="s">
        <v>1337</v>
      </c>
      <c r="I199" s="14" t="s">
        <v>1050</v>
      </c>
      <c r="J199" s="14" t="s">
        <v>1021</v>
      </c>
      <c r="K199" s="14" t="s">
        <v>3611</v>
      </c>
      <c r="L199" s="14" t="s">
        <v>3611</v>
      </c>
      <c r="M199" s="14" t="s">
        <v>3611</v>
      </c>
    </row>
    <row r="200" spans="1:13" ht="43.5" x14ac:dyDescent="0.35">
      <c r="A200" s="14" t="s">
        <v>2049</v>
      </c>
      <c r="B200" s="14" t="s">
        <v>2049</v>
      </c>
      <c r="C200" s="14" t="s">
        <v>1019</v>
      </c>
      <c r="D200" s="14" t="s">
        <v>1020</v>
      </c>
      <c r="E200" s="14" t="s">
        <v>1020</v>
      </c>
      <c r="F200" s="14" t="s">
        <v>1022</v>
      </c>
      <c r="G200" s="14" t="s">
        <v>1023</v>
      </c>
      <c r="H200" s="14" t="s">
        <v>1024</v>
      </c>
      <c r="I200" s="14" t="s">
        <v>1025</v>
      </c>
      <c r="J200" s="14" t="s">
        <v>1021</v>
      </c>
      <c r="K200" s="14" t="s">
        <v>3760</v>
      </c>
      <c r="L200" s="14" t="s">
        <v>3760</v>
      </c>
      <c r="M200" s="14" t="s">
        <v>3760</v>
      </c>
    </row>
    <row r="201" spans="1:13" ht="29" x14ac:dyDescent="0.35">
      <c r="A201" s="14" t="s">
        <v>2051</v>
      </c>
      <c r="B201" s="14" t="s">
        <v>2051</v>
      </c>
      <c r="C201" s="14" t="s">
        <v>1019</v>
      </c>
      <c r="D201" s="14" t="s">
        <v>1771</v>
      </c>
      <c r="E201" s="14" t="s">
        <v>1771</v>
      </c>
      <c r="F201" s="14" t="s">
        <v>1772</v>
      </c>
      <c r="G201" s="14" t="s">
        <v>1048</v>
      </c>
      <c r="H201" s="14" t="s">
        <v>1773</v>
      </c>
      <c r="I201" s="14" t="s">
        <v>1050</v>
      </c>
      <c r="J201" s="14" t="s">
        <v>1021</v>
      </c>
      <c r="K201" s="14" t="s">
        <v>3611</v>
      </c>
      <c r="L201" s="14" t="s">
        <v>3611</v>
      </c>
      <c r="M201" s="14" t="s">
        <v>3611</v>
      </c>
    </row>
    <row r="202" spans="1:13" ht="58" x14ac:dyDescent="0.35">
      <c r="A202" s="14" t="s">
        <v>2053</v>
      </c>
      <c r="B202" s="14" t="s">
        <v>2053</v>
      </c>
      <c r="C202" s="14" t="s">
        <v>1019</v>
      </c>
      <c r="D202" s="14" t="s">
        <v>1351</v>
      </c>
      <c r="E202" s="14" t="s">
        <v>1351</v>
      </c>
      <c r="F202" s="14" t="s">
        <v>1352</v>
      </c>
      <c r="G202" s="14" t="s">
        <v>1023</v>
      </c>
      <c r="H202" s="14" t="s">
        <v>1353</v>
      </c>
      <c r="I202" s="14" t="s">
        <v>1025</v>
      </c>
      <c r="J202" s="14" t="s">
        <v>1021</v>
      </c>
      <c r="K202" s="14" t="s">
        <v>3611</v>
      </c>
      <c r="L202" s="14" t="s">
        <v>2911</v>
      </c>
      <c r="M202" s="14" t="s">
        <v>2911</v>
      </c>
    </row>
    <row r="203" spans="1:13" ht="29" x14ac:dyDescent="0.35">
      <c r="A203" s="14" t="s">
        <v>2055</v>
      </c>
      <c r="B203" s="14" t="s">
        <v>2055</v>
      </c>
      <c r="C203" s="14" t="s">
        <v>1019</v>
      </c>
      <c r="D203" s="14" t="s">
        <v>1070</v>
      </c>
      <c r="E203" s="14" t="s">
        <v>1070</v>
      </c>
      <c r="F203" s="14" t="s">
        <v>1071</v>
      </c>
      <c r="G203" s="14" t="s">
        <v>1048</v>
      </c>
      <c r="H203" s="14" t="s">
        <v>1072</v>
      </c>
      <c r="I203" s="14" t="s">
        <v>1050</v>
      </c>
      <c r="J203" s="14" t="s">
        <v>1021</v>
      </c>
      <c r="K203" s="14" t="s">
        <v>3611</v>
      </c>
      <c r="L203" s="14" t="s">
        <v>3611</v>
      </c>
      <c r="M203" s="14" t="s">
        <v>3611</v>
      </c>
    </row>
    <row r="204" spans="1:13" ht="29" x14ac:dyDescent="0.35">
      <c r="A204" s="14" t="s">
        <v>2058</v>
      </c>
      <c r="B204" s="14" t="s">
        <v>2058</v>
      </c>
      <c r="C204" s="14" t="s">
        <v>1019</v>
      </c>
      <c r="D204" s="14" t="s">
        <v>1608</v>
      </c>
      <c r="E204" s="14" t="s">
        <v>1608</v>
      </c>
      <c r="F204" s="14" t="s">
        <v>1609</v>
      </c>
      <c r="G204" s="14" t="s">
        <v>1050</v>
      </c>
      <c r="H204" s="14" t="s">
        <v>1610</v>
      </c>
      <c r="I204" s="14" t="s">
        <v>1048</v>
      </c>
      <c r="J204" s="14" t="s">
        <v>1021</v>
      </c>
      <c r="K204" s="14" t="s">
        <v>3611</v>
      </c>
      <c r="L204" s="14" t="s">
        <v>3611</v>
      </c>
      <c r="M204" s="14" t="s">
        <v>3611</v>
      </c>
    </row>
    <row r="205" spans="1:13" ht="29" x14ac:dyDescent="0.35">
      <c r="A205" s="14" t="s">
        <v>2060</v>
      </c>
      <c r="B205" s="14" t="s">
        <v>2060</v>
      </c>
      <c r="C205" s="14" t="s">
        <v>1019</v>
      </c>
      <c r="D205" s="14" t="s">
        <v>1589</v>
      </c>
      <c r="E205" s="14" t="s">
        <v>1589</v>
      </c>
      <c r="F205" s="14" t="s">
        <v>1590</v>
      </c>
      <c r="G205" s="14" t="s">
        <v>1050</v>
      </c>
      <c r="H205" s="14" t="s">
        <v>1591</v>
      </c>
      <c r="I205" s="14" t="s">
        <v>1050</v>
      </c>
      <c r="J205" s="14" t="s">
        <v>1021</v>
      </c>
      <c r="K205" s="14" t="s">
        <v>3611</v>
      </c>
      <c r="L205" s="14" t="s">
        <v>3611</v>
      </c>
      <c r="M205" s="14" t="s">
        <v>3611</v>
      </c>
    </row>
    <row r="206" spans="1:13" ht="29" x14ac:dyDescent="0.35">
      <c r="A206" s="14" t="s">
        <v>2062</v>
      </c>
      <c r="B206" s="14" t="s">
        <v>2062</v>
      </c>
      <c r="C206" s="14" t="s">
        <v>1019</v>
      </c>
      <c r="D206" s="14" t="s">
        <v>1181</v>
      </c>
      <c r="E206" s="14" t="s">
        <v>1181</v>
      </c>
      <c r="F206" s="14" t="s">
        <v>1182</v>
      </c>
      <c r="G206" s="14" t="s">
        <v>1025</v>
      </c>
      <c r="H206" s="14" t="s">
        <v>1183</v>
      </c>
      <c r="I206" s="14" t="s">
        <v>1025</v>
      </c>
      <c r="J206" s="14" t="s">
        <v>1021</v>
      </c>
      <c r="K206" s="14" t="s">
        <v>3760</v>
      </c>
      <c r="L206" s="14" t="s">
        <v>3760</v>
      </c>
      <c r="M206" s="14" t="s">
        <v>3760</v>
      </c>
    </row>
    <row r="207" spans="1:13" ht="29" x14ac:dyDescent="0.35">
      <c r="A207" s="14" t="s">
        <v>2066</v>
      </c>
      <c r="B207" s="14" t="s">
        <v>2066</v>
      </c>
      <c r="C207" s="14" t="s">
        <v>1019</v>
      </c>
      <c r="D207" s="14" t="s">
        <v>1500</v>
      </c>
      <c r="E207" s="14" t="s">
        <v>1500</v>
      </c>
      <c r="F207" s="14"/>
      <c r="G207" s="14" t="s">
        <v>1034</v>
      </c>
      <c r="H207" s="14"/>
      <c r="I207" s="14" t="s">
        <v>1034</v>
      </c>
      <c r="J207" s="14" t="s">
        <v>1114</v>
      </c>
      <c r="K207" s="14" t="s">
        <v>3611</v>
      </c>
      <c r="L207" s="14" t="s">
        <v>3611</v>
      </c>
      <c r="M207" s="14" t="s">
        <v>3611</v>
      </c>
    </row>
    <row r="208" spans="1:13" ht="29" x14ac:dyDescent="0.35">
      <c r="A208" s="14" t="s">
        <v>2069</v>
      </c>
      <c r="B208" s="14" t="s">
        <v>2069</v>
      </c>
      <c r="C208" s="14" t="s">
        <v>1019</v>
      </c>
      <c r="D208" s="14" t="s">
        <v>2073</v>
      </c>
      <c r="E208" s="14" t="s">
        <v>2073</v>
      </c>
      <c r="F208" s="14" t="s">
        <v>2074</v>
      </c>
      <c r="G208" s="14" t="s">
        <v>1048</v>
      </c>
      <c r="H208" s="14" t="s">
        <v>2075</v>
      </c>
      <c r="I208" s="14" t="s">
        <v>1048</v>
      </c>
      <c r="J208" s="14" t="s">
        <v>1021</v>
      </c>
      <c r="K208" s="14" t="s">
        <v>3611</v>
      </c>
      <c r="L208" s="14" t="s">
        <v>3611</v>
      </c>
      <c r="M208" s="14" t="s">
        <v>3611</v>
      </c>
    </row>
    <row r="209" spans="1:13" ht="43.5" x14ac:dyDescent="0.35">
      <c r="A209" s="14" t="s">
        <v>2077</v>
      </c>
      <c r="B209" s="14" t="s">
        <v>2077</v>
      </c>
      <c r="C209" s="14" t="s">
        <v>1019</v>
      </c>
      <c r="D209" s="14" t="s">
        <v>1837</v>
      </c>
      <c r="E209" s="14" t="s">
        <v>1837</v>
      </c>
      <c r="F209" s="14" t="s">
        <v>1838</v>
      </c>
      <c r="G209" s="14" t="s">
        <v>1048</v>
      </c>
      <c r="H209" s="14" t="s">
        <v>1839</v>
      </c>
      <c r="I209" s="14" t="s">
        <v>1048</v>
      </c>
      <c r="J209" s="14" t="s">
        <v>1021</v>
      </c>
      <c r="K209" s="14" t="s">
        <v>3611</v>
      </c>
      <c r="L209" s="14" t="s">
        <v>3611</v>
      </c>
      <c r="M209" s="14" t="s">
        <v>2911</v>
      </c>
    </row>
    <row r="210" spans="1:13" ht="58" x14ac:dyDescent="0.35">
      <c r="A210" s="14" t="s">
        <v>2079</v>
      </c>
      <c r="B210" s="14" t="s">
        <v>2079</v>
      </c>
      <c r="C210" s="14" t="s">
        <v>1019</v>
      </c>
      <c r="D210" s="14" t="s">
        <v>1898</v>
      </c>
      <c r="E210" s="14" t="s">
        <v>1898</v>
      </c>
      <c r="F210" s="14" t="s">
        <v>1899</v>
      </c>
      <c r="G210" s="14" t="s">
        <v>1048</v>
      </c>
      <c r="H210" s="14" t="s">
        <v>1900</v>
      </c>
      <c r="I210" s="14" t="s">
        <v>1050</v>
      </c>
      <c r="J210" s="14" t="s">
        <v>1021</v>
      </c>
      <c r="K210" s="14" t="s">
        <v>3611</v>
      </c>
      <c r="L210" s="14" t="s">
        <v>3611</v>
      </c>
      <c r="M210" s="14" t="s">
        <v>3611</v>
      </c>
    </row>
    <row r="211" spans="1:13" ht="29" x14ac:dyDescent="0.35">
      <c r="A211" s="14" t="s">
        <v>2081</v>
      </c>
      <c r="B211" s="14" t="s">
        <v>2081</v>
      </c>
      <c r="C211" s="14" t="s">
        <v>1019</v>
      </c>
      <c r="D211" s="14" t="s">
        <v>1156</v>
      </c>
      <c r="E211" s="14" t="s">
        <v>1156</v>
      </c>
      <c r="F211" s="14"/>
      <c r="G211" s="14" t="s">
        <v>1034</v>
      </c>
      <c r="H211" s="14"/>
      <c r="I211" s="14" t="s">
        <v>1034</v>
      </c>
      <c r="J211" s="14" t="s">
        <v>1114</v>
      </c>
      <c r="K211" s="14" t="s">
        <v>3611</v>
      </c>
      <c r="L211" s="14" t="s">
        <v>3611</v>
      </c>
      <c r="M211" s="14" t="s">
        <v>3611</v>
      </c>
    </row>
    <row r="212" spans="1:13" ht="29" x14ac:dyDescent="0.35">
      <c r="A212" s="14" t="s">
        <v>2083</v>
      </c>
      <c r="B212" s="14" t="s">
        <v>2083</v>
      </c>
      <c r="C212" s="14" t="s">
        <v>1019</v>
      </c>
      <c r="D212" s="14" t="s">
        <v>1904</v>
      </c>
      <c r="E212" s="14" t="s">
        <v>1904</v>
      </c>
      <c r="F212" s="14" t="s">
        <v>1905</v>
      </c>
      <c r="G212" s="14" t="s">
        <v>1048</v>
      </c>
      <c r="H212" s="14" t="s">
        <v>1906</v>
      </c>
      <c r="I212" s="14" t="s">
        <v>1050</v>
      </c>
      <c r="J212" s="14" t="s">
        <v>1021</v>
      </c>
      <c r="K212" s="14" t="s">
        <v>3611</v>
      </c>
      <c r="L212" s="14" t="s">
        <v>3611</v>
      </c>
      <c r="M212" s="14" t="s">
        <v>3611</v>
      </c>
    </row>
    <row r="213" spans="1:13" ht="29" x14ac:dyDescent="0.35">
      <c r="A213" s="14" t="s">
        <v>2085</v>
      </c>
      <c r="B213" s="14" t="s">
        <v>2085</v>
      </c>
      <c r="C213" s="14" t="s">
        <v>1019</v>
      </c>
      <c r="D213" s="14" t="s">
        <v>1889</v>
      </c>
      <c r="E213" s="14" t="s">
        <v>1889</v>
      </c>
      <c r="F213" s="14"/>
      <c r="G213" s="14" t="s">
        <v>1034</v>
      </c>
      <c r="H213" s="14"/>
      <c r="I213" s="14" t="s">
        <v>1034</v>
      </c>
      <c r="J213" s="14" t="s">
        <v>1114</v>
      </c>
      <c r="K213" s="14" t="s">
        <v>3611</v>
      </c>
      <c r="L213" s="14" t="s">
        <v>3611</v>
      </c>
      <c r="M213" s="14" t="s">
        <v>3611</v>
      </c>
    </row>
    <row r="214" spans="1:13" ht="29" x14ac:dyDescent="0.35">
      <c r="A214" s="14" t="s">
        <v>2087</v>
      </c>
      <c r="B214" s="14" t="s">
        <v>2087</v>
      </c>
      <c r="C214" s="14" t="s">
        <v>1019</v>
      </c>
      <c r="D214" s="14" t="s">
        <v>1721</v>
      </c>
      <c r="E214" s="14" t="s">
        <v>1721</v>
      </c>
      <c r="F214" s="14" t="s">
        <v>1722</v>
      </c>
      <c r="G214" s="14" t="s">
        <v>1025</v>
      </c>
      <c r="H214" s="14" t="s">
        <v>1723</v>
      </c>
      <c r="I214" s="14" t="s">
        <v>1025</v>
      </c>
      <c r="J214" s="14" t="s">
        <v>1021</v>
      </c>
      <c r="K214" s="14" t="s">
        <v>3766</v>
      </c>
      <c r="L214" s="14" t="s">
        <v>3765</v>
      </c>
      <c r="M214" s="14" t="s">
        <v>3765</v>
      </c>
    </row>
    <row r="215" spans="1:13" ht="58" x14ac:dyDescent="0.35">
      <c r="A215" s="14" t="s">
        <v>2089</v>
      </c>
      <c r="B215" s="14" t="s">
        <v>2089</v>
      </c>
      <c r="C215" s="14" t="s">
        <v>1019</v>
      </c>
      <c r="D215" s="14" t="s">
        <v>1305</v>
      </c>
      <c r="E215" s="14" t="s">
        <v>1305</v>
      </c>
      <c r="F215" s="14" t="s">
        <v>1306</v>
      </c>
      <c r="G215" s="14" t="s">
        <v>1023</v>
      </c>
      <c r="H215" s="14" t="s">
        <v>1307</v>
      </c>
      <c r="I215" s="14" t="s">
        <v>1025</v>
      </c>
      <c r="J215" s="14" t="s">
        <v>1021</v>
      </c>
      <c r="K215" s="14" t="s">
        <v>3760</v>
      </c>
      <c r="L215" s="14" t="s">
        <v>3760</v>
      </c>
      <c r="M215" s="14" t="s">
        <v>3760</v>
      </c>
    </row>
    <row r="216" spans="1:13" ht="43.5" x14ac:dyDescent="0.35">
      <c r="A216" s="14" t="s">
        <v>2090</v>
      </c>
      <c r="B216" s="14" t="s">
        <v>2090</v>
      </c>
      <c r="C216" s="14" t="s">
        <v>1019</v>
      </c>
      <c r="D216" s="14" t="s">
        <v>1186</v>
      </c>
      <c r="E216" s="14" t="s">
        <v>1186</v>
      </c>
      <c r="F216" s="14" t="s">
        <v>1187</v>
      </c>
      <c r="G216" s="14" t="s">
        <v>1023</v>
      </c>
      <c r="H216" s="14" t="s">
        <v>1188</v>
      </c>
      <c r="I216" s="14" t="s">
        <v>1025</v>
      </c>
      <c r="J216" s="14" t="s">
        <v>1021</v>
      </c>
      <c r="K216" s="14" t="s">
        <v>3589</v>
      </c>
      <c r="L216" s="14" t="s">
        <v>3589</v>
      </c>
      <c r="M216" s="14" t="s">
        <v>2832</v>
      </c>
    </row>
    <row r="217" spans="1:13" ht="29" x14ac:dyDescent="0.35">
      <c r="A217" s="14" t="s">
        <v>2091</v>
      </c>
      <c r="B217" s="14" t="s">
        <v>2091</v>
      </c>
      <c r="C217" s="14" t="s">
        <v>1019</v>
      </c>
      <c r="D217" s="14" t="s">
        <v>1166</v>
      </c>
      <c r="E217" s="14" t="s">
        <v>1166</v>
      </c>
      <c r="F217" s="14" t="s">
        <v>1167</v>
      </c>
      <c r="G217" s="14" t="s">
        <v>1023</v>
      </c>
      <c r="H217" s="14" t="s">
        <v>1168</v>
      </c>
      <c r="I217" s="14" t="s">
        <v>1025</v>
      </c>
      <c r="J217" s="14" t="s">
        <v>1021</v>
      </c>
      <c r="K217" s="14" t="s">
        <v>3760</v>
      </c>
      <c r="L217" s="14" t="s">
        <v>3760</v>
      </c>
      <c r="M217" s="14" t="s">
        <v>3760</v>
      </c>
    </row>
    <row r="218" spans="1:13" ht="29" x14ac:dyDescent="0.35">
      <c r="A218" s="14" t="s">
        <v>2094</v>
      </c>
      <c r="B218" s="14" t="s">
        <v>2094</v>
      </c>
      <c r="C218" s="14" t="s">
        <v>1019</v>
      </c>
      <c r="D218" s="14"/>
      <c r="E218" s="14"/>
      <c r="F218" s="14"/>
      <c r="G218" s="14" t="s">
        <v>1034</v>
      </c>
      <c r="H218" s="14"/>
      <c r="I218" s="14" t="s">
        <v>1034</v>
      </c>
      <c r="J218" s="14" t="s">
        <v>1123</v>
      </c>
      <c r="K218" s="14"/>
      <c r="L218" s="14"/>
      <c r="M218" s="14"/>
    </row>
    <row r="219" spans="1:13" ht="29" x14ac:dyDescent="0.35">
      <c r="A219" s="14" t="s">
        <v>2096</v>
      </c>
      <c r="B219" s="14" t="s">
        <v>2096</v>
      </c>
      <c r="C219" s="14" t="s">
        <v>1019</v>
      </c>
      <c r="D219" s="14" t="s">
        <v>1106</v>
      </c>
      <c r="E219" s="14" t="s">
        <v>1106</v>
      </c>
      <c r="F219" s="14" t="s">
        <v>1107</v>
      </c>
      <c r="G219" s="14" t="s">
        <v>1048</v>
      </c>
      <c r="H219" s="14" t="s">
        <v>1108</v>
      </c>
      <c r="I219" s="14" t="s">
        <v>1050</v>
      </c>
      <c r="J219" s="14" t="s">
        <v>1021</v>
      </c>
      <c r="K219" s="14" t="s">
        <v>3760</v>
      </c>
      <c r="L219" s="14" t="s">
        <v>3611</v>
      </c>
      <c r="M219" s="14" t="s">
        <v>3760</v>
      </c>
    </row>
    <row r="220" spans="1:13" ht="87" x14ac:dyDescent="0.35">
      <c r="A220" s="14" t="s">
        <v>2098</v>
      </c>
      <c r="B220" s="14" t="s">
        <v>2098</v>
      </c>
      <c r="C220" s="14" t="s">
        <v>1019</v>
      </c>
      <c r="D220" s="14" t="s">
        <v>1784</v>
      </c>
      <c r="E220" s="14" t="s">
        <v>1784</v>
      </c>
      <c r="F220" s="14" t="s">
        <v>1785</v>
      </c>
      <c r="G220" s="14" t="s">
        <v>1023</v>
      </c>
      <c r="H220" s="14" t="s">
        <v>1786</v>
      </c>
      <c r="I220" s="14" t="s">
        <v>1025</v>
      </c>
      <c r="J220" s="14" t="s">
        <v>1021</v>
      </c>
      <c r="K220" s="14" t="s">
        <v>3760</v>
      </c>
      <c r="L220" s="14" t="s">
        <v>3760</v>
      </c>
      <c r="M220" s="14" t="s">
        <v>3760</v>
      </c>
    </row>
    <row r="221" spans="1:13" ht="43.5" x14ac:dyDescent="0.35">
      <c r="A221" s="14" t="s">
        <v>2100</v>
      </c>
      <c r="B221" s="14" t="s">
        <v>2100</v>
      </c>
      <c r="C221" s="14" t="s">
        <v>1019</v>
      </c>
      <c r="D221" s="14" t="s">
        <v>1744</v>
      </c>
      <c r="E221" s="14" t="s">
        <v>1744</v>
      </c>
      <c r="F221" s="14" t="s">
        <v>1745</v>
      </c>
      <c r="G221" s="14" t="s">
        <v>1048</v>
      </c>
      <c r="H221" s="14" t="s">
        <v>1746</v>
      </c>
      <c r="I221" s="14" t="s">
        <v>1050</v>
      </c>
      <c r="J221" s="14" t="s">
        <v>1021</v>
      </c>
      <c r="K221" s="14" t="s">
        <v>3611</v>
      </c>
      <c r="L221" s="14" t="s">
        <v>3611</v>
      </c>
      <c r="M221" s="14" t="s">
        <v>3611</v>
      </c>
    </row>
    <row r="222" spans="1:13" ht="29" x14ac:dyDescent="0.35">
      <c r="A222" s="14" t="s">
        <v>2102</v>
      </c>
      <c r="B222" s="14" t="s">
        <v>2102</v>
      </c>
      <c r="C222" s="14" t="s">
        <v>1019</v>
      </c>
      <c r="D222" s="14" t="s">
        <v>1192</v>
      </c>
      <c r="E222" s="14" t="s">
        <v>1192</v>
      </c>
      <c r="F222" s="14" t="s">
        <v>1193</v>
      </c>
      <c r="G222" s="14" t="s">
        <v>1048</v>
      </c>
      <c r="H222" s="14" t="s">
        <v>1194</v>
      </c>
      <c r="I222" s="14" t="s">
        <v>1048</v>
      </c>
      <c r="J222" s="14" t="s">
        <v>1021</v>
      </c>
      <c r="K222" s="14" t="s">
        <v>3611</v>
      </c>
      <c r="L222" s="14" t="s">
        <v>3611</v>
      </c>
      <c r="M222" s="14" t="s">
        <v>3611</v>
      </c>
    </row>
    <row r="223" spans="1:13" ht="43.5" x14ac:dyDescent="0.35">
      <c r="A223" s="14" t="s">
        <v>2105</v>
      </c>
      <c r="B223" s="14" t="s">
        <v>2105</v>
      </c>
      <c r="C223" s="14" t="s">
        <v>1019</v>
      </c>
      <c r="D223" s="14" t="s">
        <v>1318</v>
      </c>
      <c r="E223" s="14" t="s">
        <v>1318</v>
      </c>
      <c r="F223" s="14" t="s">
        <v>1319</v>
      </c>
      <c r="G223" s="14" t="s">
        <v>1048</v>
      </c>
      <c r="H223" s="14" t="s">
        <v>1320</v>
      </c>
      <c r="I223" s="14" t="s">
        <v>1050</v>
      </c>
      <c r="J223" s="14" t="s">
        <v>1021</v>
      </c>
      <c r="K223" s="14" t="s">
        <v>3611</v>
      </c>
      <c r="L223" s="14" t="s">
        <v>3611</v>
      </c>
      <c r="M223" s="14" t="s">
        <v>3611</v>
      </c>
    </row>
    <row r="224" spans="1:13" ht="29" x14ac:dyDescent="0.35">
      <c r="A224" s="14" t="s">
        <v>2107</v>
      </c>
      <c r="B224" s="14" t="s">
        <v>2107</v>
      </c>
      <c r="C224" s="14" t="s">
        <v>1019</v>
      </c>
      <c r="D224" s="14" t="s">
        <v>2108</v>
      </c>
      <c r="E224" s="14" t="s">
        <v>2108</v>
      </c>
      <c r="F224" s="14" t="s">
        <v>2109</v>
      </c>
      <c r="G224" s="14" t="s">
        <v>1048</v>
      </c>
      <c r="H224" s="14" t="s">
        <v>2110</v>
      </c>
      <c r="I224" s="14" t="s">
        <v>1025</v>
      </c>
      <c r="J224" s="14" t="s">
        <v>1021</v>
      </c>
      <c r="K224" s="14" t="s">
        <v>3760</v>
      </c>
      <c r="L224" s="14" t="s">
        <v>3760</v>
      </c>
      <c r="M224" s="14" t="s">
        <v>3760</v>
      </c>
    </row>
    <row r="225" spans="1:13" ht="58" x14ac:dyDescent="0.35">
      <c r="A225" s="14" t="s">
        <v>2112</v>
      </c>
      <c r="B225" s="14" t="s">
        <v>2112</v>
      </c>
      <c r="C225" s="14" t="s">
        <v>1019</v>
      </c>
      <c r="D225" s="14" t="s">
        <v>1372</v>
      </c>
      <c r="E225" s="14" t="s">
        <v>1372</v>
      </c>
      <c r="F225" s="14" t="s">
        <v>1373</v>
      </c>
      <c r="G225" s="14" t="s">
        <v>1023</v>
      </c>
      <c r="H225" s="14" t="s">
        <v>1374</v>
      </c>
      <c r="I225" s="14" t="s">
        <v>1023</v>
      </c>
      <c r="J225" s="14" t="s">
        <v>1021</v>
      </c>
      <c r="K225" s="14" t="s">
        <v>2832</v>
      </c>
      <c r="L225" s="14" t="s">
        <v>3589</v>
      </c>
      <c r="M225" s="14" t="s">
        <v>3765</v>
      </c>
    </row>
    <row r="226" spans="1:13" ht="58" x14ac:dyDescent="0.35">
      <c r="A226" s="14" t="s">
        <v>2114</v>
      </c>
      <c r="B226" s="14" t="s">
        <v>2114</v>
      </c>
      <c r="C226" s="14" t="s">
        <v>1019</v>
      </c>
      <c r="D226" s="14" t="s">
        <v>1372</v>
      </c>
      <c r="E226" s="14" t="s">
        <v>1372</v>
      </c>
      <c r="F226" s="14" t="s">
        <v>1373</v>
      </c>
      <c r="G226" s="14" t="s">
        <v>1023</v>
      </c>
      <c r="H226" s="14" t="s">
        <v>1374</v>
      </c>
      <c r="I226" s="14" t="s">
        <v>1023</v>
      </c>
      <c r="J226" s="14" t="s">
        <v>1021</v>
      </c>
      <c r="K226" s="14" t="s">
        <v>2832</v>
      </c>
      <c r="L226" s="14" t="s">
        <v>3589</v>
      </c>
      <c r="M226" s="14" t="s">
        <v>3765</v>
      </c>
    </row>
    <row r="227" spans="1:13" ht="87" x14ac:dyDescent="0.35">
      <c r="A227" s="14" t="s">
        <v>2116</v>
      </c>
      <c r="B227" s="14" t="s">
        <v>2116</v>
      </c>
      <c r="C227" s="14" t="s">
        <v>1019</v>
      </c>
      <c r="D227" s="14" t="s">
        <v>1739</v>
      </c>
      <c r="E227" s="14" t="s">
        <v>1739</v>
      </c>
      <c r="F227" s="14" t="s">
        <v>1740</v>
      </c>
      <c r="G227" s="14" t="s">
        <v>1048</v>
      </c>
      <c r="H227" s="14" t="s">
        <v>1741</v>
      </c>
      <c r="I227" s="14" t="s">
        <v>1050</v>
      </c>
      <c r="J227" s="14" t="s">
        <v>1021</v>
      </c>
      <c r="K227" s="14" t="s">
        <v>3611</v>
      </c>
      <c r="L227" s="14" t="s">
        <v>3611</v>
      </c>
      <c r="M227" s="14" t="s">
        <v>3611</v>
      </c>
    </row>
    <row r="228" spans="1:13" ht="29" x14ac:dyDescent="0.35">
      <c r="A228" s="14" t="s">
        <v>2118</v>
      </c>
      <c r="B228" s="14" t="s">
        <v>2118</v>
      </c>
      <c r="C228" s="14" t="s">
        <v>1019</v>
      </c>
      <c r="D228" s="14" t="s">
        <v>1251</v>
      </c>
      <c r="E228" s="14" t="s">
        <v>1251</v>
      </c>
      <c r="F228" s="14"/>
      <c r="G228" s="14" t="s">
        <v>1034</v>
      </c>
      <c r="H228" s="14"/>
      <c r="I228" s="14" t="s">
        <v>1034</v>
      </c>
      <c r="J228" s="14" t="s">
        <v>1114</v>
      </c>
      <c r="K228" s="14" t="s">
        <v>3611</v>
      </c>
      <c r="L228" s="14" t="s">
        <v>3611</v>
      </c>
      <c r="M228" s="14" t="s">
        <v>3611</v>
      </c>
    </row>
    <row r="229" spans="1:13" ht="29" x14ac:dyDescent="0.35">
      <c r="A229" s="14" t="s">
        <v>2120</v>
      </c>
      <c r="B229" s="14" t="s">
        <v>2120</v>
      </c>
      <c r="C229" s="14" t="s">
        <v>1019</v>
      </c>
      <c r="D229" s="14" t="s">
        <v>1595</v>
      </c>
      <c r="E229" s="14" t="s">
        <v>1595</v>
      </c>
      <c r="F229" s="14" t="s">
        <v>1596</v>
      </c>
      <c r="G229" s="14" t="s">
        <v>1048</v>
      </c>
      <c r="H229" s="14" t="s">
        <v>1597</v>
      </c>
      <c r="I229" s="14" t="s">
        <v>1048</v>
      </c>
      <c r="J229" s="14" t="s">
        <v>1021</v>
      </c>
      <c r="K229" s="14" t="s">
        <v>3760</v>
      </c>
      <c r="L229" s="14" t="s">
        <v>3611</v>
      </c>
      <c r="M229" s="14" t="s">
        <v>3760</v>
      </c>
    </row>
    <row r="230" spans="1:13" ht="29" x14ac:dyDescent="0.35">
      <c r="A230" s="14" t="s">
        <v>2124</v>
      </c>
      <c r="B230" s="14" t="s">
        <v>2124</v>
      </c>
      <c r="C230" s="14" t="s">
        <v>1019</v>
      </c>
      <c r="D230" s="14" t="s">
        <v>1580</v>
      </c>
      <c r="E230" s="14" t="s">
        <v>1580</v>
      </c>
      <c r="F230" s="14" t="s">
        <v>1581</v>
      </c>
      <c r="G230" s="14" t="s">
        <v>1048</v>
      </c>
      <c r="H230" s="14" t="s">
        <v>1582</v>
      </c>
      <c r="I230" s="14" t="s">
        <v>1025</v>
      </c>
      <c r="J230" s="14" t="s">
        <v>1021</v>
      </c>
      <c r="K230" s="14" t="s">
        <v>3760</v>
      </c>
      <c r="L230" s="14" t="s">
        <v>3760</v>
      </c>
      <c r="M230" s="14" t="s">
        <v>3760</v>
      </c>
    </row>
    <row r="231" spans="1:13" ht="29" x14ac:dyDescent="0.35">
      <c r="A231" s="14" t="s">
        <v>2126</v>
      </c>
      <c r="B231" s="14" t="s">
        <v>2126</v>
      </c>
      <c r="C231" s="14" t="s">
        <v>1019</v>
      </c>
      <c r="D231" s="14" t="s">
        <v>1346</v>
      </c>
      <c r="E231" s="14" t="s">
        <v>1346</v>
      </c>
      <c r="F231" s="14" t="s">
        <v>1347</v>
      </c>
      <c r="G231" s="14" t="s">
        <v>1048</v>
      </c>
      <c r="H231" s="14" t="s">
        <v>1348</v>
      </c>
      <c r="I231" s="14" t="s">
        <v>1050</v>
      </c>
      <c r="J231" s="14" t="s">
        <v>1021</v>
      </c>
      <c r="K231" s="14" t="s">
        <v>3611</v>
      </c>
      <c r="L231" s="14" t="s">
        <v>3611</v>
      </c>
      <c r="M231" s="14" t="s">
        <v>3611</v>
      </c>
    </row>
    <row r="232" spans="1:13" ht="29" x14ac:dyDescent="0.35">
      <c r="A232" s="14" t="s">
        <v>2129</v>
      </c>
      <c r="B232" s="14" t="s">
        <v>2129</v>
      </c>
      <c r="C232" s="14" t="s">
        <v>1019</v>
      </c>
      <c r="D232" s="14" t="s">
        <v>1825</v>
      </c>
      <c r="E232" s="14" t="s">
        <v>1825</v>
      </c>
      <c r="F232" s="14"/>
      <c r="G232" s="14" t="s">
        <v>1034</v>
      </c>
      <c r="H232" s="14"/>
      <c r="I232" s="14" t="s">
        <v>1034</v>
      </c>
      <c r="J232" s="14" t="s">
        <v>1114</v>
      </c>
      <c r="K232" s="14" t="s">
        <v>3611</v>
      </c>
      <c r="L232" s="14" t="s">
        <v>3611</v>
      </c>
      <c r="M232" s="14" t="s">
        <v>3611</v>
      </c>
    </row>
    <row r="233" spans="1:13" ht="29" x14ac:dyDescent="0.35">
      <c r="A233" s="14" t="s">
        <v>2131</v>
      </c>
      <c r="B233" s="14" t="s">
        <v>2131</v>
      </c>
      <c r="C233" s="14" t="s">
        <v>1019</v>
      </c>
      <c r="D233" s="14" t="s">
        <v>2132</v>
      </c>
      <c r="E233" s="14" t="s">
        <v>2132</v>
      </c>
      <c r="F233" s="14" t="s">
        <v>2133</v>
      </c>
      <c r="G233" s="14" t="s">
        <v>1048</v>
      </c>
      <c r="H233" s="14" t="s">
        <v>2134</v>
      </c>
      <c r="I233" s="14" t="s">
        <v>1050</v>
      </c>
      <c r="J233" s="14" t="s">
        <v>1021</v>
      </c>
      <c r="K233" s="14" t="s">
        <v>3611</v>
      </c>
      <c r="L233" s="14" t="s">
        <v>3611</v>
      </c>
      <c r="M233" s="14" t="s">
        <v>3611</v>
      </c>
    </row>
    <row r="234" spans="1:13" ht="29" x14ac:dyDescent="0.35">
      <c r="A234" s="14" t="s">
        <v>2136</v>
      </c>
      <c r="B234" s="14" t="s">
        <v>2136</v>
      </c>
      <c r="C234" s="14" t="s">
        <v>1019</v>
      </c>
      <c r="D234" s="14" t="s">
        <v>1828</v>
      </c>
      <c r="E234" s="14" t="s">
        <v>1828</v>
      </c>
      <c r="F234" s="14" t="s">
        <v>1829</v>
      </c>
      <c r="G234" s="14" t="s">
        <v>1048</v>
      </c>
      <c r="H234" s="14" t="s">
        <v>1830</v>
      </c>
      <c r="I234" s="14" t="s">
        <v>1050</v>
      </c>
      <c r="J234" s="14" t="s">
        <v>1021</v>
      </c>
      <c r="K234" s="14" t="s">
        <v>3611</v>
      </c>
      <c r="L234" s="14" t="s">
        <v>3611</v>
      </c>
      <c r="M234" s="14" t="s">
        <v>3611</v>
      </c>
    </row>
    <row r="235" spans="1:13" ht="29" x14ac:dyDescent="0.35">
      <c r="A235" s="14" t="s">
        <v>2138</v>
      </c>
      <c r="B235" s="14" t="s">
        <v>2138</v>
      </c>
      <c r="C235" s="14" t="s">
        <v>1019</v>
      </c>
      <c r="D235" s="14" t="s">
        <v>1437</v>
      </c>
      <c r="E235" s="14" t="s">
        <v>1437</v>
      </c>
      <c r="F235" s="14" t="s">
        <v>1438</v>
      </c>
      <c r="G235" s="14" t="s">
        <v>1048</v>
      </c>
      <c r="H235" s="14" t="s">
        <v>1439</v>
      </c>
      <c r="I235" s="14" t="s">
        <v>1048</v>
      </c>
      <c r="J235" s="14" t="s">
        <v>1021</v>
      </c>
      <c r="K235" s="14" t="s">
        <v>3611</v>
      </c>
      <c r="L235" s="14" t="s">
        <v>3611</v>
      </c>
      <c r="M235" s="14" t="s">
        <v>3611</v>
      </c>
    </row>
    <row r="236" spans="1:13" ht="29" x14ac:dyDescent="0.35">
      <c r="A236" s="14" t="s">
        <v>2140</v>
      </c>
      <c r="B236" s="14" t="s">
        <v>2140</v>
      </c>
      <c r="C236" s="14" t="s">
        <v>1019</v>
      </c>
      <c r="D236" s="14" t="s">
        <v>1645</v>
      </c>
      <c r="E236" s="14" t="s">
        <v>1645</v>
      </c>
      <c r="F236" s="14" t="s">
        <v>1646</v>
      </c>
      <c r="G236" s="14" t="s">
        <v>1050</v>
      </c>
      <c r="H236" s="14" t="s">
        <v>1647</v>
      </c>
      <c r="I236" s="14" t="s">
        <v>1050</v>
      </c>
      <c r="J236" s="14" t="s">
        <v>1021</v>
      </c>
      <c r="K236" s="14" t="s">
        <v>3611</v>
      </c>
      <c r="L236" s="14" t="s">
        <v>3611</v>
      </c>
      <c r="M236" s="14" t="s">
        <v>3611</v>
      </c>
    </row>
    <row r="237" spans="1:13" ht="29" x14ac:dyDescent="0.35">
      <c r="A237" s="14" t="s">
        <v>2142</v>
      </c>
      <c r="B237" s="14" t="s">
        <v>2142</v>
      </c>
      <c r="C237" s="14" t="s">
        <v>1019</v>
      </c>
      <c r="D237" s="14" t="s">
        <v>1563</v>
      </c>
      <c r="E237" s="14" t="s">
        <v>1563</v>
      </c>
      <c r="F237" s="14" t="s">
        <v>1564</v>
      </c>
      <c r="G237" s="14" t="s">
        <v>1023</v>
      </c>
      <c r="H237" s="14" t="s">
        <v>1565</v>
      </c>
      <c r="I237" s="14" t="s">
        <v>1025</v>
      </c>
      <c r="J237" s="14" t="s">
        <v>1021</v>
      </c>
      <c r="K237" s="14" t="s">
        <v>3760</v>
      </c>
      <c r="L237" s="14" t="s">
        <v>3760</v>
      </c>
      <c r="M237" s="14" t="s">
        <v>3760</v>
      </c>
    </row>
    <row r="238" spans="1:13" ht="29" x14ac:dyDescent="0.35">
      <c r="A238" s="14" t="s">
        <v>2145</v>
      </c>
      <c r="B238" s="14" t="s">
        <v>2145</v>
      </c>
      <c r="C238" s="14" t="s">
        <v>1019</v>
      </c>
      <c r="D238" s="14" t="s">
        <v>1363</v>
      </c>
      <c r="E238" s="14" t="s">
        <v>1363</v>
      </c>
      <c r="F238" s="14" t="s">
        <v>1364</v>
      </c>
      <c r="G238" s="14" t="s">
        <v>1048</v>
      </c>
      <c r="H238" s="14" t="s">
        <v>1365</v>
      </c>
      <c r="I238" s="14" t="s">
        <v>1050</v>
      </c>
      <c r="J238" s="14" t="s">
        <v>1021</v>
      </c>
      <c r="K238" s="14" t="s">
        <v>3611</v>
      </c>
      <c r="L238" s="14" t="s">
        <v>3611</v>
      </c>
      <c r="M238" s="14" t="s">
        <v>3611</v>
      </c>
    </row>
    <row r="239" spans="1:13" ht="87" x14ac:dyDescent="0.35">
      <c r="A239" s="14" t="s">
        <v>2148</v>
      </c>
      <c r="B239" s="14" t="s">
        <v>2148</v>
      </c>
      <c r="C239" s="14" t="s">
        <v>1019</v>
      </c>
      <c r="D239" s="14" t="s">
        <v>1059</v>
      </c>
      <c r="E239" s="14" t="s">
        <v>1059</v>
      </c>
      <c r="F239" s="14" t="s">
        <v>1060</v>
      </c>
      <c r="G239" s="14" t="s">
        <v>1023</v>
      </c>
      <c r="H239" s="14" t="s">
        <v>1061</v>
      </c>
      <c r="I239" s="14" t="s">
        <v>1023</v>
      </c>
      <c r="J239" s="14" t="s">
        <v>1021</v>
      </c>
      <c r="K239" s="14" t="s">
        <v>2911</v>
      </c>
      <c r="L239" s="14" t="s">
        <v>3589</v>
      </c>
      <c r="M239" s="14" t="s">
        <v>3589</v>
      </c>
    </row>
    <row r="240" spans="1:13" ht="87" x14ac:dyDescent="0.35">
      <c r="A240" s="14" t="s">
        <v>2152</v>
      </c>
      <c r="B240" s="14" t="s">
        <v>2152</v>
      </c>
      <c r="C240" s="14" t="s">
        <v>1019</v>
      </c>
      <c r="D240" s="14" t="s">
        <v>1059</v>
      </c>
      <c r="E240" s="14" t="s">
        <v>1059</v>
      </c>
      <c r="F240" s="14" t="s">
        <v>1060</v>
      </c>
      <c r="G240" s="14" t="s">
        <v>1023</v>
      </c>
      <c r="H240" s="14" t="s">
        <v>1061</v>
      </c>
      <c r="I240" s="14" t="s">
        <v>1023</v>
      </c>
      <c r="J240" s="14" t="s">
        <v>1021</v>
      </c>
      <c r="K240" s="14" t="s">
        <v>2911</v>
      </c>
      <c r="L240" s="14" t="s">
        <v>3589</v>
      </c>
      <c r="M240" s="14" t="s">
        <v>3589</v>
      </c>
    </row>
    <row r="241" spans="1:13" ht="87" x14ac:dyDescent="0.35">
      <c r="A241" s="14" t="s">
        <v>2154</v>
      </c>
      <c r="B241" s="14" t="s">
        <v>2154</v>
      </c>
      <c r="C241" s="14" t="s">
        <v>1019</v>
      </c>
      <c r="D241" s="14" t="s">
        <v>1059</v>
      </c>
      <c r="E241" s="14" t="s">
        <v>1059</v>
      </c>
      <c r="F241" s="14" t="s">
        <v>1060</v>
      </c>
      <c r="G241" s="14" t="s">
        <v>1023</v>
      </c>
      <c r="H241" s="14" t="s">
        <v>1061</v>
      </c>
      <c r="I241" s="14" t="s">
        <v>1023</v>
      </c>
      <c r="J241" s="14" t="s">
        <v>1021</v>
      </c>
      <c r="K241" s="14" t="s">
        <v>2911</v>
      </c>
      <c r="L241" s="14" t="s">
        <v>3589</v>
      </c>
      <c r="M241" s="14" t="s">
        <v>3589</v>
      </c>
    </row>
    <row r="242" spans="1:13" ht="29" x14ac:dyDescent="0.35">
      <c r="A242" s="14" t="s">
        <v>2158</v>
      </c>
      <c r="B242" s="14" t="s">
        <v>2158</v>
      </c>
      <c r="C242" s="14" t="s">
        <v>1019</v>
      </c>
      <c r="D242" s="14" t="s">
        <v>1142</v>
      </c>
      <c r="E242" s="14" t="s">
        <v>1142</v>
      </c>
      <c r="F242" s="14"/>
      <c r="G242" s="14" t="s">
        <v>1034</v>
      </c>
      <c r="H242" s="14"/>
      <c r="I242" s="14" t="s">
        <v>1034</v>
      </c>
      <c r="J242" s="14" t="s">
        <v>1114</v>
      </c>
      <c r="K242" s="14" t="s">
        <v>3611</v>
      </c>
      <c r="L242" s="14" t="s">
        <v>3611</v>
      </c>
      <c r="M242" s="14" t="s">
        <v>3611</v>
      </c>
    </row>
    <row r="243" spans="1:13" ht="43.5" x14ac:dyDescent="0.35">
      <c r="A243" s="14" t="s">
        <v>2161</v>
      </c>
      <c r="B243" s="14" t="s">
        <v>2161</v>
      </c>
      <c r="C243" s="14" t="s">
        <v>1019</v>
      </c>
      <c r="D243" s="14" t="s">
        <v>1490</v>
      </c>
      <c r="E243" s="14" t="s">
        <v>1490</v>
      </c>
      <c r="F243" s="14" t="s">
        <v>1491</v>
      </c>
      <c r="G243" s="14" t="s">
        <v>1023</v>
      </c>
      <c r="H243" s="14" t="s">
        <v>1492</v>
      </c>
      <c r="I243" s="14" t="s">
        <v>1025</v>
      </c>
      <c r="J243" s="14" t="s">
        <v>1021</v>
      </c>
      <c r="K243" s="14" t="s">
        <v>3760</v>
      </c>
      <c r="L243" s="14" t="s">
        <v>3760</v>
      </c>
      <c r="M243" s="14" t="s">
        <v>3760</v>
      </c>
    </row>
    <row r="244" spans="1:13" ht="29" x14ac:dyDescent="0.35">
      <c r="A244" s="14" t="s">
        <v>2163</v>
      </c>
      <c r="B244" s="14" t="s">
        <v>2163</v>
      </c>
      <c r="C244" s="14" t="s">
        <v>1019</v>
      </c>
      <c r="D244" s="14" t="s">
        <v>2164</v>
      </c>
      <c r="E244" s="14" t="s">
        <v>2164</v>
      </c>
      <c r="F244" s="14" t="s">
        <v>2165</v>
      </c>
      <c r="G244" s="14" t="s">
        <v>1025</v>
      </c>
      <c r="H244" s="14" t="s">
        <v>2166</v>
      </c>
      <c r="I244" s="14" t="s">
        <v>1025</v>
      </c>
      <c r="J244" s="14" t="s">
        <v>1021</v>
      </c>
      <c r="K244" s="14" t="s">
        <v>3589</v>
      </c>
      <c r="L244" s="14" t="s">
        <v>2832</v>
      </c>
      <c r="M244" s="14" t="s">
        <v>2832</v>
      </c>
    </row>
    <row r="245" spans="1:13" ht="29" x14ac:dyDescent="0.35">
      <c r="A245" s="14" t="s">
        <v>2168</v>
      </c>
      <c r="B245" s="14" t="s">
        <v>2168</v>
      </c>
      <c r="C245" s="14" t="s">
        <v>1019</v>
      </c>
      <c r="D245" s="14" t="s">
        <v>1220</v>
      </c>
      <c r="E245" s="14" t="s">
        <v>1220</v>
      </c>
      <c r="F245" s="14" t="s">
        <v>1221</v>
      </c>
      <c r="G245" s="14" t="s">
        <v>1025</v>
      </c>
      <c r="H245" s="14" t="s">
        <v>1222</v>
      </c>
      <c r="I245" s="14" t="s">
        <v>1025</v>
      </c>
      <c r="J245" s="14" t="s">
        <v>1021</v>
      </c>
      <c r="K245" s="14" t="s">
        <v>2911</v>
      </c>
      <c r="L245" s="14" t="s">
        <v>2911</v>
      </c>
      <c r="M245" s="14" t="s">
        <v>2911</v>
      </c>
    </row>
    <row r="246" spans="1:13" ht="43.5" x14ac:dyDescent="0.35">
      <c r="A246" s="14" t="s">
        <v>2170</v>
      </c>
      <c r="B246" s="14" t="s">
        <v>2170</v>
      </c>
      <c r="C246" s="14" t="s">
        <v>1019</v>
      </c>
      <c r="D246" s="14" t="s">
        <v>1020</v>
      </c>
      <c r="E246" s="14" t="s">
        <v>1020</v>
      </c>
      <c r="F246" s="14" t="s">
        <v>1022</v>
      </c>
      <c r="G246" s="14" t="s">
        <v>1023</v>
      </c>
      <c r="H246" s="14" t="s">
        <v>1024</v>
      </c>
      <c r="I246" s="14" t="s">
        <v>1025</v>
      </c>
      <c r="J246" s="14" t="s">
        <v>1021</v>
      </c>
      <c r="K246" s="14" t="s">
        <v>3760</v>
      </c>
      <c r="L246" s="14" t="s">
        <v>3760</v>
      </c>
      <c r="M246" s="14" t="s">
        <v>3760</v>
      </c>
    </row>
    <row r="247" spans="1:13" ht="29" x14ac:dyDescent="0.35">
      <c r="A247" s="14" t="s">
        <v>2173</v>
      </c>
      <c r="B247" s="14" t="s">
        <v>2173</v>
      </c>
      <c r="C247" s="14" t="s">
        <v>1019</v>
      </c>
      <c r="D247" s="14" t="s">
        <v>2174</v>
      </c>
      <c r="E247" s="14" t="s">
        <v>2174</v>
      </c>
      <c r="F247" s="14" t="s">
        <v>2175</v>
      </c>
      <c r="G247" s="14" t="s">
        <v>1050</v>
      </c>
      <c r="H247" s="14" t="s">
        <v>2176</v>
      </c>
      <c r="I247" s="14" t="s">
        <v>1050</v>
      </c>
      <c r="J247" s="14" t="s">
        <v>1021</v>
      </c>
      <c r="K247" s="14" t="s">
        <v>3764</v>
      </c>
      <c r="L247" s="14" t="s">
        <v>3611</v>
      </c>
      <c r="M247" s="14" t="s">
        <v>3611</v>
      </c>
    </row>
    <row r="248" spans="1:13" ht="43.5" x14ac:dyDescent="0.35">
      <c r="A248" s="14" t="s">
        <v>2178</v>
      </c>
      <c r="B248" s="14" t="s">
        <v>2178</v>
      </c>
      <c r="C248" s="14" t="s">
        <v>1019</v>
      </c>
      <c r="D248" s="14" t="s">
        <v>1688</v>
      </c>
      <c r="E248" s="14" t="s">
        <v>1688</v>
      </c>
      <c r="F248" s="14" t="s">
        <v>1689</v>
      </c>
      <c r="G248" s="14" t="s">
        <v>1023</v>
      </c>
      <c r="H248" s="14" t="s">
        <v>1690</v>
      </c>
      <c r="I248" s="14" t="s">
        <v>1025</v>
      </c>
      <c r="J248" s="14" t="s">
        <v>1021</v>
      </c>
      <c r="K248" s="14" t="s">
        <v>3760</v>
      </c>
      <c r="L248" s="14" t="s">
        <v>2911</v>
      </c>
      <c r="M248" s="14" t="s">
        <v>3760</v>
      </c>
    </row>
    <row r="249" spans="1:13" ht="29" x14ac:dyDescent="0.35">
      <c r="A249" s="14" t="s">
        <v>2180</v>
      </c>
      <c r="B249" s="14" t="s">
        <v>2180</v>
      </c>
      <c r="C249" s="14" t="s">
        <v>1019</v>
      </c>
      <c r="D249" s="14" t="s">
        <v>1821</v>
      </c>
      <c r="E249" s="14" t="s">
        <v>1821</v>
      </c>
      <c r="F249" s="14"/>
      <c r="G249" s="14" t="s">
        <v>1034</v>
      </c>
      <c r="H249" s="14"/>
      <c r="I249" s="14" t="s">
        <v>1034</v>
      </c>
      <c r="J249" s="14" t="s">
        <v>1114</v>
      </c>
      <c r="K249" s="14" t="s">
        <v>3611</v>
      </c>
      <c r="L249" s="14" t="s">
        <v>3611</v>
      </c>
      <c r="M249" s="14" t="s">
        <v>3611</v>
      </c>
    </row>
    <row r="250" spans="1:13" ht="29" x14ac:dyDescent="0.35">
      <c r="A250" s="14" t="s">
        <v>2183</v>
      </c>
      <c r="B250" s="14" t="s">
        <v>2183</v>
      </c>
      <c r="C250" s="14" t="s">
        <v>1019</v>
      </c>
      <c r="D250" s="14" t="s">
        <v>1542</v>
      </c>
      <c r="E250" s="14" t="s">
        <v>1542</v>
      </c>
      <c r="F250" s="14" t="s">
        <v>1543</v>
      </c>
      <c r="G250" s="14" t="s">
        <v>1050</v>
      </c>
      <c r="H250" s="14" t="s">
        <v>1544</v>
      </c>
      <c r="I250" s="14" t="s">
        <v>1050</v>
      </c>
      <c r="J250" s="14" t="s">
        <v>1021</v>
      </c>
      <c r="K250" s="14" t="s">
        <v>3611</v>
      </c>
      <c r="L250" s="14" t="s">
        <v>3611</v>
      </c>
      <c r="M250" s="14" t="s">
        <v>3611</v>
      </c>
    </row>
    <row r="251" spans="1:13" ht="29" x14ac:dyDescent="0.35">
      <c r="A251" s="14" t="s">
        <v>2184</v>
      </c>
      <c r="B251" s="14" t="s">
        <v>2184</v>
      </c>
      <c r="C251" s="14" t="s">
        <v>1019</v>
      </c>
      <c r="D251" s="14" t="s">
        <v>1662</v>
      </c>
      <c r="E251" s="14" t="s">
        <v>1662</v>
      </c>
      <c r="F251" s="14" t="s">
        <v>1663</v>
      </c>
      <c r="G251" s="14" t="s">
        <v>1048</v>
      </c>
      <c r="H251" s="14" t="s">
        <v>1664</v>
      </c>
      <c r="I251" s="14" t="s">
        <v>1050</v>
      </c>
      <c r="J251" s="14" t="s">
        <v>1021</v>
      </c>
      <c r="K251" s="14" t="s">
        <v>3611</v>
      </c>
      <c r="L251" s="14" t="s">
        <v>3611</v>
      </c>
      <c r="M251" s="14" t="s">
        <v>3611</v>
      </c>
    </row>
    <row r="252" spans="1:13" ht="29" x14ac:dyDescent="0.35">
      <c r="A252" s="14" t="s">
        <v>2188</v>
      </c>
      <c r="B252" s="14" t="s">
        <v>2188</v>
      </c>
      <c r="C252" s="14" t="s">
        <v>1019</v>
      </c>
      <c r="D252" s="14" t="s">
        <v>1547</v>
      </c>
      <c r="E252" s="14" t="s">
        <v>1547</v>
      </c>
      <c r="F252" s="14" t="s">
        <v>1548</v>
      </c>
      <c r="G252" s="14" t="s">
        <v>1050</v>
      </c>
      <c r="H252" s="14" t="s">
        <v>1549</v>
      </c>
      <c r="I252" s="14" t="s">
        <v>1050</v>
      </c>
      <c r="J252" s="14" t="s">
        <v>1021</v>
      </c>
      <c r="K252" s="14" t="s">
        <v>3611</v>
      </c>
      <c r="L252" s="14" t="s">
        <v>3611</v>
      </c>
      <c r="M252" s="14" t="s">
        <v>3611</v>
      </c>
    </row>
    <row r="253" spans="1:13" ht="29" x14ac:dyDescent="0.35">
      <c r="A253" s="14" t="s">
        <v>2191</v>
      </c>
      <c r="B253" s="14" t="s">
        <v>2191</v>
      </c>
      <c r="C253" s="14" t="s">
        <v>1019</v>
      </c>
      <c r="D253" s="14" t="s">
        <v>1656</v>
      </c>
      <c r="E253" s="14" t="s">
        <v>1656</v>
      </c>
      <c r="F253" s="14" t="s">
        <v>1657</v>
      </c>
      <c r="G253" s="14" t="s">
        <v>1048</v>
      </c>
      <c r="H253" s="14" t="s">
        <v>1658</v>
      </c>
      <c r="I253" s="14" t="s">
        <v>1025</v>
      </c>
      <c r="J253" s="14" t="s">
        <v>1021</v>
      </c>
      <c r="K253" s="14" t="s">
        <v>3611</v>
      </c>
      <c r="L253" s="14" t="s">
        <v>3760</v>
      </c>
      <c r="M253" s="14" t="s">
        <v>3611</v>
      </c>
    </row>
    <row r="254" spans="1:13" ht="43.5" x14ac:dyDescent="0.35">
      <c r="A254" s="14" t="s">
        <v>2193</v>
      </c>
      <c r="B254" s="14" t="s">
        <v>2193</v>
      </c>
      <c r="C254" s="14" t="s">
        <v>1019</v>
      </c>
      <c r="D254" s="14" t="s">
        <v>1215</v>
      </c>
      <c r="E254" s="14" t="s">
        <v>1215</v>
      </c>
      <c r="F254" s="14" t="s">
        <v>1216</v>
      </c>
      <c r="G254" s="14" t="s">
        <v>1048</v>
      </c>
      <c r="H254" s="14" t="s">
        <v>1217</v>
      </c>
      <c r="I254" s="14" t="s">
        <v>1050</v>
      </c>
      <c r="J254" s="14" t="s">
        <v>1021</v>
      </c>
      <c r="K254" s="14" t="s">
        <v>3611</v>
      </c>
      <c r="L254" s="14" t="s">
        <v>3611</v>
      </c>
      <c r="M254" s="14" t="s">
        <v>3611</v>
      </c>
    </row>
    <row r="255" spans="1:13" ht="72.5" x14ac:dyDescent="0.35">
      <c r="A255" s="14" t="s">
        <v>2201</v>
      </c>
      <c r="B255" s="14" t="s">
        <v>2201</v>
      </c>
      <c r="C255" s="14" t="s">
        <v>1019</v>
      </c>
      <c r="D255" s="14" t="s">
        <v>1480</v>
      </c>
      <c r="E255" s="14" t="s">
        <v>1480</v>
      </c>
      <c r="F255" s="14" t="s">
        <v>1481</v>
      </c>
      <c r="G255" s="14" t="s">
        <v>1023</v>
      </c>
      <c r="H255" s="14"/>
      <c r="I255" s="14" t="s">
        <v>1034</v>
      </c>
      <c r="J255" s="14" t="s">
        <v>1021</v>
      </c>
      <c r="K255" s="14" t="s">
        <v>2911</v>
      </c>
      <c r="L255" s="14" t="s">
        <v>2911</v>
      </c>
      <c r="M255" s="14" t="s">
        <v>2911</v>
      </c>
    </row>
    <row r="256" spans="1:13" ht="29" x14ac:dyDescent="0.35">
      <c r="A256" s="14" t="s">
        <v>2203</v>
      </c>
      <c r="B256" s="14" t="s">
        <v>2203</v>
      </c>
      <c r="C256" s="14" t="s">
        <v>1019</v>
      </c>
      <c r="D256" s="14" t="s">
        <v>1923</v>
      </c>
      <c r="E256" s="14" t="s">
        <v>1923</v>
      </c>
      <c r="F256" s="14" t="s">
        <v>1924</v>
      </c>
      <c r="G256" s="14" t="s">
        <v>1048</v>
      </c>
      <c r="H256" s="14" t="s">
        <v>1925</v>
      </c>
      <c r="I256" s="14" t="s">
        <v>1050</v>
      </c>
      <c r="J256" s="14" t="s">
        <v>1021</v>
      </c>
      <c r="K256" s="14" t="s">
        <v>3611</v>
      </c>
      <c r="L256" s="14" t="s">
        <v>3611</v>
      </c>
      <c r="M256" s="14" t="s">
        <v>3611</v>
      </c>
    </row>
    <row r="257" spans="1:13" ht="43.5" x14ac:dyDescent="0.35">
      <c r="A257" s="14" t="s">
        <v>2205</v>
      </c>
      <c r="B257" s="14" t="s">
        <v>2205</v>
      </c>
      <c r="C257" s="14" t="s">
        <v>1019</v>
      </c>
      <c r="D257" s="14" t="s">
        <v>1186</v>
      </c>
      <c r="E257" s="14" t="s">
        <v>1186</v>
      </c>
      <c r="F257" s="14" t="s">
        <v>1187</v>
      </c>
      <c r="G257" s="14" t="s">
        <v>1023</v>
      </c>
      <c r="H257" s="14" t="s">
        <v>1188</v>
      </c>
      <c r="I257" s="14" t="s">
        <v>1025</v>
      </c>
      <c r="J257" s="14" t="s">
        <v>1021</v>
      </c>
      <c r="K257" s="14" t="s">
        <v>3589</v>
      </c>
      <c r="L257" s="14" t="s">
        <v>3589</v>
      </c>
      <c r="M257" s="14" t="s">
        <v>2832</v>
      </c>
    </row>
    <row r="258" spans="1:13" ht="58" x14ac:dyDescent="0.35">
      <c r="A258" s="14" t="s">
        <v>2206</v>
      </c>
      <c r="B258" s="14" t="s">
        <v>2206</v>
      </c>
      <c r="C258" s="14" t="s">
        <v>1019</v>
      </c>
      <c r="D258" s="14" t="s">
        <v>1372</v>
      </c>
      <c r="E258" s="14" t="s">
        <v>1372</v>
      </c>
      <c r="F258" s="14" t="s">
        <v>1373</v>
      </c>
      <c r="G258" s="14" t="s">
        <v>1023</v>
      </c>
      <c r="H258" s="14" t="s">
        <v>1374</v>
      </c>
      <c r="I258" s="14" t="s">
        <v>1023</v>
      </c>
      <c r="J258" s="14" t="s">
        <v>1021</v>
      </c>
      <c r="K258" s="14" t="s">
        <v>2832</v>
      </c>
      <c r="L258" s="14" t="s">
        <v>3589</v>
      </c>
      <c r="M258" s="14" t="s">
        <v>3765</v>
      </c>
    </row>
    <row r="259" spans="1:13" ht="43.5" x14ac:dyDescent="0.35">
      <c r="A259" s="14" t="s">
        <v>2208</v>
      </c>
      <c r="B259" s="14" t="s">
        <v>2208</v>
      </c>
      <c r="C259" s="14" t="s">
        <v>1019</v>
      </c>
      <c r="D259" s="14" t="s">
        <v>2209</v>
      </c>
      <c r="E259" s="14" t="s">
        <v>2209</v>
      </c>
      <c r="F259" s="14" t="s">
        <v>2210</v>
      </c>
      <c r="G259" s="14" t="s">
        <v>1048</v>
      </c>
      <c r="H259" s="14" t="s">
        <v>2211</v>
      </c>
      <c r="I259" s="14" t="s">
        <v>1050</v>
      </c>
      <c r="J259" s="14" t="s">
        <v>1021</v>
      </c>
      <c r="K259" s="14" t="s">
        <v>3764</v>
      </c>
      <c r="L259" s="14" t="s">
        <v>3611</v>
      </c>
      <c r="M259" s="14" t="s">
        <v>3611</v>
      </c>
    </row>
    <row r="260" spans="1:13" ht="87" x14ac:dyDescent="0.35">
      <c r="A260" s="14" t="s">
        <v>2213</v>
      </c>
      <c r="B260" s="14" t="s">
        <v>2213</v>
      </c>
      <c r="C260" s="14" t="s">
        <v>1019</v>
      </c>
      <c r="D260" s="14" t="s">
        <v>1784</v>
      </c>
      <c r="E260" s="14" t="s">
        <v>1784</v>
      </c>
      <c r="F260" s="14" t="s">
        <v>1785</v>
      </c>
      <c r="G260" s="14" t="s">
        <v>1023</v>
      </c>
      <c r="H260" s="14" t="s">
        <v>1786</v>
      </c>
      <c r="I260" s="14" t="s">
        <v>1025</v>
      </c>
      <c r="J260" s="14" t="s">
        <v>1021</v>
      </c>
      <c r="K260" s="14" t="s">
        <v>3760</v>
      </c>
      <c r="L260" s="14" t="s">
        <v>3760</v>
      </c>
      <c r="M260" s="14" t="s">
        <v>3760</v>
      </c>
    </row>
    <row r="261" spans="1:13" ht="58" x14ac:dyDescent="0.35">
      <c r="A261" s="14" t="s">
        <v>2215</v>
      </c>
      <c r="B261" s="14" t="s">
        <v>2215</v>
      </c>
      <c r="C261" s="14" t="s">
        <v>1019</v>
      </c>
      <c r="D261" s="14" t="s">
        <v>2218</v>
      </c>
      <c r="E261" s="14" t="s">
        <v>2218</v>
      </c>
      <c r="F261" s="14" t="s">
        <v>2219</v>
      </c>
      <c r="G261" s="14" t="s">
        <v>1048</v>
      </c>
      <c r="H261" s="14" t="s">
        <v>2220</v>
      </c>
      <c r="I261" s="14" t="s">
        <v>1050</v>
      </c>
      <c r="J261" s="14" t="s">
        <v>1021</v>
      </c>
      <c r="K261" s="14" t="s">
        <v>3611</v>
      </c>
      <c r="L261" s="14" t="s">
        <v>3611</v>
      </c>
      <c r="M261" s="14" t="s">
        <v>3611</v>
      </c>
    </row>
    <row r="262" spans="1:13" ht="43.5" x14ac:dyDescent="0.35">
      <c r="A262" s="14" t="s">
        <v>2222</v>
      </c>
      <c r="B262" s="14" t="s">
        <v>2222</v>
      </c>
      <c r="C262" s="14" t="s">
        <v>1019</v>
      </c>
      <c r="D262" s="14" t="s">
        <v>1341</v>
      </c>
      <c r="E262" s="14" t="s">
        <v>1341</v>
      </c>
      <c r="F262" s="14" t="s">
        <v>1342</v>
      </c>
      <c r="G262" s="14" t="s">
        <v>1048</v>
      </c>
      <c r="H262" s="14" t="s">
        <v>1343</v>
      </c>
      <c r="I262" s="14" t="s">
        <v>1050</v>
      </c>
      <c r="J262" s="14" t="s">
        <v>1021</v>
      </c>
      <c r="K262" s="14" t="s">
        <v>3611</v>
      </c>
      <c r="L262" s="14" t="s">
        <v>3611</v>
      </c>
      <c r="M262" s="14" t="s">
        <v>3611</v>
      </c>
    </row>
    <row r="263" spans="1:13" ht="43.5" x14ac:dyDescent="0.35">
      <c r="A263" s="14" t="s">
        <v>2224</v>
      </c>
      <c r="B263" s="14" t="s">
        <v>2224</v>
      </c>
      <c r="C263" s="14" t="s">
        <v>1019</v>
      </c>
      <c r="D263" s="14" t="s">
        <v>1186</v>
      </c>
      <c r="E263" s="14" t="s">
        <v>1186</v>
      </c>
      <c r="F263" s="14" t="s">
        <v>1187</v>
      </c>
      <c r="G263" s="14" t="s">
        <v>1023</v>
      </c>
      <c r="H263" s="14" t="s">
        <v>1188</v>
      </c>
      <c r="I263" s="14" t="s">
        <v>1025</v>
      </c>
      <c r="J263" s="14" t="s">
        <v>1021</v>
      </c>
      <c r="K263" s="14" t="s">
        <v>3589</v>
      </c>
      <c r="L263" s="14" t="s">
        <v>3589</v>
      </c>
      <c r="M263" s="14" t="s">
        <v>2832</v>
      </c>
    </row>
    <row r="264" spans="1:13" ht="29" x14ac:dyDescent="0.35">
      <c r="A264" s="14" t="s">
        <v>2226</v>
      </c>
      <c r="B264" s="14" t="s">
        <v>2226</v>
      </c>
      <c r="C264" s="14" t="s">
        <v>1019</v>
      </c>
      <c r="D264" s="14" t="s">
        <v>1425</v>
      </c>
      <c r="E264" s="14" t="s">
        <v>1425</v>
      </c>
      <c r="F264" s="14" t="s">
        <v>1426</v>
      </c>
      <c r="G264" s="14" t="s">
        <v>1048</v>
      </c>
      <c r="H264" s="14" t="s">
        <v>1427</v>
      </c>
      <c r="I264" s="14" t="s">
        <v>1050</v>
      </c>
      <c r="J264" s="14" t="s">
        <v>1021</v>
      </c>
      <c r="K264" s="14" t="s">
        <v>3611</v>
      </c>
      <c r="L264" s="14" t="s">
        <v>3611</v>
      </c>
      <c r="M264" s="14" t="s">
        <v>3611</v>
      </c>
    </row>
    <row r="265" spans="1:13" ht="29" x14ac:dyDescent="0.35">
      <c r="A265" s="14" t="s">
        <v>2228</v>
      </c>
      <c r="B265" s="14" t="s">
        <v>2228</v>
      </c>
      <c r="C265" s="14" t="s">
        <v>1019</v>
      </c>
      <c r="D265" s="14" t="s">
        <v>1200</v>
      </c>
      <c r="E265" s="14" t="s">
        <v>1200</v>
      </c>
      <c r="F265" s="14"/>
      <c r="G265" s="14" t="s">
        <v>1034</v>
      </c>
      <c r="H265" s="14"/>
      <c r="I265" s="14" t="s">
        <v>1034</v>
      </c>
      <c r="J265" s="14" t="s">
        <v>1114</v>
      </c>
      <c r="K265" s="14" t="s">
        <v>3611</v>
      </c>
      <c r="L265" s="14" t="s">
        <v>3611</v>
      </c>
      <c r="M265" s="14" t="s">
        <v>3760</v>
      </c>
    </row>
    <row r="266" spans="1:13" ht="29" x14ac:dyDescent="0.35">
      <c r="A266" s="14" t="s">
        <v>2230</v>
      </c>
      <c r="B266" s="14" t="s">
        <v>2230</v>
      </c>
      <c r="C266" s="14" t="s">
        <v>1019</v>
      </c>
      <c r="D266" s="14" t="s">
        <v>1399</v>
      </c>
      <c r="E266" s="14" t="s">
        <v>1399</v>
      </c>
      <c r="F266" s="14" t="s">
        <v>1400</v>
      </c>
      <c r="G266" s="14" t="s">
        <v>1050</v>
      </c>
      <c r="H266" s="14" t="s">
        <v>1401</v>
      </c>
      <c r="I266" s="14" t="s">
        <v>1050</v>
      </c>
      <c r="J266" s="14" t="s">
        <v>1021</v>
      </c>
      <c r="K266" s="14" t="s">
        <v>3611</v>
      </c>
      <c r="L266" s="14" t="s">
        <v>3611</v>
      </c>
      <c r="M266" s="14" t="s">
        <v>3611</v>
      </c>
    </row>
    <row r="267" spans="1:13" ht="43.5" x14ac:dyDescent="0.35">
      <c r="A267" s="14" t="s">
        <v>2234</v>
      </c>
      <c r="B267" s="14" t="s">
        <v>2234</v>
      </c>
      <c r="C267" s="14" t="s">
        <v>1019</v>
      </c>
      <c r="D267" s="14" t="s">
        <v>1408</v>
      </c>
      <c r="E267" s="14" t="s">
        <v>1408</v>
      </c>
      <c r="F267" s="14" t="s">
        <v>1409</v>
      </c>
      <c r="G267" s="14" t="s">
        <v>1023</v>
      </c>
      <c r="H267" s="14" t="s">
        <v>1410</v>
      </c>
      <c r="I267" s="14" t="s">
        <v>1025</v>
      </c>
      <c r="J267" s="14" t="s">
        <v>1021</v>
      </c>
      <c r="K267" s="14" t="s">
        <v>3760</v>
      </c>
      <c r="L267" s="14" t="s">
        <v>3760</v>
      </c>
      <c r="M267" s="14" t="s">
        <v>3760</v>
      </c>
    </row>
    <row r="268" spans="1:13" ht="29" x14ac:dyDescent="0.35">
      <c r="A268" s="14" t="s">
        <v>2239</v>
      </c>
      <c r="B268" s="14" t="s">
        <v>2239</v>
      </c>
      <c r="C268" s="14" t="s">
        <v>1019</v>
      </c>
      <c r="D268" s="14" t="s">
        <v>1296</v>
      </c>
      <c r="E268" s="14" t="s">
        <v>1296</v>
      </c>
      <c r="F268" s="14" t="s">
        <v>1297</v>
      </c>
      <c r="G268" s="14" t="s">
        <v>1048</v>
      </c>
      <c r="H268" s="14" t="s">
        <v>1298</v>
      </c>
      <c r="I268" s="14" t="s">
        <v>1050</v>
      </c>
      <c r="J268" s="14" t="s">
        <v>1021</v>
      </c>
      <c r="K268" s="14" t="s">
        <v>3611</v>
      </c>
      <c r="L268" s="14" t="s">
        <v>3611</v>
      </c>
      <c r="M268" s="14" t="s">
        <v>3611</v>
      </c>
    </row>
    <row r="269" spans="1:13" ht="203" x14ac:dyDescent="0.35">
      <c r="A269" s="14" t="s">
        <v>2243</v>
      </c>
      <c r="B269" s="14" t="s">
        <v>2243</v>
      </c>
      <c r="C269" s="14" t="s">
        <v>1019</v>
      </c>
      <c r="D269" s="14" t="s">
        <v>2246</v>
      </c>
      <c r="E269" s="14" t="s">
        <v>2246</v>
      </c>
      <c r="F269" s="14" t="s">
        <v>2247</v>
      </c>
      <c r="G269" s="14" t="s">
        <v>1023</v>
      </c>
      <c r="H269" s="14" t="s">
        <v>2248</v>
      </c>
      <c r="I269" s="14" t="s">
        <v>1025</v>
      </c>
      <c r="J269" s="14" t="s">
        <v>1021</v>
      </c>
      <c r="K269" s="14" t="s">
        <v>3611</v>
      </c>
      <c r="L269" s="14" t="s">
        <v>3760</v>
      </c>
      <c r="M269" s="14" t="s">
        <v>3611</v>
      </c>
    </row>
    <row r="270" spans="1:13" ht="29" x14ac:dyDescent="0.35">
      <c r="A270" s="14" t="s">
        <v>2250</v>
      </c>
      <c r="B270" s="14" t="s">
        <v>2250</v>
      </c>
      <c r="C270" s="14" t="s">
        <v>1019</v>
      </c>
      <c r="D270" s="14" t="s">
        <v>1614</v>
      </c>
      <c r="E270" s="14" t="s">
        <v>1614</v>
      </c>
      <c r="F270" s="14"/>
      <c r="G270" s="14" t="s">
        <v>1034</v>
      </c>
      <c r="H270" s="14"/>
      <c r="I270" s="14" t="s">
        <v>1034</v>
      </c>
      <c r="J270" s="14" t="s">
        <v>1114</v>
      </c>
      <c r="K270" s="14" t="s">
        <v>3611</v>
      </c>
      <c r="L270" s="14" t="s">
        <v>3611</v>
      </c>
      <c r="M270" s="14" t="s">
        <v>3611</v>
      </c>
    </row>
    <row r="271" spans="1:13" ht="58" x14ac:dyDescent="0.35">
      <c r="A271" s="14" t="s">
        <v>2253</v>
      </c>
      <c r="B271" s="14" t="s">
        <v>2253</v>
      </c>
      <c r="C271" s="14" t="s">
        <v>1019</v>
      </c>
      <c r="D271" s="14" t="s">
        <v>1915</v>
      </c>
      <c r="E271" s="14" t="s">
        <v>1915</v>
      </c>
      <c r="F271" s="14" t="s">
        <v>1916</v>
      </c>
      <c r="G271" s="14" t="s">
        <v>1023</v>
      </c>
      <c r="H271" s="14" t="s">
        <v>1917</v>
      </c>
      <c r="I271" s="14" t="s">
        <v>1025</v>
      </c>
      <c r="J271" s="14" t="s">
        <v>1021</v>
      </c>
      <c r="K271" s="14" t="s">
        <v>3760</v>
      </c>
      <c r="L271" s="14" t="s">
        <v>3760</v>
      </c>
      <c r="M271" s="14" t="s">
        <v>3760</v>
      </c>
    </row>
    <row r="272" spans="1:13" ht="72.5" x14ac:dyDescent="0.35">
      <c r="A272" s="14" t="s">
        <v>2258</v>
      </c>
      <c r="B272" s="14" t="s">
        <v>2258</v>
      </c>
      <c r="C272" s="14" t="s">
        <v>1019</v>
      </c>
      <c r="D272" s="14" t="s">
        <v>1480</v>
      </c>
      <c r="E272" s="14" t="s">
        <v>1480</v>
      </c>
      <c r="F272" s="14" t="s">
        <v>1481</v>
      </c>
      <c r="G272" s="14" t="s">
        <v>1023</v>
      </c>
      <c r="H272" s="14"/>
      <c r="I272" s="14" t="s">
        <v>1034</v>
      </c>
      <c r="J272" s="14" t="s">
        <v>1021</v>
      </c>
      <c r="K272" s="14" t="s">
        <v>2911</v>
      </c>
      <c r="L272" s="14" t="s">
        <v>2911</v>
      </c>
      <c r="M272" s="14" t="s">
        <v>2911</v>
      </c>
    </row>
    <row r="273" spans="1:13" ht="29" x14ac:dyDescent="0.35">
      <c r="A273" s="14" t="s">
        <v>2260</v>
      </c>
      <c r="B273" s="14" t="s">
        <v>2260</v>
      </c>
      <c r="C273" s="14" t="s">
        <v>1019</v>
      </c>
      <c r="D273" s="14" t="s">
        <v>1171</v>
      </c>
      <c r="E273" s="14" t="s">
        <v>1171</v>
      </c>
      <c r="F273" s="14" t="s">
        <v>1172</v>
      </c>
      <c r="G273" s="14" t="s">
        <v>1048</v>
      </c>
      <c r="H273" s="14" t="s">
        <v>1173</v>
      </c>
      <c r="I273" s="14" t="s">
        <v>1050</v>
      </c>
      <c r="J273" s="14" t="s">
        <v>1021</v>
      </c>
      <c r="K273" s="14" t="s">
        <v>3611</v>
      </c>
      <c r="L273" s="14" t="s">
        <v>3611</v>
      </c>
      <c r="M273" s="14" t="s">
        <v>3611</v>
      </c>
    </row>
    <row r="274" spans="1:13" ht="29" x14ac:dyDescent="0.35">
      <c r="A274" s="14" t="s">
        <v>2262</v>
      </c>
      <c r="B274" s="14" t="s">
        <v>2262</v>
      </c>
      <c r="C274" s="14" t="s">
        <v>1019</v>
      </c>
      <c r="D274" s="14" t="s">
        <v>1081</v>
      </c>
      <c r="E274" s="14" t="s">
        <v>1081</v>
      </c>
      <c r="F274" s="14" t="s">
        <v>1082</v>
      </c>
      <c r="G274" s="14" t="s">
        <v>1050</v>
      </c>
      <c r="H274" s="14" t="s">
        <v>1083</v>
      </c>
      <c r="I274" s="14" t="s">
        <v>1048</v>
      </c>
      <c r="J274" s="14" t="s">
        <v>1021</v>
      </c>
      <c r="K274" s="14" t="s">
        <v>3611</v>
      </c>
      <c r="L274" s="14" t="s">
        <v>3611</v>
      </c>
      <c r="M274" s="14" t="s">
        <v>3611</v>
      </c>
    </row>
    <row r="275" spans="1:13" ht="319" x14ac:dyDescent="0.35">
      <c r="A275" s="14" t="s">
        <v>2265</v>
      </c>
      <c r="B275" s="14" t="s">
        <v>2265</v>
      </c>
      <c r="C275" s="14" t="s">
        <v>1019</v>
      </c>
      <c r="D275" s="14" t="s">
        <v>1242</v>
      </c>
      <c r="E275" s="14" t="s">
        <v>1242</v>
      </c>
      <c r="F275" s="14" t="s">
        <v>1243</v>
      </c>
      <c r="G275" s="14" t="s">
        <v>1048</v>
      </c>
      <c r="H275" s="14" t="s">
        <v>1244</v>
      </c>
      <c r="I275" s="14" t="s">
        <v>1023</v>
      </c>
      <c r="J275" s="14" t="s">
        <v>1021</v>
      </c>
      <c r="K275" s="14" t="s">
        <v>2911</v>
      </c>
      <c r="L275" s="14" t="s">
        <v>3760</v>
      </c>
      <c r="M275" s="14" t="s">
        <v>3760</v>
      </c>
    </row>
    <row r="276" spans="1:13" ht="43.5" x14ac:dyDescent="0.35">
      <c r="A276" s="14" t="s">
        <v>2268</v>
      </c>
      <c r="B276" s="14" t="s">
        <v>2268</v>
      </c>
      <c r="C276" s="14" t="s">
        <v>1019</v>
      </c>
      <c r="D276" s="14" t="s">
        <v>2269</v>
      </c>
      <c r="E276" s="14" t="s">
        <v>2269</v>
      </c>
      <c r="F276" s="14" t="s">
        <v>2270</v>
      </c>
      <c r="G276" s="14" t="s">
        <v>1048</v>
      </c>
      <c r="H276" s="14" t="s">
        <v>2271</v>
      </c>
      <c r="I276" s="14" t="s">
        <v>1025</v>
      </c>
      <c r="J276" s="14" t="s">
        <v>1021</v>
      </c>
      <c r="K276" s="14" t="s">
        <v>3760</v>
      </c>
      <c r="L276" s="14" t="s">
        <v>3760</v>
      </c>
      <c r="M276" s="14" t="s">
        <v>3760</v>
      </c>
    </row>
    <row r="277" spans="1:13" ht="29" x14ac:dyDescent="0.35">
      <c r="A277" s="14" t="s">
        <v>2273</v>
      </c>
      <c r="B277" s="14" t="s">
        <v>2273</v>
      </c>
      <c r="C277" s="14" t="s">
        <v>1019</v>
      </c>
      <c r="D277" s="14" t="s">
        <v>1716</v>
      </c>
      <c r="E277" s="14" t="s">
        <v>1716</v>
      </c>
      <c r="F277" s="14" t="s">
        <v>1717</v>
      </c>
      <c r="G277" s="14" t="s">
        <v>1050</v>
      </c>
      <c r="H277" s="14" t="s">
        <v>1718</v>
      </c>
      <c r="I277" s="14" t="s">
        <v>1048</v>
      </c>
      <c r="J277" s="14" t="s">
        <v>1021</v>
      </c>
      <c r="K277" s="14" t="s">
        <v>3611</v>
      </c>
      <c r="L277" s="14" t="s">
        <v>3611</v>
      </c>
      <c r="M277" s="14" t="s">
        <v>3611</v>
      </c>
    </row>
    <row r="278" spans="1:13" ht="29" x14ac:dyDescent="0.35">
      <c r="A278" s="14" t="s">
        <v>2274</v>
      </c>
      <c r="B278" s="14" t="s">
        <v>2274</v>
      </c>
      <c r="C278" s="14" t="s">
        <v>1019</v>
      </c>
      <c r="D278" s="14" t="s">
        <v>1512</v>
      </c>
      <c r="E278" s="14" t="s">
        <v>1512</v>
      </c>
      <c r="F278" s="14" t="s">
        <v>1513</v>
      </c>
      <c r="G278" s="14" t="s">
        <v>1048</v>
      </c>
      <c r="H278" s="14" t="s">
        <v>1514</v>
      </c>
      <c r="I278" s="14" t="s">
        <v>1025</v>
      </c>
      <c r="J278" s="14" t="s">
        <v>1021</v>
      </c>
      <c r="K278" s="14" t="s">
        <v>3760</v>
      </c>
      <c r="L278" s="14" t="s">
        <v>3760</v>
      </c>
      <c r="M278" s="14" t="s">
        <v>3760</v>
      </c>
    </row>
    <row r="279" spans="1:13" ht="43.5" x14ac:dyDescent="0.35">
      <c r="A279" s="14" t="s">
        <v>2276</v>
      </c>
      <c r="B279" s="14" t="s">
        <v>2276</v>
      </c>
      <c r="C279" s="14" t="s">
        <v>1019</v>
      </c>
      <c r="D279" s="14" t="s">
        <v>1527</v>
      </c>
      <c r="E279" s="14" t="s">
        <v>1527</v>
      </c>
      <c r="F279" s="14" t="s">
        <v>1528</v>
      </c>
      <c r="G279" s="14" t="s">
        <v>1048</v>
      </c>
      <c r="H279" s="14" t="s">
        <v>1529</v>
      </c>
      <c r="I279" s="14" t="s">
        <v>1048</v>
      </c>
      <c r="J279" s="14" t="s">
        <v>1021</v>
      </c>
      <c r="K279" s="14" t="s">
        <v>3611</v>
      </c>
      <c r="L279" s="14" t="s">
        <v>3611</v>
      </c>
      <c r="M279" s="14" t="s">
        <v>3611</v>
      </c>
    </row>
    <row r="280" spans="1:13" ht="58" x14ac:dyDescent="0.35">
      <c r="A280" s="14" t="s">
        <v>2280</v>
      </c>
      <c r="B280" s="14" t="s">
        <v>2280</v>
      </c>
      <c r="C280" s="14" t="s">
        <v>1019</v>
      </c>
      <c r="D280" s="14" t="s">
        <v>1535</v>
      </c>
      <c r="E280" s="14" t="s">
        <v>1535</v>
      </c>
      <c r="F280" s="14" t="s">
        <v>1536</v>
      </c>
      <c r="G280" s="14" t="s">
        <v>1048</v>
      </c>
      <c r="H280" s="14" t="s">
        <v>1537</v>
      </c>
      <c r="I280" s="14" t="s">
        <v>1048</v>
      </c>
      <c r="J280" s="14" t="s">
        <v>1021</v>
      </c>
      <c r="K280" s="14" t="s">
        <v>3611</v>
      </c>
      <c r="L280" s="14" t="s">
        <v>3611</v>
      </c>
      <c r="M280" s="14" t="s">
        <v>3611</v>
      </c>
    </row>
    <row r="281" spans="1:13" ht="58" x14ac:dyDescent="0.35">
      <c r="A281" s="14" t="s">
        <v>2284</v>
      </c>
      <c r="B281" s="14" t="s">
        <v>2284</v>
      </c>
      <c r="C281" s="14" t="s">
        <v>1019</v>
      </c>
      <c r="D281" s="14" t="s">
        <v>1351</v>
      </c>
      <c r="E281" s="14" t="s">
        <v>1351</v>
      </c>
      <c r="F281" s="14" t="s">
        <v>1352</v>
      </c>
      <c r="G281" s="14" t="s">
        <v>1023</v>
      </c>
      <c r="H281" s="14" t="s">
        <v>1353</v>
      </c>
      <c r="I281" s="14" t="s">
        <v>1025</v>
      </c>
      <c r="J281" s="14" t="s">
        <v>1021</v>
      </c>
      <c r="K281" s="14" t="s">
        <v>3611</v>
      </c>
      <c r="L281" s="14" t="s">
        <v>2911</v>
      </c>
      <c r="M281" s="14" t="s">
        <v>2911</v>
      </c>
    </row>
    <row r="282" spans="1:13" ht="29" x14ac:dyDescent="0.35">
      <c r="A282" s="14" t="s">
        <v>2286</v>
      </c>
      <c r="B282" s="14" t="s">
        <v>2286</v>
      </c>
      <c r="C282" s="14" t="s">
        <v>1019</v>
      </c>
      <c r="D282" s="14" t="s">
        <v>1389</v>
      </c>
      <c r="E282" s="14" t="s">
        <v>1389</v>
      </c>
      <c r="F282" s="14" t="s">
        <v>1390</v>
      </c>
      <c r="G282" s="14" t="s">
        <v>1048</v>
      </c>
      <c r="H282" s="14" t="s">
        <v>1391</v>
      </c>
      <c r="I282" s="14" t="s">
        <v>1050</v>
      </c>
      <c r="J282" s="14" t="s">
        <v>1021</v>
      </c>
      <c r="K282" s="14" t="s">
        <v>3611</v>
      </c>
      <c r="L282" s="14" t="s">
        <v>3611</v>
      </c>
      <c r="M282" s="14" t="s">
        <v>3611</v>
      </c>
    </row>
    <row r="283" spans="1:13" ht="29" x14ac:dyDescent="0.35">
      <c r="A283" s="14" t="s">
        <v>2288</v>
      </c>
      <c r="B283" s="14" t="s">
        <v>2288</v>
      </c>
      <c r="C283" s="14" t="s">
        <v>1019</v>
      </c>
      <c r="D283" s="14" t="s">
        <v>2269</v>
      </c>
      <c r="E283" s="14" t="s">
        <v>2269</v>
      </c>
      <c r="F283" s="14" t="s">
        <v>2290</v>
      </c>
      <c r="G283" s="14" t="s">
        <v>1050</v>
      </c>
      <c r="H283" s="14" t="s">
        <v>2271</v>
      </c>
      <c r="I283" s="14" t="s">
        <v>1025</v>
      </c>
      <c r="J283" s="14" t="s">
        <v>1021</v>
      </c>
      <c r="K283" s="14" t="s">
        <v>3760</v>
      </c>
      <c r="L283" s="14" t="s">
        <v>3760</v>
      </c>
      <c r="M283" s="14" t="s">
        <v>3760</v>
      </c>
    </row>
    <row r="284" spans="1:13" ht="43.5" x14ac:dyDescent="0.35">
      <c r="A284" s="14" t="s">
        <v>2292</v>
      </c>
      <c r="B284" s="14" t="s">
        <v>2292</v>
      </c>
      <c r="C284" s="14" t="s">
        <v>1019</v>
      </c>
      <c r="D284" s="14" t="s">
        <v>1186</v>
      </c>
      <c r="E284" s="14" t="s">
        <v>1186</v>
      </c>
      <c r="F284" s="14" t="s">
        <v>1187</v>
      </c>
      <c r="G284" s="14" t="s">
        <v>1023</v>
      </c>
      <c r="H284" s="14" t="s">
        <v>1188</v>
      </c>
      <c r="I284" s="14" t="s">
        <v>1025</v>
      </c>
      <c r="J284" s="14" t="s">
        <v>1021</v>
      </c>
      <c r="K284" s="14" t="s">
        <v>3589</v>
      </c>
      <c r="L284" s="14" t="s">
        <v>3589</v>
      </c>
      <c r="M284" s="14" t="s">
        <v>2832</v>
      </c>
    </row>
    <row r="285" spans="1:13" ht="29" x14ac:dyDescent="0.35">
      <c r="A285" s="14" t="s">
        <v>2295</v>
      </c>
      <c r="B285" s="14" t="s">
        <v>2295</v>
      </c>
      <c r="C285" s="14" t="s">
        <v>1019</v>
      </c>
      <c r="D285" s="14" t="s">
        <v>1265</v>
      </c>
      <c r="E285" s="14" t="s">
        <v>1265</v>
      </c>
      <c r="F285" s="14"/>
      <c r="G285" s="14" t="s">
        <v>1034</v>
      </c>
      <c r="H285" s="14"/>
      <c r="I285" s="14" t="s">
        <v>1034</v>
      </c>
      <c r="J285" s="14" t="s">
        <v>1114</v>
      </c>
      <c r="K285" s="14" t="s">
        <v>3611</v>
      </c>
      <c r="L285" s="14" t="s">
        <v>3611</v>
      </c>
      <c r="M285" s="14" t="s">
        <v>3611</v>
      </c>
    </row>
    <row r="286" spans="1:13" ht="29" x14ac:dyDescent="0.35">
      <c r="A286" s="14" t="s">
        <v>2300</v>
      </c>
      <c r="B286" s="14" t="s">
        <v>2300</v>
      </c>
      <c r="C286" s="14" t="s">
        <v>1019</v>
      </c>
      <c r="D286" s="14" t="s">
        <v>2301</v>
      </c>
      <c r="E286" s="14" t="s">
        <v>2301</v>
      </c>
      <c r="F286" s="14" t="s">
        <v>2302</v>
      </c>
      <c r="G286" s="14" t="s">
        <v>1048</v>
      </c>
      <c r="H286" s="14"/>
      <c r="I286" s="14" t="s">
        <v>1034</v>
      </c>
      <c r="J286" s="14" t="s">
        <v>1021</v>
      </c>
      <c r="K286" s="14" t="s">
        <v>3764</v>
      </c>
      <c r="L286" s="14" t="s">
        <v>3611</v>
      </c>
      <c r="M286" s="14" t="s">
        <v>3611</v>
      </c>
    </row>
    <row r="287" spans="1:13" ht="43.5" x14ac:dyDescent="0.35">
      <c r="A287" s="14" t="s">
        <v>2304</v>
      </c>
      <c r="B287" s="14" t="s">
        <v>2304</v>
      </c>
      <c r="C287" s="14" t="s">
        <v>1019</v>
      </c>
      <c r="D287" s="14" t="s">
        <v>1552</v>
      </c>
      <c r="E287" s="14" t="s">
        <v>1552</v>
      </c>
      <c r="F287" s="14" t="s">
        <v>1553</v>
      </c>
      <c r="G287" s="14" t="s">
        <v>1048</v>
      </c>
      <c r="H287" s="14" t="s">
        <v>1554</v>
      </c>
      <c r="I287" s="14" t="s">
        <v>1048</v>
      </c>
      <c r="J287" s="14" t="s">
        <v>1021</v>
      </c>
      <c r="K287" s="14" t="s">
        <v>3611</v>
      </c>
      <c r="L287" s="14" t="s">
        <v>3611</v>
      </c>
      <c r="M287" s="14" t="s">
        <v>3611</v>
      </c>
    </row>
    <row r="288" spans="1:13" ht="29" x14ac:dyDescent="0.35">
      <c r="A288" s="14" t="s">
        <v>2305</v>
      </c>
      <c r="B288" s="14" t="s">
        <v>2305</v>
      </c>
      <c r="C288" s="14" t="s">
        <v>1019</v>
      </c>
      <c r="D288" s="14" t="s">
        <v>1731</v>
      </c>
      <c r="E288" s="14" t="s">
        <v>1731</v>
      </c>
      <c r="F288" s="14"/>
      <c r="G288" s="14" t="s">
        <v>1034</v>
      </c>
      <c r="H288" s="14"/>
      <c r="I288" s="14" t="s">
        <v>1034</v>
      </c>
      <c r="J288" s="14" t="s">
        <v>1114</v>
      </c>
      <c r="K288" s="14" t="s">
        <v>3611</v>
      </c>
      <c r="L288" s="14" t="s">
        <v>3611</v>
      </c>
      <c r="M288" s="14" t="s">
        <v>3611</v>
      </c>
    </row>
    <row r="289" spans="1:13" ht="29" x14ac:dyDescent="0.35">
      <c r="A289" s="14" t="s">
        <v>2306</v>
      </c>
      <c r="B289" s="14" t="s">
        <v>2306</v>
      </c>
      <c r="C289" s="14" t="s">
        <v>1019</v>
      </c>
      <c r="D289" s="14" t="s">
        <v>1726</v>
      </c>
      <c r="E289" s="14" t="s">
        <v>1726</v>
      </c>
      <c r="F289" s="14" t="s">
        <v>1727</v>
      </c>
      <c r="G289" s="14" t="s">
        <v>1048</v>
      </c>
      <c r="H289" s="14" t="s">
        <v>1728</v>
      </c>
      <c r="I289" s="14" t="s">
        <v>1050</v>
      </c>
      <c r="J289" s="14" t="s">
        <v>1021</v>
      </c>
      <c r="K289" s="14" t="s">
        <v>3611</v>
      </c>
      <c r="L289" s="14" t="s">
        <v>3611</v>
      </c>
      <c r="M289" s="14" t="s">
        <v>3611</v>
      </c>
    </row>
    <row r="290" spans="1:13" ht="43.5" x14ac:dyDescent="0.35">
      <c r="A290" s="14" t="s">
        <v>2309</v>
      </c>
      <c r="B290" s="14" t="s">
        <v>2309</v>
      </c>
      <c r="C290" s="14" t="s">
        <v>1019</v>
      </c>
      <c r="D290" s="14" t="s">
        <v>1447</v>
      </c>
      <c r="E290" s="14" t="s">
        <v>1447</v>
      </c>
      <c r="F290" s="14" t="s">
        <v>1448</v>
      </c>
      <c r="G290" s="14" t="s">
        <v>1048</v>
      </c>
      <c r="H290" s="14" t="s">
        <v>1449</v>
      </c>
      <c r="I290" s="14" t="s">
        <v>1050</v>
      </c>
      <c r="J290" s="14" t="s">
        <v>1021</v>
      </c>
      <c r="K290" s="14" t="s">
        <v>3611</v>
      </c>
      <c r="L290" s="14" t="s">
        <v>3611</v>
      </c>
      <c r="M290" s="14" t="s">
        <v>3611</v>
      </c>
    </row>
    <row r="291" spans="1:13" ht="29" x14ac:dyDescent="0.35">
      <c r="A291" s="14" t="s">
        <v>2312</v>
      </c>
      <c r="B291" s="14" t="s">
        <v>2312</v>
      </c>
      <c r="C291" s="14" t="s">
        <v>1019</v>
      </c>
      <c r="D291" s="14"/>
      <c r="E291" s="14"/>
      <c r="F291" s="14"/>
      <c r="G291" s="14" t="s">
        <v>1034</v>
      </c>
      <c r="H291" s="14"/>
      <c r="I291" s="14" t="s">
        <v>1034</v>
      </c>
      <c r="J291" s="14" t="s">
        <v>1123</v>
      </c>
      <c r="K291" s="14"/>
      <c r="L291" s="14"/>
      <c r="M291" s="14"/>
    </row>
    <row r="292" spans="1:13" ht="43.5" x14ac:dyDescent="0.35">
      <c r="A292" s="14" t="s">
        <v>2313</v>
      </c>
      <c r="B292" s="14" t="s">
        <v>2313</v>
      </c>
      <c r="C292" s="14" t="s">
        <v>1019</v>
      </c>
      <c r="D292" s="14" t="s">
        <v>1756</v>
      </c>
      <c r="E292" s="14" t="s">
        <v>1756</v>
      </c>
      <c r="F292" s="14" t="s">
        <v>1757</v>
      </c>
      <c r="G292" s="14" t="s">
        <v>1048</v>
      </c>
      <c r="H292" s="14" t="s">
        <v>1758</v>
      </c>
      <c r="I292" s="14" t="s">
        <v>1050</v>
      </c>
      <c r="J292" s="14" t="s">
        <v>1021</v>
      </c>
      <c r="K292" s="14" t="s">
        <v>3611</v>
      </c>
      <c r="L292" s="14" t="s">
        <v>3611</v>
      </c>
      <c r="M292" s="14" t="s">
        <v>3611</v>
      </c>
    </row>
    <row r="293" spans="1:13" ht="29" x14ac:dyDescent="0.35">
      <c r="A293" s="14" t="s">
        <v>2315</v>
      </c>
      <c r="B293" s="14" t="s">
        <v>2315</v>
      </c>
      <c r="C293" s="14" t="s">
        <v>1019</v>
      </c>
      <c r="D293" s="14" t="s">
        <v>2316</v>
      </c>
      <c r="E293" s="14" t="s">
        <v>2316</v>
      </c>
      <c r="F293" s="14" t="s">
        <v>2317</v>
      </c>
      <c r="G293" s="14" t="s">
        <v>1025</v>
      </c>
      <c r="H293" s="14"/>
      <c r="I293" s="14" t="s">
        <v>1034</v>
      </c>
      <c r="J293" s="14" t="s">
        <v>1021</v>
      </c>
      <c r="K293" s="14" t="s">
        <v>3611</v>
      </c>
      <c r="L293" s="14" t="s">
        <v>3760</v>
      </c>
      <c r="M293" s="14" t="s">
        <v>3611</v>
      </c>
    </row>
    <row r="294" spans="1:13" ht="43.5" x14ac:dyDescent="0.35">
      <c r="A294" s="14" t="s">
        <v>2319</v>
      </c>
      <c r="B294" s="14" t="s">
        <v>2319</v>
      </c>
      <c r="C294" s="14" t="s">
        <v>1019</v>
      </c>
      <c r="D294" s="14" t="s">
        <v>1274</v>
      </c>
      <c r="E294" s="14" t="s">
        <v>1274</v>
      </c>
      <c r="F294" s="14" t="s">
        <v>1275</v>
      </c>
      <c r="G294" s="14" t="s">
        <v>1048</v>
      </c>
      <c r="H294" s="14" t="s">
        <v>1276</v>
      </c>
      <c r="I294" s="14" t="s">
        <v>1050</v>
      </c>
      <c r="J294" s="14" t="s">
        <v>1021</v>
      </c>
      <c r="K294" s="14" t="s">
        <v>3760</v>
      </c>
      <c r="L294" s="14" t="s">
        <v>3611</v>
      </c>
      <c r="M294" s="14" t="s">
        <v>3760</v>
      </c>
    </row>
    <row r="295" spans="1:13" ht="29" x14ac:dyDescent="0.35">
      <c r="A295" s="14" t="s">
        <v>2321</v>
      </c>
      <c r="B295" s="14" t="s">
        <v>2321</v>
      </c>
      <c r="C295" s="14" t="s">
        <v>1019</v>
      </c>
      <c r="D295" s="14" t="s">
        <v>1181</v>
      </c>
      <c r="E295" s="14" t="s">
        <v>1181</v>
      </c>
      <c r="F295" s="14" t="s">
        <v>1182</v>
      </c>
      <c r="G295" s="14" t="s">
        <v>1025</v>
      </c>
      <c r="H295" s="14" t="s">
        <v>1183</v>
      </c>
      <c r="I295" s="14" t="s">
        <v>1025</v>
      </c>
      <c r="J295" s="14" t="s">
        <v>1021</v>
      </c>
      <c r="K295" s="14" t="s">
        <v>3760</v>
      </c>
      <c r="L295" s="14" t="s">
        <v>3760</v>
      </c>
      <c r="M295" s="14" t="s">
        <v>3760</v>
      </c>
    </row>
    <row r="296" spans="1:13" ht="29" x14ac:dyDescent="0.35">
      <c r="A296" s="14" t="s">
        <v>2323</v>
      </c>
      <c r="B296" s="14" t="s">
        <v>2323</v>
      </c>
      <c r="C296" s="14" t="s">
        <v>1019</v>
      </c>
      <c r="D296" s="14" t="s">
        <v>1248</v>
      </c>
      <c r="E296" s="14" t="s">
        <v>1248</v>
      </c>
      <c r="F296" s="14"/>
      <c r="G296" s="14" t="s">
        <v>1034</v>
      </c>
      <c r="H296" s="14"/>
      <c r="I296" s="14" t="s">
        <v>1034</v>
      </c>
      <c r="J296" s="14" t="s">
        <v>1114</v>
      </c>
      <c r="K296" s="14" t="s">
        <v>3611</v>
      </c>
      <c r="L296" s="14" t="s">
        <v>3611</v>
      </c>
      <c r="M296" s="14" t="s">
        <v>3611</v>
      </c>
    </row>
    <row r="297" spans="1:13" ht="29" x14ac:dyDescent="0.35">
      <c r="A297" s="14" t="s">
        <v>2325</v>
      </c>
      <c r="B297" s="14" t="s">
        <v>2325</v>
      </c>
      <c r="C297" s="14" t="s">
        <v>1019</v>
      </c>
      <c r="D297" s="14" t="s">
        <v>1281</v>
      </c>
      <c r="E297" s="14" t="s">
        <v>1281</v>
      </c>
      <c r="F297" s="14" t="s">
        <v>1282</v>
      </c>
      <c r="G297" s="14" t="s">
        <v>1048</v>
      </c>
      <c r="H297" s="14" t="s">
        <v>1283</v>
      </c>
      <c r="I297" s="14" t="s">
        <v>1050</v>
      </c>
      <c r="J297" s="14" t="s">
        <v>1021</v>
      </c>
      <c r="K297" s="14" t="s">
        <v>3611</v>
      </c>
      <c r="L297" s="14" t="s">
        <v>3611</v>
      </c>
      <c r="M297" s="14" t="s">
        <v>3611</v>
      </c>
    </row>
    <row r="298" spans="1:13" ht="29" x14ac:dyDescent="0.35">
      <c r="A298" s="14" t="s">
        <v>2327</v>
      </c>
      <c r="B298" s="14" t="s">
        <v>2327</v>
      </c>
      <c r="C298" s="14" t="s">
        <v>1019</v>
      </c>
      <c r="D298" s="14" t="s">
        <v>1176</v>
      </c>
      <c r="E298" s="14" t="s">
        <v>1176</v>
      </c>
      <c r="F298" s="14" t="s">
        <v>1177</v>
      </c>
      <c r="G298" s="14" t="s">
        <v>1025</v>
      </c>
      <c r="H298" s="14" t="s">
        <v>1178</v>
      </c>
      <c r="I298" s="14" t="s">
        <v>1025</v>
      </c>
      <c r="J298" s="14" t="s">
        <v>1021</v>
      </c>
      <c r="K298" s="14" t="s">
        <v>3760</v>
      </c>
      <c r="L298" s="14" t="s">
        <v>3760</v>
      </c>
      <c r="M298" s="14" t="s">
        <v>3760</v>
      </c>
    </row>
    <row r="299" spans="1:13" ht="29" x14ac:dyDescent="0.35">
      <c r="A299" s="14" t="s">
        <v>2329</v>
      </c>
      <c r="B299" s="14" t="s">
        <v>2329</v>
      </c>
      <c r="C299" s="14" t="s">
        <v>1019</v>
      </c>
      <c r="D299" s="14" t="s">
        <v>1135</v>
      </c>
      <c r="E299" s="14" t="s">
        <v>1135</v>
      </c>
      <c r="F299" s="14" t="s">
        <v>1136</v>
      </c>
      <c r="G299" s="14" t="s">
        <v>1050</v>
      </c>
      <c r="H299" s="14" t="s">
        <v>1137</v>
      </c>
      <c r="I299" s="14" t="s">
        <v>1050</v>
      </c>
      <c r="J299" s="14" t="s">
        <v>1021</v>
      </c>
      <c r="K299" s="14" t="s">
        <v>3611</v>
      </c>
      <c r="L299" s="14" t="s">
        <v>3611</v>
      </c>
      <c r="M299" s="14" t="s">
        <v>3611</v>
      </c>
    </row>
    <row r="300" spans="1:13" ht="29" x14ac:dyDescent="0.35">
      <c r="A300" s="14" t="s">
        <v>2331</v>
      </c>
      <c r="B300" s="14" t="s">
        <v>2331</v>
      </c>
      <c r="C300" s="14" t="s">
        <v>1019</v>
      </c>
      <c r="D300" s="14" t="s">
        <v>1233</v>
      </c>
      <c r="E300" s="14" t="s">
        <v>1233</v>
      </c>
      <c r="F300" s="14"/>
      <c r="G300" s="14" t="s">
        <v>1034</v>
      </c>
      <c r="H300" s="14"/>
      <c r="I300" s="14" t="s">
        <v>1034</v>
      </c>
      <c r="J300" s="14" t="s">
        <v>1114</v>
      </c>
      <c r="K300" s="14" t="s">
        <v>3611</v>
      </c>
      <c r="L300" s="14" t="s">
        <v>3611</v>
      </c>
      <c r="M300" s="14" t="s">
        <v>3611</v>
      </c>
    </row>
    <row r="301" spans="1:13" ht="29" x14ac:dyDescent="0.35">
      <c r="A301" s="14" t="s">
        <v>2333</v>
      </c>
      <c r="B301" s="14" t="s">
        <v>2333</v>
      </c>
      <c r="C301" s="14" t="s">
        <v>1019</v>
      </c>
      <c r="D301" s="14" t="s">
        <v>1805</v>
      </c>
      <c r="E301" s="14" t="s">
        <v>1805</v>
      </c>
      <c r="F301" s="14"/>
      <c r="G301" s="14" t="s">
        <v>1034</v>
      </c>
      <c r="H301" s="14"/>
      <c r="I301" s="14" t="s">
        <v>1034</v>
      </c>
      <c r="J301" s="14" t="s">
        <v>1114</v>
      </c>
      <c r="K301" s="14" t="s">
        <v>3611</v>
      </c>
      <c r="L301" s="14" t="s">
        <v>3611</v>
      </c>
      <c r="M301" s="14" t="s">
        <v>3611</v>
      </c>
    </row>
    <row r="302" spans="1:13" ht="29" x14ac:dyDescent="0.35">
      <c r="A302" s="14" t="s">
        <v>2336</v>
      </c>
      <c r="B302" s="14" t="s">
        <v>2336</v>
      </c>
      <c r="C302" s="14" t="s">
        <v>1019</v>
      </c>
      <c r="D302" s="14" t="s">
        <v>1226</v>
      </c>
      <c r="E302" s="14" t="s">
        <v>1226</v>
      </c>
      <c r="F302" s="14"/>
      <c r="G302" s="14" t="s">
        <v>1034</v>
      </c>
      <c r="H302" s="14"/>
      <c r="I302" s="14" t="s">
        <v>1034</v>
      </c>
      <c r="J302" s="14" t="s">
        <v>1114</v>
      </c>
      <c r="K302" s="14" t="s">
        <v>3611</v>
      </c>
      <c r="L302" s="14" t="s">
        <v>3611</v>
      </c>
      <c r="M302" s="14" t="s">
        <v>3611</v>
      </c>
    </row>
    <row r="303" spans="1:13" ht="29" x14ac:dyDescent="0.35">
      <c r="A303" s="14" t="s">
        <v>2339</v>
      </c>
      <c r="B303" s="14" t="s">
        <v>2339</v>
      </c>
      <c r="C303" s="14" t="s">
        <v>1019</v>
      </c>
      <c r="D303" s="14" t="s">
        <v>1176</v>
      </c>
      <c r="E303" s="14" t="s">
        <v>1176</v>
      </c>
      <c r="F303" s="14" t="s">
        <v>1177</v>
      </c>
      <c r="G303" s="14" t="s">
        <v>1025</v>
      </c>
      <c r="H303" s="14" t="s">
        <v>1178</v>
      </c>
      <c r="I303" s="14" t="s">
        <v>1025</v>
      </c>
      <c r="J303" s="14" t="s">
        <v>1021</v>
      </c>
      <c r="K303" s="14" t="s">
        <v>3760</v>
      </c>
      <c r="L303" s="14" t="s">
        <v>3760</v>
      </c>
      <c r="M303" s="14" t="s">
        <v>3760</v>
      </c>
    </row>
    <row r="304" spans="1:13" ht="29" x14ac:dyDescent="0.35">
      <c r="A304" s="14" t="s">
        <v>2340</v>
      </c>
      <c r="B304" s="14" t="s">
        <v>2340</v>
      </c>
      <c r="C304" s="14" t="s">
        <v>1019</v>
      </c>
      <c r="D304" s="14" t="s">
        <v>1484</v>
      </c>
      <c r="E304" s="14" t="s">
        <v>1484</v>
      </c>
      <c r="F304" s="14" t="s">
        <v>1485</v>
      </c>
      <c r="G304" s="14" t="s">
        <v>1050</v>
      </c>
      <c r="H304" s="14" t="s">
        <v>1486</v>
      </c>
      <c r="I304" s="14" t="s">
        <v>1050</v>
      </c>
      <c r="J304" s="14" t="s">
        <v>1021</v>
      </c>
      <c r="K304" s="14" t="s">
        <v>3611</v>
      </c>
      <c r="L304" s="14" t="s">
        <v>3611</v>
      </c>
      <c r="M304" s="14" t="s">
        <v>3611</v>
      </c>
    </row>
    <row r="305" spans="1:13" ht="72.5" x14ac:dyDescent="0.35">
      <c r="A305" s="14" t="s">
        <v>2342</v>
      </c>
      <c r="B305" s="14" t="s">
        <v>2342</v>
      </c>
      <c r="C305" s="14" t="s">
        <v>1019</v>
      </c>
      <c r="D305" s="14" t="s">
        <v>1480</v>
      </c>
      <c r="E305" s="14" t="s">
        <v>1480</v>
      </c>
      <c r="F305" s="14" t="s">
        <v>1481</v>
      </c>
      <c r="G305" s="14" t="s">
        <v>1023</v>
      </c>
      <c r="H305" s="14"/>
      <c r="I305" s="14" t="s">
        <v>1034</v>
      </c>
      <c r="J305" s="14" t="s">
        <v>1021</v>
      </c>
      <c r="K305" s="14" t="s">
        <v>2911</v>
      </c>
      <c r="L305" s="14" t="s">
        <v>2911</v>
      </c>
      <c r="M305" s="14" t="s">
        <v>2911</v>
      </c>
    </row>
    <row r="306" spans="1:13" ht="29" x14ac:dyDescent="0.35">
      <c r="A306" s="14" t="s">
        <v>2344</v>
      </c>
      <c r="B306" s="14" t="s">
        <v>2344</v>
      </c>
      <c r="C306" s="14" t="s">
        <v>1019</v>
      </c>
      <c r="D306" s="14"/>
      <c r="E306" s="14"/>
      <c r="F306" s="14"/>
      <c r="G306" s="14" t="s">
        <v>1034</v>
      </c>
      <c r="H306" s="14"/>
      <c r="I306" s="14" t="s">
        <v>1034</v>
      </c>
      <c r="J306" s="14" t="s">
        <v>1123</v>
      </c>
      <c r="K306" s="14"/>
      <c r="L306" s="14"/>
      <c r="M306" s="14"/>
    </row>
    <row r="307" spans="1:13" ht="29" x14ac:dyDescent="0.35">
      <c r="A307" s="14" t="s">
        <v>2347</v>
      </c>
      <c r="B307" s="14" t="s">
        <v>2347</v>
      </c>
      <c r="C307" s="14" t="s">
        <v>1019</v>
      </c>
      <c r="D307" s="14" t="s">
        <v>1477</v>
      </c>
      <c r="E307" s="14" t="s">
        <v>1477</v>
      </c>
      <c r="F307" s="14"/>
      <c r="G307" s="14" t="s">
        <v>1034</v>
      </c>
      <c r="H307" s="14"/>
      <c r="I307" s="14" t="s">
        <v>1034</v>
      </c>
      <c r="J307" s="14" t="s">
        <v>1114</v>
      </c>
      <c r="K307" s="14" t="s">
        <v>3611</v>
      </c>
      <c r="L307" s="14" t="s">
        <v>3611</v>
      </c>
      <c r="M307" s="14" t="s">
        <v>3611</v>
      </c>
    </row>
    <row r="308" spans="1:13" ht="29" x14ac:dyDescent="0.35">
      <c r="A308" s="14" t="s">
        <v>2349</v>
      </c>
      <c r="B308" s="14" t="s">
        <v>2349</v>
      </c>
      <c r="C308" s="14" t="s">
        <v>1019</v>
      </c>
      <c r="D308" s="14" t="s">
        <v>1909</v>
      </c>
      <c r="E308" s="14" t="s">
        <v>1909</v>
      </c>
      <c r="F308" s="14" t="s">
        <v>1910</v>
      </c>
      <c r="G308" s="14" t="s">
        <v>1050</v>
      </c>
      <c r="H308" s="14" t="s">
        <v>1911</v>
      </c>
      <c r="I308" s="14" t="s">
        <v>1050</v>
      </c>
      <c r="J308" s="14" t="s">
        <v>1021</v>
      </c>
      <c r="K308" s="14" t="s">
        <v>3611</v>
      </c>
      <c r="L308" s="14" t="s">
        <v>3611</v>
      </c>
      <c r="M308" s="14" t="s">
        <v>3611</v>
      </c>
    </row>
    <row r="309" spans="1:13" ht="29" x14ac:dyDescent="0.35">
      <c r="A309" s="14" t="s">
        <v>2351</v>
      </c>
      <c r="B309" s="14" t="s">
        <v>2351</v>
      </c>
      <c r="C309" s="14" t="s">
        <v>1019</v>
      </c>
      <c r="D309" s="14" t="s">
        <v>1563</v>
      </c>
      <c r="E309" s="14" t="s">
        <v>1563</v>
      </c>
      <c r="F309" s="14" t="s">
        <v>1564</v>
      </c>
      <c r="G309" s="14" t="s">
        <v>1023</v>
      </c>
      <c r="H309" s="14" t="s">
        <v>1565</v>
      </c>
      <c r="I309" s="14" t="s">
        <v>1025</v>
      </c>
      <c r="J309" s="14" t="s">
        <v>1021</v>
      </c>
      <c r="K309" s="14" t="s">
        <v>3760</v>
      </c>
      <c r="L309" s="14" t="s">
        <v>3760</v>
      </c>
      <c r="M309" s="14" t="s">
        <v>3760</v>
      </c>
    </row>
    <row r="310" spans="1:13" ht="29" x14ac:dyDescent="0.35">
      <c r="A310" s="14" t="s">
        <v>2353</v>
      </c>
      <c r="B310" s="14" t="s">
        <v>2353</v>
      </c>
      <c r="C310" s="14" t="s">
        <v>1019</v>
      </c>
      <c r="D310" s="14" t="s">
        <v>1573</v>
      </c>
      <c r="E310" s="14" t="s">
        <v>1573</v>
      </c>
      <c r="F310" s="14" t="s">
        <v>1574</v>
      </c>
      <c r="G310" s="14" t="s">
        <v>1023</v>
      </c>
      <c r="H310" s="14" t="s">
        <v>1575</v>
      </c>
      <c r="I310" s="14" t="s">
        <v>1025</v>
      </c>
      <c r="J310" s="14" t="s">
        <v>1021</v>
      </c>
      <c r="K310" s="14" t="s">
        <v>3760</v>
      </c>
      <c r="L310" s="14" t="s">
        <v>3760</v>
      </c>
      <c r="M310" s="14" t="s">
        <v>3760</v>
      </c>
    </row>
    <row r="311" spans="1:13" ht="29" x14ac:dyDescent="0.35">
      <c r="A311" s="14" t="s">
        <v>2356</v>
      </c>
      <c r="B311" s="14" t="s">
        <v>2356</v>
      </c>
      <c r="C311" s="14" t="s">
        <v>1019</v>
      </c>
      <c r="D311" s="14" t="s">
        <v>1509</v>
      </c>
      <c r="E311" s="14" t="s">
        <v>1509</v>
      </c>
      <c r="F311" s="14"/>
      <c r="G311" s="14" t="s">
        <v>1034</v>
      </c>
      <c r="H311" s="14"/>
      <c r="I311" s="14" t="s">
        <v>1034</v>
      </c>
      <c r="J311" s="14" t="s">
        <v>1114</v>
      </c>
      <c r="K311" s="14" t="s">
        <v>3611</v>
      </c>
      <c r="L311" s="14" t="s">
        <v>3611</v>
      </c>
      <c r="M311" s="14" t="s">
        <v>3611</v>
      </c>
    </row>
    <row r="312" spans="1:13" ht="72.5" x14ac:dyDescent="0.35">
      <c r="A312" s="14" t="s">
        <v>2360</v>
      </c>
      <c r="B312" s="14" t="s">
        <v>2360</v>
      </c>
      <c r="C312" s="14" t="s">
        <v>1019</v>
      </c>
      <c r="D312" s="14" t="s">
        <v>1683</v>
      </c>
      <c r="E312" s="14" t="s">
        <v>1683</v>
      </c>
      <c r="F312" s="14" t="s">
        <v>1684</v>
      </c>
      <c r="G312" s="14" t="s">
        <v>1048</v>
      </c>
      <c r="H312" s="14" t="s">
        <v>1685</v>
      </c>
      <c r="I312" s="14" t="s">
        <v>1050</v>
      </c>
      <c r="J312" s="14" t="s">
        <v>1021</v>
      </c>
      <c r="K312" s="14" t="s">
        <v>3611</v>
      </c>
      <c r="L312" s="14" t="s">
        <v>3611</v>
      </c>
      <c r="M312" s="14" t="s">
        <v>3611</v>
      </c>
    </row>
    <row r="313" spans="1:13" ht="29" x14ac:dyDescent="0.35">
      <c r="A313" s="14" t="s">
        <v>2366</v>
      </c>
      <c r="B313" s="14" t="s">
        <v>2366</v>
      </c>
      <c r="C313" s="14" t="s">
        <v>1019</v>
      </c>
      <c r="D313" s="14" t="s">
        <v>1421</v>
      </c>
      <c r="E313" s="14" t="s">
        <v>1421</v>
      </c>
      <c r="F313" s="14"/>
      <c r="G313" s="14" t="s">
        <v>1034</v>
      </c>
      <c r="H313" s="14" t="s">
        <v>1422</v>
      </c>
      <c r="I313" s="14" t="s">
        <v>1050</v>
      </c>
      <c r="J313" s="14" t="s">
        <v>1021</v>
      </c>
      <c r="K313" s="14" t="s">
        <v>3611</v>
      </c>
      <c r="L313" s="14" t="s">
        <v>3611</v>
      </c>
      <c r="M313" s="14" t="s">
        <v>3611</v>
      </c>
    </row>
    <row r="314" spans="1:13" ht="43.5" x14ac:dyDescent="0.35">
      <c r="A314" s="14" t="s">
        <v>2368</v>
      </c>
      <c r="B314" s="14" t="s">
        <v>2368</v>
      </c>
      <c r="C314" s="14" t="s">
        <v>1019</v>
      </c>
      <c r="D314" s="14" t="s">
        <v>1413</v>
      </c>
      <c r="E314" s="14" t="s">
        <v>1413</v>
      </c>
      <c r="F314" s="14" t="s">
        <v>1414</v>
      </c>
      <c r="G314" s="14" t="s">
        <v>1048</v>
      </c>
      <c r="H314" s="14" t="s">
        <v>1415</v>
      </c>
      <c r="I314" s="14" t="s">
        <v>1048</v>
      </c>
      <c r="J314" s="14" t="s">
        <v>1021</v>
      </c>
      <c r="K314" s="14" t="s">
        <v>3611</v>
      </c>
      <c r="L314" s="14" t="s">
        <v>3611</v>
      </c>
      <c r="M314" s="14" t="s">
        <v>3611</v>
      </c>
    </row>
    <row r="315" spans="1:13" ht="29" x14ac:dyDescent="0.35">
      <c r="A315" s="14" t="s">
        <v>2370</v>
      </c>
      <c r="B315" s="14" t="s">
        <v>2370</v>
      </c>
      <c r="C315" s="14" t="s">
        <v>1019</v>
      </c>
      <c r="D315" s="14" t="s">
        <v>1430</v>
      </c>
      <c r="E315" s="14" t="s">
        <v>1430</v>
      </c>
      <c r="F315" s="14" t="s">
        <v>2371</v>
      </c>
      <c r="G315" s="14" t="s">
        <v>1048</v>
      </c>
      <c r="H315" s="14" t="s">
        <v>1432</v>
      </c>
      <c r="I315" s="14" t="s">
        <v>1025</v>
      </c>
      <c r="J315" s="14" t="s">
        <v>1021</v>
      </c>
      <c r="K315" s="14" t="s">
        <v>3611</v>
      </c>
      <c r="L315" s="14" t="s">
        <v>3760</v>
      </c>
      <c r="M315" s="14" t="s">
        <v>3760</v>
      </c>
    </row>
    <row r="316" spans="1:13" ht="43.5" x14ac:dyDescent="0.35">
      <c r="A316" s="14" t="s">
        <v>2373</v>
      </c>
      <c r="B316" s="14" t="s">
        <v>2373</v>
      </c>
      <c r="C316" s="14" t="s">
        <v>1019</v>
      </c>
      <c r="D316" s="14" t="s">
        <v>1490</v>
      </c>
      <c r="E316" s="14" t="s">
        <v>1490</v>
      </c>
      <c r="F316" s="14" t="s">
        <v>1491</v>
      </c>
      <c r="G316" s="14" t="s">
        <v>1023</v>
      </c>
      <c r="H316" s="14" t="s">
        <v>1492</v>
      </c>
      <c r="I316" s="14" t="s">
        <v>1025</v>
      </c>
      <c r="J316" s="14" t="s">
        <v>1021</v>
      </c>
      <c r="K316" s="14" t="s">
        <v>3760</v>
      </c>
      <c r="L316" s="14" t="s">
        <v>3760</v>
      </c>
      <c r="M316" s="14" t="s">
        <v>3760</v>
      </c>
    </row>
    <row r="317" spans="1:13" x14ac:dyDescent="0.35">
      <c r="A317" s="14" t="s">
        <v>2375</v>
      </c>
      <c r="B317" s="14" t="s">
        <v>2375</v>
      </c>
      <c r="C317" s="14" t="s">
        <v>1019</v>
      </c>
      <c r="D317" s="14" t="s">
        <v>1176</v>
      </c>
      <c r="E317" s="14" t="s">
        <v>1176</v>
      </c>
      <c r="F317" s="14" t="s">
        <v>1177</v>
      </c>
      <c r="G317" s="14" t="s">
        <v>1025</v>
      </c>
      <c r="H317" s="14" t="s">
        <v>1178</v>
      </c>
      <c r="I317" s="14" t="s">
        <v>1025</v>
      </c>
      <c r="J317" s="14" t="s">
        <v>1021</v>
      </c>
      <c r="K317" s="14" t="s">
        <v>3760</v>
      </c>
      <c r="L317" s="14" t="s">
        <v>3760</v>
      </c>
      <c r="M317" s="14" t="s">
        <v>3760</v>
      </c>
    </row>
    <row r="318" spans="1:13" ht="29" x14ac:dyDescent="0.35">
      <c r="A318" s="14" t="s">
        <v>2376</v>
      </c>
      <c r="B318" s="14" t="s">
        <v>2376</v>
      </c>
      <c r="C318" s="14" t="s">
        <v>1019</v>
      </c>
      <c r="D318" s="14" t="s">
        <v>1200</v>
      </c>
      <c r="E318" s="14" t="s">
        <v>1200</v>
      </c>
      <c r="F318" s="14"/>
      <c r="G318" s="14" t="s">
        <v>1034</v>
      </c>
      <c r="H318" s="14"/>
      <c r="I318" s="14" t="s">
        <v>1034</v>
      </c>
      <c r="J318" s="14" t="s">
        <v>1114</v>
      </c>
      <c r="K318" s="14" t="s">
        <v>3611</v>
      </c>
      <c r="L318" s="14" t="s">
        <v>3611</v>
      </c>
      <c r="M318" s="14" t="s">
        <v>3760</v>
      </c>
    </row>
    <row r="319" spans="1:13" ht="29" x14ac:dyDescent="0.35">
      <c r="A319" s="14" t="s">
        <v>2378</v>
      </c>
      <c r="B319" s="14" t="s">
        <v>2378</v>
      </c>
      <c r="C319" s="14" t="s">
        <v>1019</v>
      </c>
      <c r="D319" s="14" t="s">
        <v>1106</v>
      </c>
      <c r="E319" s="14" t="s">
        <v>1106</v>
      </c>
      <c r="F319" s="14" t="s">
        <v>1107</v>
      </c>
      <c r="G319" s="14" t="s">
        <v>1023</v>
      </c>
      <c r="H319" s="14" t="s">
        <v>1108</v>
      </c>
      <c r="I319" s="14" t="s">
        <v>1025</v>
      </c>
      <c r="J319" s="14" t="s">
        <v>1021</v>
      </c>
      <c r="K319" s="14" t="s">
        <v>3760</v>
      </c>
      <c r="L319" s="14" t="s">
        <v>3611</v>
      </c>
      <c r="M319" s="14" t="s">
        <v>3760</v>
      </c>
    </row>
    <row r="320" spans="1:13" x14ac:dyDescent="0.35">
      <c r="A320" s="14" t="s">
        <v>2380</v>
      </c>
      <c r="B320" s="14" t="s">
        <v>2380</v>
      </c>
      <c r="C320" s="14" t="s">
        <v>1019</v>
      </c>
      <c r="D320" s="14" t="s">
        <v>1542</v>
      </c>
      <c r="E320" s="14" t="s">
        <v>1542</v>
      </c>
      <c r="F320" s="14" t="s">
        <v>1543</v>
      </c>
      <c r="G320" s="14" t="s">
        <v>1050</v>
      </c>
      <c r="H320" s="14" t="s">
        <v>1544</v>
      </c>
      <c r="I320" s="14" t="s">
        <v>1050</v>
      </c>
      <c r="J320" s="14" t="s">
        <v>1021</v>
      </c>
      <c r="K320" s="14" t="s">
        <v>3611</v>
      </c>
      <c r="L320" s="14" t="s">
        <v>3611</v>
      </c>
      <c r="M320" s="14" t="s">
        <v>3611</v>
      </c>
    </row>
    <row r="321" spans="1:13" ht="29" x14ac:dyDescent="0.35">
      <c r="A321" s="14" t="s">
        <v>2381</v>
      </c>
      <c r="B321" s="14" t="s">
        <v>2381</v>
      </c>
      <c r="C321" s="14" t="s">
        <v>1019</v>
      </c>
      <c r="D321" s="14" t="s">
        <v>1081</v>
      </c>
      <c r="E321" s="14" t="s">
        <v>1081</v>
      </c>
      <c r="F321" s="14" t="s">
        <v>1082</v>
      </c>
      <c r="G321" s="14" t="s">
        <v>1050</v>
      </c>
      <c r="H321" s="14" t="s">
        <v>1083</v>
      </c>
      <c r="I321" s="14" t="s">
        <v>1048</v>
      </c>
      <c r="J321" s="14" t="s">
        <v>1021</v>
      </c>
      <c r="K321" s="14" t="s">
        <v>3611</v>
      </c>
      <c r="L321" s="14" t="s">
        <v>3611</v>
      </c>
      <c r="M321" s="14" t="s">
        <v>3611</v>
      </c>
    </row>
    <row r="322" spans="1:13" x14ac:dyDescent="0.35">
      <c r="A322" s="14" t="s">
        <v>2383</v>
      </c>
      <c r="B322" s="14" t="s">
        <v>2383</v>
      </c>
      <c r="C322" s="14" t="s">
        <v>1019</v>
      </c>
      <c r="D322" s="14" t="s">
        <v>1100</v>
      </c>
      <c r="E322" s="14" t="s">
        <v>1100</v>
      </c>
      <c r="F322" s="14" t="s">
        <v>1101</v>
      </c>
      <c r="G322" s="14" t="s">
        <v>1050</v>
      </c>
      <c r="H322" s="14" t="s">
        <v>1102</v>
      </c>
      <c r="I322" s="14" t="s">
        <v>1050</v>
      </c>
      <c r="J322" s="14" t="s">
        <v>1021</v>
      </c>
      <c r="K322" s="14" t="s">
        <v>3611</v>
      </c>
      <c r="L322" s="14" t="s">
        <v>3764</v>
      </c>
      <c r="M322" s="14" t="s">
        <v>3611</v>
      </c>
    </row>
    <row r="323" spans="1:13" ht="43.5" x14ac:dyDescent="0.35">
      <c r="A323" s="14" t="s">
        <v>2387</v>
      </c>
      <c r="B323" s="14" t="s">
        <v>2387</v>
      </c>
      <c r="C323" s="14" t="s">
        <v>1019</v>
      </c>
      <c r="D323" s="14" t="s">
        <v>1268</v>
      </c>
      <c r="E323" s="14" t="s">
        <v>1268</v>
      </c>
      <c r="F323" s="14" t="s">
        <v>1269</v>
      </c>
      <c r="G323" s="14" t="s">
        <v>1048</v>
      </c>
      <c r="H323" s="14" t="s">
        <v>1270</v>
      </c>
      <c r="I323" s="14" t="s">
        <v>1050</v>
      </c>
      <c r="J323" s="14" t="s">
        <v>1021</v>
      </c>
      <c r="K323" s="14" t="s">
        <v>3611</v>
      </c>
      <c r="L323" s="14" t="s">
        <v>3611</v>
      </c>
      <c r="M323" s="14" t="s">
        <v>3611</v>
      </c>
    </row>
    <row r="324" spans="1:13" ht="29" x14ac:dyDescent="0.35">
      <c r="A324" s="14" t="s">
        <v>2390</v>
      </c>
      <c r="B324" s="14" t="s">
        <v>2390</v>
      </c>
      <c r="C324" s="14" t="s">
        <v>1019</v>
      </c>
      <c r="D324" s="14" t="s">
        <v>1882</v>
      </c>
      <c r="E324" s="14" t="s">
        <v>1882</v>
      </c>
      <c r="F324" s="14" t="s">
        <v>1883</v>
      </c>
      <c r="G324" s="14" t="s">
        <v>1048</v>
      </c>
      <c r="H324" s="14"/>
      <c r="I324" s="14" t="s">
        <v>1034</v>
      </c>
      <c r="J324" s="14" t="s">
        <v>1021</v>
      </c>
      <c r="K324" s="14" t="s">
        <v>3611</v>
      </c>
      <c r="L324" s="14" t="s">
        <v>3611</v>
      </c>
      <c r="M324" s="14" t="s">
        <v>3611</v>
      </c>
    </row>
    <row r="325" spans="1:13" ht="72.5" x14ac:dyDescent="0.35">
      <c r="A325" s="14" t="s">
        <v>2393</v>
      </c>
      <c r="B325" s="14" t="s">
        <v>2393</v>
      </c>
      <c r="C325" s="14" t="s">
        <v>1019</v>
      </c>
      <c r="D325" s="14" t="s">
        <v>1706</v>
      </c>
      <c r="E325" s="14" t="s">
        <v>1706</v>
      </c>
      <c r="F325" s="14" t="s">
        <v>1707</v>
      </c>
      <c r="G325" s="14" t="s">
        <v>1048</v>
      </c>
      <c r="H325" s="14" t="s">
        <v>1708</v>
      </c>
      <c r="I325" s="14" t="s">
        <v>1050</v>
      </c>
      <c r="J325" s="14" t="s">
        <v>1021</v>
      </c>
      <c r="K325" s="14" t="s">
        <v>3611</v>
      </c>
      <c r="L325" s="14" t="s">
        <v>3611</v>
      </c>
      <c r="M325" s="14" t="s">
        <v>3611</v>
      </c>
    </row>
    <row r="326" spans="1:13" ht="29" x14ac:dyDescent="0.35">
      <c r="A326" s="14" t="s">
        <v>2396</v>
      </c>
      <c r="B326" s="14" t="s">
        <v>2396</v>
      </c>
      <c r="C326" s="14" t="s">
        <v>1019</v>
      </c>
      <c r="D326" s="14" t="s">
        <v>1563</v>
      </c>
      <c r="E326" s="14" t="s">
        <v>1563</v>
      </c>
      <c r="F326" s="14" t="s">
        <v>1564</v>
      </c>
      <c r="G326" s="14" t="s">
        <v>1023</v>
      </c>
      <c r="H326" s="14" t="s">
        <v>1565</v>
      </c>
      <c r="I326" s="14" t="s">
        <v>1025</v>
      </c>
      <c r="J326" s="14" t="s">
        <v>1021</v>
      </c>
      <c r="K326" s="14" t="s">
        <v>3760</v>
      </c>
      <c r="L326" s="14" t="s">
        <v>3760</v>
      </c>
      <c r="M326" s="14" t="s">
        <v>3760</v>
      </c>
    </row>
    <row r="327" spans="1:13" ht="29" x14ac:dyDescent="0.35">
      <c r="A327" s="14" t="s">
        <v>2399</v>
      </c>
      <c r="B327" s="14" t="s">
        <v>2399</v>
      </c>
      <c r="C327" s="14" t="s">
        <v>1019</v>
      </c>
      <c r="D327" s="14" t="s">
        <v>1889</v>
      </c>
      <c r="E327" s="14" t="s">
        <v>1889</v>
      </c>
      <c r="F327" s="14"/>
      <c r="G327" s="14" t="s">
        <v>1034</v>
      </c>
      <c r="H327" s="14"/>
      <c r="I327" s="14" t="s">
        <v>1034</v>
      </c>
      <c r="J327" s="14" t="s">
        <v>1114</v>
      </c>
      <c r="K327" s="14" t="s">
        <v>3611</v>
      </c>
      <c r="L327" s="14" t="s">
        <v>3611</v>
      </c>
      <c r="M327" s="14" t="s">
        <v>3611</v>
      </c>
    </row>
    <row r="328" spans="1:13" ht="29" x14ac:dyDescent="0.35">
      <c r="A328" s="14" t="s">
        <v>2401</v>
      </c>
      <c r="B328" s="14" t="s">
        <v>2401</v>
      </c>
      <c r="C328" s="14" t="s">
        <v>1019</v>
      </c>
      <c r="D328" s="14" t="s">
        <v>1384</v>
      </c>
      <c r="E328" s="14" t="s">
        <v>1384</v>
      </c>
      <c r="F328" s="14" t="s">
        <v>1385</v>
      </c>
      <c r="G328" s="14" t="s">
        <v>1048</v>
      </c>
      <c r="H328" s="14" t="s">
        <v>1386</v>
      </c>
      <c r="I328" s="14" t="s">
        <v>1050</v>
      </c>
      <c r="J328" s="14" t="s">
        <v>1021</v>
      </c>
      <c r="K328" s="14" t="s">
        <v>3611</v>
      </c>
      <c r="L328" s="14" t="s">
        <v>3611</v>
      </c>
      <c r="M328" s="14" t="s">
        <v>3611</v>
      </c>
    </row>
    <row r="329" spans="1:13" ht="29" x14ac:dyDescent="0.35">
      <c r="A329" s="14" t="s">
        <v>2403</v>
      </c>
      <c r="B329" s="14" t="s">
        <v>2403</v>
      </c>
      <c r="C329" s="14" t="s">
        <v>1019</v>
      </c>
      <c r="D329" s="14" t="s">
        <v>1563</v>
      </c>
      <c r="E329" s="14" t="s">
        <v>1563</v>
      </c>
      <c r="F329" s="14" t="s">
        <v>1564</v>
      </c>
      <c r="G329" s="14" t="s">
        <v>1023</v>
      </c>
      <c r="H329" s="14" t="s">
        <v>1565</v>
      </c>
      <c r="I329" s="14" t="s">
        <v>1025</v>
      </c>
      <c r="J329" s="14" t="s">
        <v>1021</v>
      </c>
      <c r="K329" s="14" t="s">
        <v>3760</v>
      </c>
      <c r="L329" s="14" t="s">
        <v>3760</v>
      </c>
      <c r="M329" s="14" t="s">
        <v>3760</v>
      </c>
    </row>
    <row r="330" spans="1:13" ht="58" x14ac:dyDescent="0.35">
      <c r="A330" s="14" t="s">
        <v>2405</v>
      </c>
      <c r="B330" s="14" t="s">
        <v>2405</v>
      </c>
      <c r="C330" s="14" t="s">
        <v>1019</v>
      </c>
      <c r="D330" s="14" t="s">
        <v>1161</v>
      </c>
      <c r="E330" s="14" t="s">
        <v>1161</v>
      </c>
      <c r="F330" s="14" t="s">
        <v>1162</v>
      </c>
      <c r="G330" s="14" t="s">
        <v>1048</v>
      </c>
      <c r="H330" s="14" t="s">
        <v>1163</v>
      </c>
      <c r="I330" s="14" t="s">
        <v>1050</v>
      </c>
      <c r="J330" s="14" t="s">
        <v>1021</v>
      </c>
      <c r="K330" s="14" t="s">
        <v>3611</v>
      </c>
      <c r="L330" s="14" t="s">
        <v>3611</v>
      </c>
      <c r="M330" s="14" t="s">
        <v>3611</v>
      </c>
    </row>
    <row r="331" spans="1:13" ht="29" x14ac:dyDescent="0.35">
      <c r="A331" s="14" t="s">
        <v>2408</v>
      </c>
      <c r="B331" s="14" t="s">
        <v>2408</v>
      </c>
      <c r="C331" s="14" t="s">
        <v>1019</v>
      </c>
      <c r="D331" s="14" t="s">
        <v>2409</v>
      </c>
      <c r="E331" s="14" t="s">
        <v>2409</v>
      </c>
      <c r="F331" s="14"/>
      <c r="G331" s="14" t="s">
        <v>1034</v>
      </c>
      <c r="H331" s="14"/>
      <c r="I331" s="14" t="s">
        <v>1034</v>
      </c>
      <c r="J331" s="14" t="s">
        <v>1114</v>
      </c>
      <c r="K331" s="14" t="s">
        <v>3611</v>
      </c>
      <c r="L331" s="14" t="s">
        <v>3611</v>
      </c>
      <c r="M331" s="14" t="s">
        <v>3611</v>
      </c>
    </row>
    <row r="332" spans="1:13" ht="58" x14ac:dyDescent="0.35">
      <c r="A332" s="14" t="s">
        <v>2411</v>
      </c>
      <c r="B332" s="14" t="s">
        <v>2411</v>
      </c>
      <c r="C332" s="14" t="s">
        <v>1019</v>
      </c>
      <c r="D332" s="14" t="s">
        <v>1503</v>
      </c>
      <c r="E332" s="14" t="s">
        <v>1503</v>
      </c>
      <c r="F332" s="14" t="s">
        <v>1504</v>
      </c>
      <c r="G332" s="14" t="s">
        <v>1048</v>
      </c>
      <c r="H332" s="14"/>
      <c r="I332" s="14" t="s">
        <v>1034</v>
      </c>
      <c r="J332" s="14" t="s">
        <v>1021</v>
      </c>
      <c r="K332" s="14" t="s">
        <v>3611</v>
      </c>
      <c r="L332" s="14" t="s">
        <v>3760</v>
      </c>
      <c r="M332" s="14" t="s">
        <v>3760</v>
      </c>
    </row>
    <row r="333" spans="1:13" ht="29" x14ac:dyDescent="0.35">
      <c r="A333" s="14" t="s">
        <v>2412</v>
      </c>
      <c r="B333" s="14" t="s">
        <v>2412</v>
      </c>
      <c r="C333" s="14" t="s">
        <v>1019</v>
      </c>
      <c r="D333" s="14" t="s">
        <v>1904</v>
      </c>
      <c r="E333" s="14" t="s">
        <v>1904</v>
      </c>
      <c r="F333" s="14" t="s">
        <v>1905</v>
      </c>
      <c r="G333" s="14" t="s">
        <v>1048</v>
      </c>
      <c r="H333" s="14" t="s">
        <v>1906</v>
      </c>
      <c r="I333" s="14" t="s">
        <v>1050</v>
      </c>
      <c r="J333" s="14" t="s">
        <v>1021</v>
      </c>
      <c r="K333" s="14" t="s">
        <v>3611</v>
      </c>
      <c r="L333" s="14" t="s">
        <v>3611</v>
      </c>
      <c r="M333" s="14" t="s">
        <v>3611</v>
      </c>
    </row>
    <row r="334" spans="1:13" x14ac:dyDescent="0.35">
      <c r="A334" s="14" t="s">
        <v>2414</v>
      </c>
      <c r="B334" s="14" t="s">
        <v>2414</v>
      </c>
      <c r="C334" s="14" t="s">
        <v>1019</v>
      </c>
      <c r="D334" s="14" t="s">
        <v>1181</v>
      </c>
      <c r="E334" s="14" t="s">
        <v>1181</v>
      </c>
      <c r="F334" s="14" t="s">
        <v>1182</v>
      </c>
      <c r="G334" s="14" t="s">
        <v>1025</v>
      </c>
      <c r="H334" s="14" t="s">
        <v>1183</v>
      </c>
      <c r="I334" s="14" t="s">
        <v>1025</v>
      </c>
      <c r="J334" s="14" t="s">
        <v>1021</v>
      </c>
      <c r="K334" s="14" t="s">
        <v>3760</v>
      </c>
      <c r="L334" s="14" t="s">
        <v>3760</v>
      </c>
      <c r="M334" s="14" t="s">
        <v>3760</v>
      </c>
    </row>
    <row r="335" spans="1:13" x14ac:dyDescent="0.35">
      <c r="A335" s="14" t="s">
        <v>2417</v>
      </c>
      <c r="B335" s="14" t="s">
        <v>2417</v>
      </c>
      <c r="C335" s="14" t="s">
        <v>1019</v>
      </c>
      <c r="D335" s="14" t="s">
        <v>1701</v>
      </c>
      <c r="E335" s="14" t="s">
        <v>1701</v>
      </c>
      <c r="F335" s="14"/>
      <c r="G335" s="14" t="s">
        <v>1034</v>
      </c>
      <c r="H335" s="14" t="s">
        <v>1702</v>
      </c>
      <c r="I335" s="14" t="s">
        <v>1050</v>
      </c>
      <c r="J335" s="14" t="s">
        <v>1021</v>
      </c>
      <c r="K335" s="14" t="s">
        <v>3611</v>
      </c>
      <c r="L335" s="14" t="s">
        <v>3611</v>
      </c>
      <c r="M335" s="14" t="s">
        <v>3611</v>
      </c>
    </row>
    <row r="336" spans="1:13" ht="43.5" x14ac:dyDescent="0.35">
      <c r="A336" s="14" t="s">
        <v>2424</v>
      </c>
      <c r="B336" s="14" t="s">
        <v>2424</v>
      </c>
      <c r="C336" s="14" t="s">
        <v>1019</v>
      </c>
      <c r="D336" s="14" t="s">
        <v>1254</v>
      </c>
      <c r="E336" s="14" t="s">
        <v>1254</v>
      </c>
      <c r="F336" s="14" t="s">
        <v>1255</v>
      </c>
      <c r="G336" s="14" t="s">
        <v>1048</v>
      </c>
      <c r="H336" s="14" t="s">
        <v>1256</v>
      </c>
      <c r="I336" s="14" t="s">
        <v>1050</v>
      </c>
      <c r="J336" s="14" t="s">
        <v>1021</v>
      </c>
      <c r="K336" s="14" t="s">
        <v>3611</v>
      </c>
      <c r="L336" s="14" t="s">
        <v>3611</v>
      </c>
      <c r="M336" s="14" t="s">
        <v>3611</v>
      </c>
    </row>
    <row r="337" spans="1:13" ht="29" x14ac:dyDescent="0.35">
      <c r="A337" s="14" t="s">
        <v>2425</v>
      </c>
      <c r="B337" s="14" t="s">
        <v>2425</v>
      </c>
      <c r="C337" s="14" t="s">
        <v>1019</v>
      </c>
      <c r="D337" s="14" t="s">
        <v>1662</v>
      </c>
      <c r="E337" s="14" t="s">
        <v>1662</v>
      </c>
      <c r="F337" s="14" t="s">
        <v>1663</v>
      </c>
      <c r="G337" s="14" t="s">
        <v>1048</v>
      </c>
      <c r="H337" s="14" t="s">
        <v>1664</v>
      </c>
      <c r="I337" s="14" t="s">
        <v>1050</v>
      </c>
      <c r="J337" s="14" t="s">
        <v>1021</v>
      </c>
      <c r="K337" s="14" t="s">
        <v>3611</v>
      </c>
      <c r="L337" s="14" t="s">
        <v>3611</v>
      </c>
      <c r="M337" s="14" t="s">
        <v>3611</v>
      </c>
    </row>
    <row r="338" spans="1:13" ht="58" x14ac:dyDescent="0.35">
      <c r="A338" s="14" t="s">
        <v>2427</v>
      </c>
      <c r="B338" s="14" t="s">
        <v>2427</v>
      </c>
      <c r="C338" s="14" t="s">
        <v>1019</v>
      </c>
      <c r="D338" s="14" t="s">
        <v>1305</v>
      </c>
      <c r="E338" s="14" t="s">
        <v>1305</v>
      </c>
      <c r="F338" s="14" t="s">
        <v>1306</v>
      </c>
      <c r="G338" s="14" t="s">
        <v>1023</v>
      </c>
      <c r="H338" s="14" t="s">
        <v>1307</v>
      </c>
      <c r="I338" s="14" t="s">
        <v>1025</v>
      </c>
      <c r="J338" s="14" t="s">
        <v>1021</v>
      </c>
      <c r="K338" s="14" t="s">
        <v>3760</v>
      </c>
      <c r="L338" s="14" t="s">
        <v>3760</v>
      </c>
      <c r="M338" s="14" t="s">
        <v>3760</v>
      </c>
    </row>
    <row r="339" spans="1:13" ht="29" x14ac:dyDescent="0.35">
      <c r="A339" s="14" t="s">
        <v>2429</v>
      </c>
      <c r="B339" s="14" t="s">
        <v>2429</v>
      </c>
      <c r="C339" s="14" t="s">
        <v>1019</v>
      </c>
      <c r="D339" s="14" t="s">
        <v>1226</v>
      </c>
      <c r="E339" s="14" t="s">
        <v>1226</v>
      </c>
      <c r="F339" s="14"/>
      <c r="G339" s="14" t="s">
        <v>1034</v>
      </c>
      <c r="H339" s="14"/>
      <c r="I339" s="14" t="s">
        <v>1034</v>
      </c>
      <c r="J339" s="14" t="s">
        <v>1114</v>
      </c>
      <c r="K339" s="14" t="s">
        <v>3611</v>
      </c>
      <c r="L339" s="14" t="s">
        <v>3611</v>
      </c>
      <c r="M339" s="14" t="s">
        <v>3611</v>
      </c>
    </row>
    <row r="340" spans="1:13" ht="29" x14ac:dyDescent="0.35">
      <c r="A340" s="14" t="s">
        <v>2431</v>
      </c>
      <c r="B340" s="14" t="s">
        <v>2431</v>
      </c>
      <c r="C340" s="14" t="s">
        <v>1019</v>
      </c>
      <c r="D340" s="14" t="s">
        <v>1711</v>
      </c>
      <c r="E340" s="14" t="s">
        <v>1711</v>
      </c>
      <c r="F340" s="14" t="s">
        <v>1712</v>
      </c>
      <c r="G340" s="14" t="s">
        <v>1048</v>
      </c>
      <c r="H340" s="14" t="s">
        <v>1713</v>
      </c>
      <c r="I340" s="14" t="s">
        <v>1050</v>
      </c>
      <c r="J340" s="14" t="s">
        <v>1021</v>
      </c>
      <c r="K340" s="14" t="s">
        <v>3611</v>
      </c>
      <c r="L340" s="14" t="s">
        <v>3611</v>
      </c>
      <c r="M340" s="14" t="s">
        <v>3611</v>
      </c>
    </row>
    <row r="341" spans="1:13" ht="58" x14ac:dyDescent="0.35">
      <c r="A341" s="14" t="s">
        <v>2433</v>
      </c>
      <c r="B341" s="14" t="s">
        <v>2433</v>
      </c>
      <c r="C341" s="14" t="s">
        <v>1019</v>
      </c>
      <c r="D341" s="14" t="s">
        <v>1915</v>
      </c>
      <c r="E341" s="14" t="s">
        <v>1915</v>
      </c>
      <c r="F341" s="14" t="s">
        <v>1916</v>
      </c>
      <c r="G341" s="14" t="s">
        <v>1023</v>
      </c>
      <c r="H341" s="14" t="s">
        <v>1917</v>
      </c>
      <c r="I341" s="14" t="s">
        <v>1025</v>
      </c>
      <c r="J341" s="14" t="s">
        <v>1021</v>
      </c>
      <c r="K341" s="14" t="s">
        <v>3760</v>
      </c>
      <c r="L341" s="14" t="s">
        <v>3760</v>
      </c>
      <c r="M341" s="14" t="s">
        <v>3760</v>
      </c>
    </row>
    <row r="342" spans="1:13" ht="29" x14ac:dyDescent="0.35">
      <c r="A342" s="14" t="s">
        <v>2434</v>
      </c>
      <c r="B342" s="14" t="s">
        <v>2434</v>
      </c>
      <c r="C342" s="14" t="s">
        <v>1019</v>
      </c>
      <c r="D342" s="14" t="s">
        <v>1512</v>
      </c>
      <c r="E342" s="14" t="s">
        <v>1512</v>
      </c>
      <c r="F342" s="14" t="s">
        <v>1513</v>
      </c>
      <c r="G342" s="14" t="s">
        <v>1048</v>
      </c>
      <c r="H342" s="14" t="s">
        <v>1514</v>
      </c>
      <c r="I342" s="14" t="s">
        <v>1025</v>
      </c>
      <c r="J342" s="14" t="s">
        <v>1021</v>
      </c>
      <c r="K342" s="14" t="s">
        <v>3760</v>
      </c>
      <c r="L342" s="14" t="s">
        <v>3760</v>
      </c>
      <c r="M342" s="14" t="s">
        <v>3760</v>
      </c>
    </row>
    <row r="343" spans="1:13" x14ac:dyDescent="0.35">
      <c r="A343" s="14" t="s">
        <v>2436</v>
      </c>
      <c r="B343" s="14" t="s">
        <v>2436</v>
      </c>
      <c r="C343" s="14" t="s">
        <v>1019</v>
      </c>
      <c r="D343" s="14" t="s">
        <v>2164</v>
      </c>
      <c r="E343" s="14" t="s">
        <v>2164</v>
      </c>
      <c r="F343" s="14" t="s">
        <v>2165</v>
      </c>
      <c r="G343" s="14" t="s">
        <v>1025</v>
      </c>
      <c r="H343" s="14" t="s">
        <v>2166</v>
      </c>
      <c r="I343" s="14" t="s">
        <v>1025</v>
      </c>
      <c r="J343" s="14" t="s">
        <v>1021</v>
      </c>
      <c r="K343" s="14" t="s">
        <v>3589</v>
      </c>
      <c r="L343" s="14" t="s">
        <v>2832</v>
      </c>
      <c r="M343" s="14" t="s">
        <v>2832</v>
      </c>
    </row>
    <row r="344" spans="1:13" ht="29" x14ac:dyDescent="0.35">
      <c r="A344" s="14" t="s">
        <v>2438</v>
      </c>
      <c r="B344" s="14" t="s">
        <v>2438</v>
      </c>
      <c r="C344" s="14" t="s">
        <v>1019</v>
      </c>
      <c r="D344" s="14" t="s">
        <v>1821</v>
      </c>
      <c r="E344" s="14" t="s">
        <v>1821</v>
      </c>
      <c r="F344" s="14"/>
      <c r="G344" s="14" t="s">
        <v>1034</v>
      </c>
      <c r="H344" s="14"/>
      <c r="I344" s="14" t="s">
        <v>1034</v>
      </c>
      <c r="J344" s="14" t="s">
        <v>1114</v>
      </c>
      <c r="K344" s="14" t="s">
        <v>3611</v>
      </c>
      <c r="L344" s="14" t="s">
        <v>3611</v>
      </c>
      <c r="M344" s="14" t="s">
        <v>3611</v>
      </c>
    </row>
    <row r="345" spans="1:13" ht="29" x14ac:dyDescent="0.35">
      <c r="A345" s="14" t="s">
        <v>2439</v>
      </c>
      <c r="B345" s="14" t="s">
        <v>2439</v>
      </c>
      <c r="C345" s="14" t="s">
        <v>1019</v>
      </c>
      <c r="D345" s="14" t="s">
        <v>1389</v>
      </c>
      <c r="E345" s="14" t="s">
        <v>1389</v>
      </c>
      <c r="F345" s="14" t="s">
        <v>1390</v>
      </c>
      <c r="G345" s="14" t="s">
        <v>1048</v>
      </c>
      <c r="H345" s="14" t="s">
        <v>1391</v>
      </c>
      <c r="I345" s="14" t="s">
        <v>1050</v>
      </c>
      <c r="J345" s="14" t="s">
        <v>1021</v>
      </c>
      <c r="K345" s="14" t="s">
        <v>3611</v>
      </c>
      <c r="L345" s="14" t="s">
        <v>3611</v>
      </c>
      <c r="M345" s="14" t="s">
        <v>3611</v>
      </c>
    </row>
    <row r="346" spans="1:13" ht="43.5" x14ac:dyDescent="0.35">
      <c r="A346" s="14" t="s">
        <v>2440</v>
      </c>
      <c r="B346" s="14" t="s">
        <v>2440</v>
      </c>
      <c r="C346" s="14" t="s">
        <v>1019</v>
      </c>
      <c r="D346" s="14" t="s">
        <v>1744</v>
      </c>
      <c r="E346" s="14" t="s">
        <v>1744</v>
      </c>
      <c r="F346" s="14" t="s">
        <v>1745</v>
      </c>
      <c r="G346" s="14" t="s">
        <v>1048</v>
      </c>
      <c r="H346" s="14" t="s">
        <v>1746</v>
      </c>
      <c r="I346" s="14" t="s">
        <v>1050</v>
      </c>
      <c r="J346" s="14" t="s">
        <v>1021</v>
      </c>
      <c r="K346" s="14" t="s">
        <v>3611</v>
      </c>
      <c r="L346" s="14" t="s">
        <v>3611</v>
      </c>
      <c r="M346" s="14" t="s">
        <v>3611</v>
      </c>
    </row>
    <row r="347" spans="1:13" ht="29" x14ac:dyDescent="0.35">
      <c r="A347" s="14" t="s">
        <v>2441</v>
      </c>
      <c r="B347" s="14" t="s">
        <v>2441</v>
      </c>
      <c r="C347" s="14" t="s">
        <v>1019</v>
      </c>
      <c r="D347" s="14" t="s">
        <v>1248</v>
      </c>
      <c r="E347" s="14" t="s">
        <v>1248</v>
      </c>
      <c r="F347" s="14"/>
      <c r="G347" s="14" t="s">
        <v>1034</v>
      </c>
      <c r="H347" s="14"/>
      <c r="I347" s="14" t="s">
        <v>1034</v>
      </c>
      <c r="J347" s="14" t="s">
        <v>1114</v>
      </c>
      <c r="K347" s="14" t="s">
        <v>3611</v>
      </c>
      <c r="L347" s="14" t="s">
        <v>3611</v>
      </c>
      <c r="M347" s="14" t="s">
        <v>3611</v>
      </c>
    </row>
    <row r="348" spans="1:13" ht="29" x14ac:dyDescent="0.35">
      <c r="A348" s="14" t="s">
        <v>2442</v>
      </c>
      <c r="B348" s="14" t="s">
        <v>2442</v>
      </c>
      <c r="C348" s="14" t="s">
        <v>1019</v>
      </c>
      <c r="D348" s="14" t="s">
        <v>1251</v>
      </c>
      <c r="E348" s="14" t="s">
        <v>1251</v>
      </c>
      <c r="F348" s="14"/>
      <c r="G348" s="14" t="s">
        <v>1034</v>
      </c>
      <c r="H348" s="14"/>
      <c r="I348" s="14" t="s">
        <v>1034</v>
      </c>
      <c r="J348" s="14" t="s">
        <v>1114</v>
      </c>
      <c r="K348" s="14" t="s">
        <v>3611</v>
      </c>
      <c r="L348" s="14" t="s">
        <v>3611</v>
      </c>
      <c r="M348" s="14" t="s">
        <v>3611</v>
      </c>
    </row>
    <row r="349" spans="1:13" x14ac:dyDescent="0.35">
      <c r="A349" s="14" t="s">
        <v>2443</v>
      </c>
      <c r="B349" s="14" t="s">
        <v>2443</v>
      </c>
      <c r="C349" s="14" t="s">
        <v>1019</v>
      </c>
      <c r="D349" s="14" t="s">
        <v>1399</v>
      </c>
      <c r="E349" s="14" t="s">
        <v>1399</v>
      </c>
      <c r="F349" s="14" t="s">
        <v>1400</v>
      </c>
      <c r="G349" s="14" t="s">
        <v>1050</v>
      </c>
      <c r="H349" s="14" t="s">
        <v>1401</v>
      </c>
      <c r="I349" s="14" t="s">
        <v>1050</v>
      </c>
      <c r="J349" s="14" t="s">
        <v>1021</v>
      </c>
      <c r="K349" s="14" t="s">
        <v>3611</v>
      </c>
      <c r="L349" s="14" t="s">
        <v>3611</v>
      </c>
      <c r="M349" s="14" t="s">
        <v>3611</v>
      </c>
    </row>
    <row r="350" spans="1:13" ht="29" x14ac:dyDescent="0.35">
      <c r="A350" s="14" t="s">
        <v>2444</v>
      </c>
      <c r="B350" s="14" t="s">
        <v>2444</v>
      </c>
      <c r="C350" s="14" t="s">
        <v>1019</v>
      </c>
      <c r="D350" s="14" t="s">
        <v>1369</v>
      </c>
      <c r="E350" s="14" t="s">
        <v>1369</v>
      </c>
      <c r="F350" s="14"/>
      <c r="G350" s="14" t="s">
        <v>1034</v>
      </c>
      <c r="H350" s="14"/>
      <c r="I350" s="14" t="s">
        <v>1034</v>
      </c>
      <c r="J350" s="14" t="s">
        <v>1114</v>
      </c>
      <c r="K350" s="14" t="s">
        <v>3611</v>
      </c>
      <c r="L350" s="14" t="s">
        <v>3611</v>
      </c>
      <c r="M350" s="14" t="s">
        <v>3611</v>
      </c>
    </row>
    <row r="351" spans="1:13" ht="29" x14ac:dyDescent="0.35">
      <c r="A351" s="14" t="s">
        <v>2445</v>
      </c>
      <c r="B351" s="14" t="s">
        <v>2445</v>
      </c>
      <c r="C351" s="14" t="s">
        <v>1019</v>
      </c>
      <c r="D351" s="14" t="s">
        <v>1731</v>
      </c>
      <c r="E351" s="14" t="s">
        <v>1731</v>
      </c>
      <c r="F351" s="14"/>
      <c r="G351" s="14" t="s">
        <v>1034</v>
      </c>
      <c r="H351" s="14"/>
      <c r="I351" s="14" t="s">
        <v>1034</v>
      </c>
      <c r="J351" s="14" t="s">
        <v>1114</v>
      </c>
      <c r="K351" s="14" t="s">
        <v>3611</v>
      </c>
      <c r="L351" s="14" t="s">
        <v>3611</v>
      </c>
      <c r="M351" s="14" t="s">
        <v>3611</v>
      </c>
    </row>
    <row r="352" spans="1:13" ht="29" x14ac:dyDescent="0.35">
      <c r="A352" s="14" t="s">
        <v>2446</v>
      </c>
      <c r="B352" s="14" t="s">
        <v>2446</v>
      </c>
      <c r="C352" s="14" t="s">
        <v>1019</v>
      </c>
      <c r="D352" s="14" t="s">
        <v>1726</v>
      </c>
      <c r="E352" s="14" t="s">
        <v>1726</v>
      </c>
      <c r="F352" s="14" t="s">
        <v>1727</v>
      </c>
      <c r="G352" s="14" t="s">
        <v>1048</v>
      </c>
      <c r="H352" s="14" t="s">
        <v>1728</v>
      </c>
      <c r="I352" s="14" t="s">
        <v>1050</v>
      </c>
      <c r="J352" s="14" t="s">
        <v>1021</v>
      </c>
      <c r="K352" s="14" t="s">
        <v>3611</v>
      </c>
      <c r="L352" s="14" t="s">
        <v>3611</v>
      </c>
      <c r="M352" s="14" t="s">
        <v>3611</v>
      </c>
    </row>
    <row r="353" spans="1:13" x14ac:dyDescent="0.35">
      <c r="A353" s="14" t="s">
        <v>2447</v>
      </c>
      <c r="B353" s="14" t="s">
        <v>2447</v>
      </c>
      <c r="C353" s="14" t="s">
        <v>1019</v>
      </c>
      <c r="D353" s="14" t="s">
        <v>1356</v>
      </c>
      <c r="E353" s="14" t="s">
        <v>1356</v>
      </c>
      <c r="F353" s="14" t="s">
        <v>1779</v>
      </c>
      <c r="G353" s="14" t="s">
        <v>1025</v>
      </c>
      <c r="H353" s="14" t="s">
        <v>1358</v>
      </c>
      <c r="I353" s="14" t="s">
        <v>1025</v>
      </c>
      <c r="J353" s="14" t="s">
        <v>1021</v>
      </c>
      <c r="K353" s="14" t="s">
        <v>3589</v>
      </c>
      <c r="L353" s="14" t="s">
        <v>3589</v>
      </c>
      <c r="M353" s="14" t="s">
        <v>3589</v>
      </c>
    </row>
    <row r="354" spans="1:13" x14ac:dyDescent="0.35">
      <c r="A354" s="14" t="s">
        <v>2450</v>
      </c>
      <c r="B354" s="14" t="s">
        <v>2450</v>
      </c>
      <c r="C354" s="14" t="s">
        <v>1019</v>
      </c>
      <c r="D354" s="14" t="s">
        <v>1484</v>
      </c>
      <c r="E354" s="14" t="s">
        <v>1484</v>
      </c>
      <c r="F354" s="14" t="s">
        <v>1485</v>
      </c>
      <c r="G354" s="14" t="s">
        <v>1050</v>
      </c>
      <c r="H354" s="14" t="s">
        <v>1486</v>
      </c>
      <c r="I354" s="14" t="s">
        <v>1050</v>
      </c>
      <c r="J354" s="14" t="s">
        <v>1021</v>
      </c>
      <c r="K354" s="14" t="s">
        <v>3611</v>
      </c>
      <c r="L354" s="14" t="s">
        <v>3611</v>
      </c>
      <c r="M354" s="14" t="s">
        <v>3611</v>
      </c>
    </row>
    <row r="355" spans="1:13" ht="29" x14ac:dyDescent="0.35">
      <c r="A355" s="14" t="s">
        <v>2451</v>
      </c>
      <c r="B355" s="14" t="s">
        <v>2451</v>
      </c>
      <c r="C355" s="14" t="s">
        <v>1019</v>
      </c>
      <c r="D355" s="14" t="s">
        <v>1771</v>
      </c>
      <c r="E355" s="14" t="s">
        <v>1771</v>
      </c>
      <c r="F355" s="14" t="s">
        <v>1772</v>
      </c>
      <c r="G355" s="14" t="s">
        <v>1048</v>
      </c>
      <c r="H355" s="14" t="s">
        <v>1773</v>
      </c>
      <c r="I355" s="14" t="s">
        <v>1050</v>
      </c>
      <c r="J355" s="14" t="s">
        <v>1021</v>
      </c>
      <c r="K355" s="14" t="s">
        <v>3611</v>
      </c>
      <c r="L355" s="14" t="s">
        <v>3611</v>
      </c>
      <c r="M355" s="14" t="s">
        <v>3611</v>
      </c>
    </row>
    <row r="356" spans="1:13" ht="29" x14ac:dyDescent="0.35">
      <c r="A356" s="14" t="s">
        <v>2453</v>
      </c>
      <c r="B356" s="14" t="s">
        <v>2453</v>
      </c>
      <c r="C356" s="14" t="s">
        <v>1019</v>
      </c>
      <c r="D356" s="14"/>
      <c r="E356" s="14"/>
      <c r="F356" s="14"/>
      <c r="G356" s="14" t="s">
        <v>1034</v>
      </c>
      <c r="H356" s="14"/>
      <c r="I356" s="14" t="s">
        <v>1034</v>
      </c>
      <c r="J356" s="14" t="s">
        <v>1123</v>
      </c>
      <c r="K356" s="14"/>
      <c r="L356" s="14"/>
      <c r="M356" s="14"/>
    </row>
    <row r="357" spans="1:13" ht="43.5" x14ac:dyDescent="0.35">
      <c r="A357" s="14" t="s">
        <v>2454</v>
      </c>
      <c r="B357" s="14" t="s">
        <v>2454</v>
      </c>
      <c r="C357" s="14" t="s">
        <v>1019</v>
      </c>
      <c r="D357" s="14" t="s">
        <v>1186</v>
      </c>
      <c r="E357" s="14" t="s">
        <v>1186</v>
      </c>
      <c r="F357" s="14" t="s">
        <v>1187</v>
      </c>
      <c r="G357" s="14" t="s">
        <v>1023</v>
      </c>
      <c r="H357" s="14" t="s">
        <v>1188</v>
      </c>
      <c r="I357" s="14" t="s">
        <v>1025</v>
      </c>
      <c r="J357" s="14" t="s">
        <v>1021</v>
      </c>
      <c r="K357" s="14" t="s">
        <v>3589</v>
      </c>
      <c r="L357" s="14" t="s">
        <v>3589</v>
      </c>
      <c r="M357" s="14" t="s">
        <v>2832</v>
      </c>
    </row>
    <row r="358" spans="1:13" ht="58" x14ac:dyDescent="0.35">
      <c r="A358" s="14" t="s">
        <v>2456</v>
      </c>
      <c r="B358" s="14" t="s">
        <v>2456</v>
      </c>
      <c r="C358" s="14" t="s">
        <v>1019</v>
      </c>
      <c r="D358" s="14" t="s">
        <v>1351</v>
      </c>
      <c r="E358" s="14" t="s">
        <v>1351</v>
      </c>
      <c r="F358" s="14" t="s">
        <v>1352</v>
      </c>
      <c r="G358" s="14" t="s">
        <v>1023</v>
      </c>
      <c r="H358" s="14" t="s">
        <v>1353</v>
      </c>
      <c r="I358" s="14" t="s">
        <v>1025</v>
      </c>
      <c r="J358" s="14" t="s">
        <v>1021</v>
      </c>
      <c r="K358" s="14" t="s">
        <v>3611</v>
      </c>
      <c r="L358" s="14" t="s">
        <v>2911</v>
      </c>
      <c r="M358" s="14" t="s">
        <v>2911</v>
      </c>
    </row>
    <row r="359" spans="1:13" ht="29" x14ac:dyDescent="0.35">
      <c r="A359" s="14" t="s">
        <v>2458</v>
      </c>
      <c r="B359" s="14" t="s">
        <v>2458</v>
      </c>
      <c r="C359" s="14" t="s">
        <v>1019</v>
      </c>
      <c r="D359" s="14" t="s">
        <v>1800</v>
      </c>
      <c r="E359" s="14" t="s">
        <v>1800</v>
      </c>
      <c r="F359" s="14" t="s">
        <v>1801</v>
      </c>
      <c r="G359" s="14" t="s">
        <v>1050</v>
      </c>
      <c r="H359" s="14" t="s">
        <v>1802</v>
      </c>
      <c r="I359" s="14" t="s">
        <v>1048</v>
      </c>
      <c r="J359" s="14" t="s">
        <v>1021</v>
      </c>
      <c r="K359" s="14" t="s">
        <v>3611</v>
      </c>
      <c r="L359" s="14" t="s">
        <v>3611</v>
      </c>
      <c r="M359" s="14" t="s">
        <v>3611</v>
      </c>
    </row>
    <row r="360" spans="1:13" ht="101.5" x14ac:dyDescent="0.35">
      <c r="A360" s="14" t="s">
        <v>2461</v>
      </c>
      <c r="B360" s="14" t="s">
        <v>2461</v>
      </c>
      <c r="C360" s="14" t="s">
        <v>1019</v>
      </c>
      <c r="D360" s="14" t="s">
        <v>1851</v>
      </c>
      <c r="E360" s="14" t="s">
        <v>1851</v>
      </c>
      <c r="F360" s="14" t="s">
        <v>1852</v>
      </c>
      <c r="G360" s="14" t="s">
        <v>1048</v>
      </c>
      <c r="H360" s="14" t="s">
        <v>1853</v>
      </c>
      <c r="I360" s="14" t="s">
        <v>1050</v>
      </c>
      <c r="J360" s="14" t="s">
        <v>1021</v>
      </c>
      <c r="K360" s="14" t="s">
        <v>3611</v>
      </c>
      <c r="L360" s="14" t="s">
        <v>3611</v>
      </c>
      <c r="M360" s="14" t="s">
        <v>3611</v>
      </c>
    </row>
    <row r="361" spans="1:13" x14ac:dyDescent="0.35">
      <c r="A361" s="14" t="s">
        <v>2464</v>
      </c>
      <c r="B361" s="14" t="s">
        <v>2464</v>
      </c>
      <c r="C361" s="14" t="s">
        <v>1019</v>
      </c>
      <c r="D361" s="14" t="s">
        <v>1645</v>
      </c>
      <c r="E361" s="14" t="s">
        <v>1645</v>
      </c>
      <c r="F361" s="14" t="s">
        <v>1646</v>
      </c>
      <c r="G361" s="14" t="s">
        <v>1050</v>
      </c>
      <c r="H361" s="14" t="s">
        <v>1647</v>
      </c>
      <c r="I361" s="14" t="s">
        <v>1050</v>
      </c>
      <c r="J361" s="14" t="s">
        <v>1021</v>
      </c>
      <c r="K361" s="14" t="s">
        <v>3611</v>
      </c>
      <c r="L361" s="14" t="s">
        <v>3611</v>
      </c>
      <c r="M361" s="14" t="s">
        <v>3611</v>
      </c>
    </row>
    <row r="362" spans="1:13" x14ac:dyDescent="0.35">
      <c r="A362" s="14" t="s">
        <v>2465</v>
      </c>
      <c r="B362" s="14" t="s">
        <v>2465</v>
      </c>
      <c r="C362" s="14" t="s">
        <v>1019</v>
      </c>
      <c r="D362" s="14" t="s">
        <v>1335</v>
      </c>
      <c r="E362" s="14" t="s">
        <v>1335</v>
      </c>
      <c r="F362" s="14" t="s">
        <v>1336</v>
      </c>
      <c r="G362" s="14" t="s">
        <v>1050</v>
      </c>
      <c r="H362" s="14" t="s">
        <v>1337</v>
      </c>
      <c r="I362" s="14" t="s">
        <v>1050</v>
      </c>
      <c r="J362" s="14" t="s">
        <v>1021</v>
      </c>
      <c r="K362" s="14" t="s">
        <v>3611</v>
      </c>
      <c r="L362" s="14" t="s">
        <v>3611</v>
      </c>
      <c r="M362" s="14" t="s">
        <v>3611</v>
      </c>
    </row>
    <row r="363" spans="1:13" x14ac:dyDescent="0.35">
      <c r="A363" s="14" t="s">
        <v>2467</v>
      </c>
      <c r="B363" s="14" t="s">
        <v>2467</v>
      </c>
      <c r="C363" s="14" t="s">
        <v>1019</v>
      </c>
      <c r="D363" s="14" t="s">
        <v>1937</v>
      </c>
      <c r="E363" s="14" t="s">
        <v>1937</v>
      </c>
      <c r="F363" s="14" t="s">
        <v>1938</v>
      </c>
      <c r="G363" s="14" t="s">
        <v>1050</v>
      </c>
      <c r="H363" s="14" t="s">
        <v>1939</v>
      </c>
      <c r="I363" s="14" t="s">
        <v>1050</v>
      </c>
      <c r="J363" s="14" t="s">
        <v>1021</v>
      </c>
      <c r="K363" s="14" t="s">
        <v>3764</v>
      </c>
      <c r="L363" s="14" t="s">
        <v>3611</v>
      </c>
      <c r="M363" s="14" t="s">
        <v>3611</v>
      </c>
    </row>
    <row r="364" spans="1:13" x14ac:dyDescent="0.35">
      <c r="A364" s="14" t="s">
        <v>2468</v>
      </c>
      <c r="B364" s="14" t="s">
        <v>2468</v>
      </c>
      <c r="C364" s="14" t="s">
        <v>1019</v>
      </c>
      <c r="D364" s="14" t="s">
        <v>1176</v>
      </c>
      <c r="E364" s="14" t="s">
        <v>1176</v>
      </c>
      <c r="F364" s="14" t="s">
        <v>1177</v>
      </c>
      <c r="G364" s="14" t="s">
        <v>1025</v>
      </c>
      <c r="H364" s="14" t="s">
        <v>1178</v>
      </c>
      <c r="I364" s="14" t="s">
        <v>1025</v>
      </c>
      <c r="J364" s="14" t="s">
        <v>1021</v>
      </c>
      <c r="K364" s="14" t="s">
        <v>3760</v>
      </c>
      <c r="L364" s="14" t="s">
        <v>3760</v>
      </c>
      <c r="M364" s="14" t="s">
        <v>3760</v>
      </c>
    </row>
    <row r="365" spans="1:13" ht="29" x14ac:dyDescent="0.35">
      <c r="A365" s="14" t="s">
        <v>2470</v>
      </c>
      <c r="B365" s="14" t="s">
        <v>2470</v>
      </c>
      <c r="C365" s="14" t="s">
        <v>1019</v>
      </c>
      <c r="D365" s="14" t="s">
        <v>1346</v>
      </c>
      <c r="E365" s="14" t="s">
        <v>1346</v>
      </c>
      <c r="F365" s="14" t="s">
        <v>1347</v>
      </c>
      <c r="G365" s="14" t="s">
        <v>1048</v>
      </c>
      <c r="H365" s="14" t="s">
        <v>1348</v>
      </c>
      <c r="I365" s="14" t="s">
        <v>1050</v>
      </c>
      <c r="J365" s="14" t="s">
        <v>1021</v>
      </c>
      <c r="K365" s="14" t="s">
        <v>3611</v>
      </c>
      <c r="L365" s="14" t="s">
        <v>3611</v>
      </c>
      <c r="M365" s="14" t="s">
        <v>3611</v>
      </c>
    </row>
    <row r="366" spans="1:13" ht="43.5" x14ac:dyDescent="0.35">
      <c r="A366" s="14" t="s">
        <v>2471</v>
      </c>
      <c r="B366" s="14" t="s">
        <v>2471</v>
      </c>
      <c r="C366" s="14" t="s">
        <v>1019</v>
      </c>
      <c r="D366" s="14" t="s">
        <v>1341</v>
      </c>
      <c r="E366" s="14" t="s">
        <v>1341</v>
      </c>
      <c r="F366" s="14" t="s">
        <v>1342</v>
      </c>
      <c r="G366" s="14" t="s">
        <v>1048</v>
      </c>
      <c r="H366" s="14" t="s">
        <v>1343</v>
      </c>
      <c r="I366" s="14" t="s">
        <v>1050</v>
      </c>
      <c r="J366" s="14" t="s">
        <v>1021</v>
      </c>
      <c r="K366" s="14" t="s">
        <v>3611</v>
      </c>
      <c r="L366" s="14" t="s">
        <v>3611</v>
      </c>
      <c r="M366" s="14" t="s">
        <v>3611</v>
      </c>
    </row>
    <row r="367" spans="1:13" ht="29" x14ac:dyDescent="0.35">
      <c r="A367" s="14" t="s">
        <v>2473</v>
      </c>
      <c r="B367" s="14" t="s">
        <v>2473</v>
      </c>
      <c r="C367" s="14" t="s">
        <v>1019</v>
      </c>
      <c r="D367" s="14" t="s">
        <v>1296</v>
      </c>
      <c r="E367" s="14" t="s">
        <v>1296</v>
      </c>
      <c r="F367" s="14" t="s">
        <v>1297</v>
      </c>
      <c r="G367" s="14" t="s">
        <v>1048</v>
      </c>
      <c r="H367" s="14" t="s">
        <v>1298</v>
      </c>
      <c r="I367" s="14" t="s">
        <v>1050</v>
      </c>
      <c r="J367" s="14" t="s">
        <v>1021</v>
      </c>
      <c r="K367" s="14" t="s">
        <v>3611</v>
      </c>
      <c r="L367" s="14" t="s">
        <v>3611</v>
      </c>
      <c r="M367" s="14" t="s">
        <v>3611</v>
      </c>
    </row>
    <row r="368" spans="1:13" ht="43.5" x14ac:dyDescent="0.35">
      <c r="A368" s="14" t="s">
        <v>2476</v>
      </c>
      <c r="B368" s="14" t="s">
        <v>2476</v>
      </c>
      <c r="C368" s="14" t="s">
        <v>1019</v>
      </c>
      <c r="D368" s="14" t="s">
        <v>1130</v>
      </c>
      <c r="E368" s="14" t="s">
        <v>1130</v>
      </c>
      <c r="F368" s="14" t="s">
        <v>1131</v>
      </c>
      <c r="G368" s="14" t="s">
        <v>1048</v>
      </c>
      <c r="H368" s="14" t="s">
        <v>1132</v>
      </c>
      <c r="I368" s="14" t="s">
        <v>1050</v>
      </c>
      <c r="J368" s="14" t="s">
        <v>1021</v>
      </c>
      <c r="K368" s="14" t="s">
        <v>3611</v>
      </c>
      <c r="L368" s="14" t="s">
        <v>3611</v>
      </c>
      <c r="M368" s="14" t="s">
        <v>3611</v>
      </c>
    </row>
    <row r="369" spans="1:13" x14ac:dyDescent="0.35">
      <c r="A369" s="14" t="s">
        <v>2477</v>
      </c>
      <c r="B369" s="14" t="s">
        <v>2477</v>
      </c>
      <c r="C369" s="14" t="s">
        <v>1019</v>
      </c>
      <c r="D369" s="14" t="s">
        <v>1909</v>
      </c>
      <c r="E369" s="14" t="s">
        <v>1909</v>
      </c>
      <c r="F369" s="14" t="s">
        <v>1910</v>
      </c>
      <c r="G369" s="14" t="s">
        <v>1050</v>
      </c>
      <c r="H369" s="14" t="s">
        <v>1911</v>
      </c>
      <c r="I369" s="14" t="s">
        <v>1050</v>
      </c>
      <c r="J369" s="14" t="s">
        <v>1021</v>
      </c>
      <c r="K369" s="14" t="s">
        <v>3611</v>
      </c>
      <c r="L369" s="14" t="s">
        <v>3611</v>
      </c>
      <c r="M369" s="14" t="s">
        <v>3611</v>
      </c>
    </row>
    <row r="370" spans="1:13" ht="29" x14ac:dyDescent="0.35">
      <c r="A370" s="14" t="s">
        <v>2478</v>
      </c>
      <c r="B370" s="14" t="s">
        <v>2478</v>
      </c>
      <c r="C370" s="14" t="s">
        <v>1019</v>
      </c>
      <c r="D370" s="14" t="s">
        <v>1580</v>
      </c>
      <c r="E370" s="14" t="s">
        <v>1580</v>
      </c>
      <c r="F370" s="14" t="s">
        <v>1581</v>
      </c>
      <c r="G370" s="14" t="s">
        <v>1048</v>
      </c>
      <c r="H370" s="14" t="s">
        <v>1582</v>
      </c>
      <c r="I370" s="14" t="s">
        <v>1025</v>
      </c>
      <c r="J370" s="14" t="s">
        <v>1021</v>
      </c>
      <c r="K370" s="14" t="s">
        <v>3760</v>
      </c>
      <c r="L370" s="14" t="s">
        <v>3760</v>
      </c>
      <c r="M370" s="14" t="s">
        <v>3760</v>
      </c>
    </row>
    <row r="371" spans="1:13" x14ac:dyDescent="0.35">
      <c r="A371" s="14" t="s">
        <v>2480</v>
      </c>
      <c r="B371" s="14" t="s">
        <v>2480</v>
      </c>
      <c r="C371" s="14" t="s">
        <v>1019</v>
      </c>
      <c r="D371" s="14" t="s">
        <v>2481</v>
      </c>
      <c r="E371" s="14" t="s">
        <v>2481</v>
      </c>
      <c r="F371" s="14" t="s">
        <v>2482</v>
      </c>
      <c r="G371" s="14" t="s">
        <v>1050</v>
      </c>
      <c r="H371" s="14"/>
      <c r="I371" s="14" t="s">
        <v>1034</v>
      </c>
      <c r="J371" s="14" t="s">
        <v>1021</v>
      </c>
      <c r="K371" s="14" t="s">
        <v>3611</v>
      </c>
      <c r="L371" s="14" t="s">
        <v>3611</v>
      </c>
      <c r="M371" s="14" t="s">
        <v>3611</v>
      </c>
    </row>
    <row r="372" spans="1:13" ht="58" x14ac:dyDescent="0.35">
      <c r="A372" s="14" t="s">
        <v>2483</v>
      </c>
      <c r="B372" s="14" t="s">
        <v>2483</v>
      </c>
      <c r="C372" s="14" t="s">
        <v>1019</v>
      </c>
      <c r="D372" s="14" t="s">
        <v>1351</v>
      </c>
      <c r="E372" s="14" t="s">
        <v>1351</v>
      </c>
      <c r="F372" s="14" t="s">
        <v>1352</v>
      </c>
      <c r="G372" s="14" t="s">
        <v>1023</v>
      </c>
      <c r="H372" s="14" t="s">
        <v>1353</v>
      </c>
      <c r="I372" s="14" t="s">
        <v>1025</v>
      </c>
      <c r="J372" s="14" t="s">
        <v>1021</v>
      </c>
      <c r="K372" s="14" t="s">
        <v>3611</v>
      </c>
      <c r="L372" s="14" t="s">
        <v>2911</v>
      </c>
      <c r="M372" s="14" t="s">
        <v>2911</v>
      </c>
    </row>
    <row r="373" spans="1:13" ht="58" x14ac:dyDescent="0.35">
      <c r="A373" s="14" t="s">
        <v>2484</v>
      </c>
      <c r="B373" s="14" t="s">
        <v>2484</v>
      </c>
      <c r="C373" s="14" t="s">
        <v>1019</v>
      </c>
      <c r="D373" s="14" t="s">
        <v>1898</v>
      </c>
      <c r="E373" s="14" t="s">
        <v>1898</v>
      </c>
      <c r="F373" s="14" t="s">
        <v>1899</v>
      </c>
      <c r="G373" s="14" t="s">
        <v>1048</v>
      </c>
      <c r="H373" s="14" t="s">
        <v>1900</v>
      </c>
      <c r="I373" s="14" t="s">
        <v>1050</v>
      </c>
      <c r="J373" s="14" t="s">
        <v>1021</v>
      </c>
      <c r="K373" s="14" t="s">
        <v>3611</v>
      </c>
      <c r="L373" s="14" t="s">
        <v>3611</v>
      </c>
      <c r="M373" s="14" t="s">
        <v>3611</v>
      </c>
    </row>
    <row r="374" spans="1:13" ht="43.5" x14ac:dyDescent="0.35">
      <c r="A374" s="14" t="s">
        <v>2486</v>
      </c>
      <c r="B374" s="14" t="s">
        <v>2486</v>
      </c>
      <c r="C374" s="14" t="s">
        <v>1019</v>
      </c>
      <c r="D374" s="14" t="s">
        <v>1469</v>
      </c>
      <c r="E374" s="14" t="s">
        <v>1469</v>
      </c>
      <c r="F374" s="14" t="s">
        <v>1470</v>
      </c>
      <c r="G374" s="14" t="s">
        <v>1048</v>
      </c>
      <c r="H374" s="14" t="s">
        <v>1471</v>
      </c>
      <c r="I374" s="14" t="s">
        <v>1050</v>
      </c>
      <c r="J374" s="14" t="s">
        <v>1021</v>
      </c>
      <c r="K374" s="14" t="s">
        <v>3611</v>
      </c>
      <c r="L374" s="14" t="s">
        <v>3611</v>
      </c>
      <c r="M374" s="14" t="s">
        <v>3611</v>
      </c>
    </row>
    <row r="375" spans="1:13" ht="29" x14ac:dyDescent="0.35">
      <c r="A375" s="14" t="s">
        <v>2490</v>
      </c>
      <c r="B375" s="14" t="s">
        <v>2490</v>
      </c>
      <c r="C375" s="14" t="s">
        <v>1019</v>
      </c>
      <c r="D375" s="14" t="s">
        <v>1868</v>
      </c>
      <c r="E375" s="14" t="s">
        <v>1868</v>
      </c>
      <c r="F375" s="14"/>
      <c r="G375" s="14" t="s">
        <v>1034</v>
      </c>
      <c r="H375" s="14"/>
      <c r="I375" s="14" t="s">
        <v>1034</v>
      </c>
      <c r="J375" s="14" t="s">
        <v>1114</v>
      </c>
      <c r="K375" s="14" t="s">
        <v>3611</v>
      </c>
      <c r="L375" s="14" t="s">
        <v>3611</v>
      </c>
      <c r="M375" s="14" t="s">
        <v>3611</v>
      </c>
    </row>
    <row r="376" spans="1:13" ht="29" x14ac:dyDescent="0.35">
      <c r="A376" s="14" t="s">
        <v>2492</v>
      </c>
      <c r="B376" s="14" t="s">
        <v>2492</v>
      </c>
      <c r="C376" s="14" t="s">
        <v>1019</v>
      </c>
      <c r="D376" s="14" t="s">
        <v>1166</v>
      </c>
      <c r="E376" s="14" t="s">
        <v>1166</v>
      </c>
      <c r="F376" s="14" t="s">
        <v>1167</v>
      </c>
      <c r="G376" s="14" t="s">
        <v>1023</v>
      </c>
      <c r="H376" s="14" t="s">
        <v>1168</v>
      </c>
      <c r="I376" s="14" t="s">
        <v>1025</v>
      </c>
      <c r="J376" s="14" t="s">
        <v>1021</v>
      </c>
      <c r="K376" s="14" t="s">
        <v>3760</v>
      </c>
      <c r="L376" s="14" t="s">
        <v>3760</v>
      </c>
      <c r="M376" s="14" t="s">
        <v>3760</v>
      </c>
    </row>
    <row r="377" spans="1:13" ht="72.5" x14ac:dyDescent="0.35">
      <c r="A377" s="14" t="s">
        <v>2494</v>
      </c>
      <c r="B377" s="14" t="s">
        <v>2494</v>
      </c>
      <c r="C377" s="14" t="s">
        <v>1019</v>
      </c>
      <c r="D377" s="14" t="s">
        <v>1091</v>
      </c>
      <c r="E377" s="14" t="s">
        <v>1091</v>
      </c>
      <c r="F377" s="14" t="s">
        <v>1092</v>
      </c>
      <c r="G377" s="14" t="s">
        <v>1048</v>
      </c>
      <c r="H377" s="14"/>
      <c r="I377" s="14" t="s">
        <v>1034</v>
      </c>
      <c r="J377" s="14" t="s">
        <v>1021</v>
      </c>
      <c r="K377" s="14" t="s">
        <v>3611</v>
      </c>
      <c r="L377" s="14" t="s">
        <v>3611</v>
      </c>
      <c r="M377" s="14" t="s">
        <v>3611</v>
      </c>
    </row>
    <row r="378" spans="1:13" ht="29" x14ac:dyDescent="0.35">
      <c r="A378" s="14" t="s">
        <v>2496</v>
      </c>
      <c r="B378" s="14" t="s">
        <v>2496</v>
      </c>
      <c r="C378" s="14" t="s">
        <v>1019</v>
      </c>
      <c r="D378" s="14" t="s">
        <v>1828</v>
      </c>
      <c r="E378" s="14" t="s">
        <v>1828</v>
      </c>
      <c r="F378" s="14" t="s">
        <v>1829</v>
      </c>
      <c r="G378" s="14" t="s">
        <v>1048</v>
      </c>
      <c r="H378" s="14" t="s">
        <v>1830</v>
      </c>
      <c r="I378" s="14" t="s">
        <v>1050</v>
      </c>
      <c r="J378" s="14" t="s">
        <v>1021</v>
      </c>
      <c r="K378" s="14" t="s">
        <v>3611</v>
      </c>
      <c r="L378" s="14" t="s">
        <v>3611</v>
      </c>
      <c r="M378" s="14" t="s">
        <v>3611</v>
      </c>
    </row>
    <row r="379" spans="1:13" x14ac:dyDescent="0.35">
      <c r="A379" s="14" t="s">
        <v>2498</v>
      </c>
      <c r="B379" s="14" t="s">
        <v>2498</v>
      </c>
      <c r="C379" s="14" t="s">
        <v>1019</v>
      </c>
      <c r="D379" s="14" t="s">
        <v>2316</v>
      </c>
      <c r="E379" s="14" t="s">
        <v>2316</v>
      </c>
      <c r="F379" s="14" t="s">
        <v>2317</v>
      </c>
      <c r="G379" s="14" t="s">
        <v>1050</v>
      </c>
      <c r="H379" s="14"/>
      <c r="I379" s="14" t="s">
        <v>1034</v>
      </c>
      <c r="J379" s="14" t="s">
        <v>1021</v>
      </c>
      <c r="K379" s="14" t="s">
        <v>3611</v>
      </c>
      <c r="L379" s="14" t="s">
        <v>3760</v>
      </c>
      <c r="M379" s="14" t="s">
        <v>3611</v>
      </c>
    </row>
    <row r="380" spans="1:13" ht="58" x14ac:dyDescent="0.35">
      <c r="A380" s="14" t="s">
        <v>2502</v>
      </c>
      <c r="B380" s="14" t="s">
        <v>2502</v>
      </c>
      <c r="C380" s="14" t="s">
        <v>1019</v>
      </c>
      <c r="D380" s="14" t="s">
        <v>1859</v>
      </c>
      <c r="E380" s="14" t="s">
        <v>1859</v>
      </c>
      <c r="F380" s="14" t="s">
        <v>1860</v>
      </c>
      <c r="G380" s="14" t="s">
        <v>1048</v>
      </c>
      <c r="H380" s="14" t="s">
        <v>1861</v>
      </c>
      <c r="I380" s="14" t="s">
        <v>1050</v>
      </c>
      <c r="J380" s="14" t="s">
        <v>1021</v>
      </c>
      <c r="K380" s="14" t="s">
        <v>3611</v>
      </c>
      <c r="L380" s="14" t="s">
        <v>3611</v>
      </c>
      <c r="M380" s="14" t="s">
        <v>3611</v>
      </c>
    </row>
    <row r="381" spans="1:13" ht="43.5" x14ac:dyDescent="0.35">
      <c r="A381" s="14" t="s">
        <v>2505</v>
      </c>
      <c r="B381" s="14" t="s">
        <v>2505</v>
      </c>
      <c r="C381" s="14" t="s">
        <v>1019</v>
      </c>
      <c r="D381" s="14" t="s">
        <v>1274</v>
      </c>
      <c r="E381" s="14" t="s">
        <v>1274</v>
      </c>
      <c r="F381" s="14" t="s">
        <v>1275</v>
      </c>
      <c r="G381" s="14" t="s">
        <v>1023</v>
      </c>
      <c r="H381" s="14" t="s">
        <v>1276</v>
      </c>
      <c r="I381" s="14" t="s">
        <v>1025</v>
      </c>
      <c r="J381" s="14" t="s">
        <v>1021</v>
      </c>
      <c r="K381" s="14" t="s">
        <v>3760</v>
      </c>
      <c r="L381" s="14" t="s">
        <v>3611</v>
      </c>
      <c r="M381" s="14" t="s">
        <v>3760</v>
      </c>
    </row>
    <row r="382" spans="1:13" x14ac:dyDescent="0.35">
      <c r="A382" s="14" t="s">
        <v>2506</v>
      </c>
      <c r="B382" s="14" t="s">
        <v>2506</v>
      </c>
      <c r="C382" s="14" t="s">
        <v>1019</v>
      </c>
      <c r="D382" s="14" t="s">
        <v>1573</v>
      </c>
      <c r="E382" s="14" t="s">
        <v>1573</v>
      </c>
      <c r="F382" s="14" t="s">
        <v>1574</v>
      </c>
      <c r="G382" s="14" t="s">
        <v>1023</v>
      </c>
      <c r="H382" s="14" t="s">
        <v>1575</v>
      </c>
      <c r="I382" s="14" t="s">
        <v>1025</v>
      </c>
      <c r="J382" s="14" t="s">
        <v>1021</v>
      </c>
      <c r="K382" s="14" t="s">
        <v>3760</v>
      </c>
      <c r="L382" s="14" t="s">
        <v>3760</v>
      </c>
      <c r="M382" s="14" t="s">
        <v>3760</v>
      </c>
    </row>
    <row r="383" spans="1:13" x14ac:dyDescent="0.35">
      <c r="A383" s="14" t="s">
        <v>2509</v>
      </c>
      <c r="B383" s="14" t="s">
        <v>2509</v>
      </c>
      <c r="C383" s="14" t="s">
        <v>1019</v>
      </c>
      <c r="D383" s="14" t="s">
        <v>1721</v>
      </c>
      <c r="E383" s="14" t="s">
        <v>1721</v>
      </c>
      <c r="F383" s="14" t="s">
        <v>1722</v>
      </c>
      <c r="G383" s="14" t="s">
        <v>1025</v>
      </c>
      <c r="H383" s="14" t="s">
        <v>1723</v>
      </c>
      <c r="I383" s="14" t="s">
        <v>1025</v>
      </c>
      <c r="J383" s="14" t="s">
        <v>1021</v>
      </c>
      <c r="K383" s="14" t="s">
        <v>3766</v>
      </c>
      <c r="L383" s="14" t="s">
        <v>3765</v>
      </c>
      <c r="M383" s="14" t="s">
        <v>3765</v>
      </c>
    </row>
    <row r="384" spans="1:13" ht="43.5" x14ac:dyDescent="0.35">
      <c r="A384" s="14" t="s">
        <v>2511</v>
      </c>
      <c r="B384" s="14" t="s">
        <v>2511</v>
      </c>
      <c r="C384" s="14" t="s">
        <v>1019</v>
      </c>
      <c r="D384" s="14" t="s">
        <v>1630</v>
      </c>
      <c r="E384" s="14" t="s">
        <v>1630</v>
      </c>
      <c r="F384" s="14" t="s">
        <v>1631</v>
      </c>
      <c r="G384" s="14" t="s">
        <v>1048</v>
      </c>
      <c r="H384" s="14" t="s">
        <v>1632</v>
      </c>
      <c r="I384" s="14" t="s">
        <v>1050</v>
      </c>
      <c r="J384" s="14" t="s">
        <v>1021</v>
      </c>
      <c r="K384" s="14" t="s">
        <v>3611</v>
      </c>
      <c r="L384" s="14" t="s">
        <v>3611</v>
      </c>
      <c r="M384" s="14" t="s">
        <v>3611</v>
      </c>
    </row>
    <row r="385" spans="1:13" ht="29" x14ac:dyDescent="0.35">
      <c r="A385" s="14" t="s">
        <v>2513</v>
      </c>
      <c r="B385" s="14" t="s">
        <v>2513</v>
      </c>
      <c r="C385" s="14" t="s">
        <v>1019</v>
      </c>
      <c r="D385" s="14" t="s">
        <v>1171</v>
      </c>
      <c r="E385" s="14" t="s">
        <v>1171</v>
      </c>
      <c r="F385" s="14" t="s">
        <v>1172</v>
      </c>
      <c r="G385" s="14" t="s">
        <v>1048</v>
      </c>
      <c r="H385" s="14" t="s">
        <v>1173</v>
      </c>
      <c r="I385" s="14" t="s">
        <v>1050</v>
      </c>
      <c r="J385" s="14" t="s">
        <v>1021</v>
      </c>
      <c r="K385" s="14" t="s">
        <v>3611</v>
      </c>
      <c r="L385" s="14" t="s">
        <v>3611</v>
      </c>
      <c r="M385" s="14" t="s">
        <v>3611</v>
      </c>
    </row>
    <row r="386" spans="1:13" ht="43.5" x14ac:dyDescent="0.35">
      <c r="A386" s="14" t="s">
        <v>2514</v>
      </c>
      <c r="B386" s="14" t="s">
        <v>2514</v>
      </c>
      <c r="C386" s="14" t="s">
        <v>1019</v>
      </c>
      <c r="D386" s="14" t="s">
        <v>1552</v>
      </c>
      <c r="E386" s="14" t="s">
        <v>1552</v>
      </c>
      <c r="F386" s="14" t="s">
        <v>1553</v>
      </c>
      <c r="G386" s="14" t="s">
        <v>1048</v>
      </c>
      <c r="H386" s="14" t="s">
        <v>1554</v>
      </c>
      <c r="I386" s="14" t="s">
        <v>1048</v>
      </c>
      <c r="J386" s="14" t="s">
        <v>1021</v>
      </c>
      <c r="K386" s="14" t="s">
        <v>3611</v>
      </c>
      <c r="L386" s="14" t="s">
        <v>3611</v>
      </c>
      <c r="M386" s="14" t="s">
        <v>3611</v>
      </c>
    </row>
    <row r="387" spans="1:13" x14ac:dyDescent="0.35">
      <c r="A387" s="14" t="s">
        <v>2515</v>
      </c>
      <c r="B387" s="14" t="s">
        <v>2515</v>
      </c>
      <c r="C387" s="14" t="s">
        <v>1019</v>
      </c>
      <c r="D387" s="14" t="s">
        <v>1220</v>
      </c>
      <c r="E387" s="14" t="s">
        <v>1220</v>
      </c>
      <c r="F387" s="14" t="s">
        <v>1221</v>
      </c>
      <c r="G387" s="14" t="s">
        <v>1025</v>
      </c>
      <c r="H387" s="14" t="s">
        <v>1222</v>
      </c>
      <c r="I387" s="14" t="s">
        <v>1025</v>
      </c>
      <c r="J387" s="14" t="s">
        <v>1021</v>
      </c>
      <c r="K387" s="14" t="s">
        <v>2911</v>
      </c>
      <c r="L387" s="14" t="s">
        <v>2911</v>
      </c>
      <c r="M387" s="14" t="s">
        <v>2911</v>
      </c>
    </row>
    <row r="388" spans="1:13" ht="72.5" x14ac:dyDescent="0.35">
      <c r="A388" s="14" t="s">
        <v>2519</v>
      </c>
      <c r="B388" s="14" t="s">
        <v>2519</v>
      </c>
      <c r="C388" s="14" t="s">
        <v>1019</v>
      </c>
      <c r="D388" s="14" t="s">
        <v>1480</v>
      </c>
      <c r="E388" s="14" t="s">
        <v>1480</v>
      </c>
      <c r="F388" s="14" t="s">
        <v>1481</v>
      </c>
      <c r="G388" s="14" t="s">
        <v>1023</v>
      </c>
      <c r="H388" s="14"/>
      <c r="I388" s="14" t="s">
        <v>1034</v>
      </c>
      <c r="J388" s="14" t="s">
        <v>1021</v>
      </c>
      <c r="K388" s="14" t="s">
        <v>2911</v>
      </c>
      <c r="L388" s="14" t="s">
        <v>2911</v>
      </c>
      <c r="M388" s="14" t="s">
        <v>2911</v>
      </c>
    </row>
    <row r="389" spans="1:13" x14ac:dyDescent="0.35">
      <c r="A389" s="14" t="s">
        <v>2521</v>
      </c>
      <c r="B389" s="14" t="s">
        <v>2521</v>
      </c>
      <c r="C389" s="14" t="s">
        <v>1019</v>
      </c>
      <c r="D389" s="14" t="s">
        <v>1671</v>
      </c>
      <c r="E389" s="14" t="s">
        <v>1671</v>
      </c>
      <c r="F389" s="14" t="s">
        <v>1672</v>
      </c>
      <c r="G389" s="14" t="s">
        <v>1050</v>
      </c>
      <c r="H389" s="14" t="s">
        <v>1673</v>
      </c>
      <c r="I389" s="14" t="s">
        <v>1050</v>
      </c>
      <c r="J389" s="14" t="s">
        <v>1021</v>
      </c>
      <c r="K389" s="14" t="s">
        <v>3611</v>
      </c>
      <c r="L389" s="14" t="s">
        <v>3611</v>
      </c>
      <c r="M389" s="14" t="s">
        <v>3611</v>
      </c>
    </row>
    <row r="390" spans="1:13" ht="87" x14ac:dyDescent="0.35">
      <c r="A390" s="14" t="s">
        <v>2523</v>
      </c>
      <c r="B390" s="14" t="s">
        <v>2523</v>
      </c>
      <c r="C390" s="14" t="s">
        <v>1019</v>
      </c>
      <c r="D390" s="14" t="s">
        <v>1784</v>
      </c>
      <c r="E390" s="14" t="s">
        <v>1784</v>
      </c>
      <c r="F390" s="14" t="s">
        <v>1785</v>
      </c>
      <c r="G390" s="14" t="s">
        <v>1023</v>
      </c>
      <c r="H390" s="14" t="s">
        <v>1786</v>
      </c>
      <c r="I390" s="14" t="s">
        <v>1025</v>
      </c>
      <c r="J390" s="14" t="s">
        <v>1021</v>
      </c>
      <c r="K390" s="14" t="s">
        <v>3760</v>
      </c>
      <c r="L390" s="14" t="s">
        <v>3760</v>
      </c>
      <c r="M390" s="14" t="s">
        <v>3760</v>
      </c>
    </row>
    <row r="391" spans="1:13" ht="43.5" x14ac:dyDescent="0.35">
      <c r="A391" s="14" t="s">
        <v>2526</v>
      </c>
      <c r="B391" s="14" t="s">
        <v>2526</v>
      </c>
      <c r="C391" s="14" t="s">
        <v>1019</v>
      </c>
      <c r="D391" s="14" t="s">
        <v>1215</v>
      </c>
      <c r="E391" s="14" t="s">
        <v>1215</v>
      </c>
      <c r="F391" s="14" t="s">
        <v>1216</v>
      </c>
      <c r="G391" s="14" t="s">
        <v>1048</v>
      </c>
      <c r="H391" s="14" t="s">
        <v>1217</v>
      </c>
      <c r="I391" s="14" t="s">
        <v>1050</v>
      </c>
      <c r="J391" s="14" t="s">
        <v>1021</v>
      </c>
      <c r="K391" s="14" t="s">
        <v>3611</v>
      </c>
      <c r="L391" s="14" t="s">
        <v>3611</v>
      </c>
      <c r="M391" s="14" t="s">
        <v>3611</v>
      </c>
    </row>
    <row r="392" spans="1:13" ht="319" x14ac:dyDescent="0.35">
      <c r="A392" s="14" t="s">
        <v>2531</v>
      </c>
      <c r="B392" s="14" t="s">
        <v>2531</v>
      </c>
      <c r="C392" s="14" t="s">
        <v>1019</v>
      </c>
      <c r="D392" s="14" t="s">
        <v>1242</v>
      </c>
      <c r="E392" s="14" t="s">
        <v>1242</v>
      </c>
      <c r="F392" s="14" t="s">
        <v>1243</v>
      </c>
      <c r="G392" s="14" t="s">
        <v>1048</v>
      </c>
      <c r="H392" s="14" t="s">
        <v>1244</v>
      </c>
      <c r="I392" s="14" t="s">
        <v>1023</v>
      </c>
      <c r="J392" s="14" t="s">
        <v>1021</v>
      </c>
      <c r="K392" s="14" t="s">
        <v>2911</v>
      </c>
      <c r="L392" s="14" t="s">
        <v>3760</v>
      </c>
      <c r="M392" s="14" t="s">
        <v>3760</v>
      </c>
    </row>
    <row r="393" spans="1:13" ht="29" x14ac:dyDescent="0.35">
      <c r="A393" s="14" t="s">
        <v>2534</v>
      </c>
      <c r="B393" s="14" t="s">
        <v>2534</v>
      </c>
      <c r="C393" s="14" t="s">
        <v>1019</v>
      </c>
      <c r="D393" s="14" t="s">
        <v>1942</v>
      </c>
      <c r="E393" s="14" t="s">
        <v>1942</v>
      </c>
      <c r="F393" s="14"/>
      <c r="G393" s="14" t="s">
        <v>1034</v>
      </c>
      <c r="H393" s="14"/>
      <c r="I393" s="14" t="s">
        <v>1034</v>
      </c>
      <c r="J393" s="14" t="s">
        <v>1114</v>
      </c>
      <c r="K393" s="14" t="s">
        <v>3764</v>
      </c>
      <c r="L393" s="14" t="s">
        <v>3611</v>
      </c>
      <c r="M393" s="14" t="s">
        <v>3611</v>
      </c>
    </row>
    <row r="394" spans="1:13" ht="29" x14ac:dyDescent="0.35">
      <c r="A394" s="14" t="s">
        <v>2536</v>
      </c>
      <c r="B394" s="14" t="s">
        <v>2536</v>
      </c>
      <c r="C394" s="14" t="s">
        <v>1019</v>
      </c>
      <c r="D394" s="14" t="s">
        <v>1462</v>
      </c>
      <c r="E394" s="14" t="s">
        <v>1462</v>
      </c>
      <c r="F394" s="14" t="s">
        <v>1463</v>
      </c>
      <c r="G394" s="14" t="s">
        <v>1048</v>
      </c>
      <c r="H394" s="14" t="s">
        <v>1464</v>
      </c>
      <c r="I394" s="14" t="s">
        <v>1025</v>
      </c>
      <c r="J394" s="14" t="s">
        <v>1021</v>
      </c>
      <c r="K394" s="14" t="s">
        <v>2911</v>
      </c>
      <c r="L394" s="14" t="s">
        <v>3760</v>
      </c>
      <c r="M394" s="14" t="s">
        <v>2911</v>
      </c>
    </row>
    <row r="395" spans="1:13" ht="29" x14ac:dyDescent="0.35">
      <c r="A395" s="14" t="s">
        <v>2538</v>
      </c>
      <c r="B395" s="14" t="s">
        <v>2538</v>
      </c>
      <c r="C395" s="14" t="s">
        <v>1019</v>
      </c>
      <c r="D395" s="14" t="s">
        <v>1716</v>
      </c>
      <c r="E395" s="14" t="s">
        <v>1716</v>
      </c>
      <c r="F395" s="14" t="s">
        <v>1717</v>
      </c>
      <c r="G395" s="14" t="s">
        <v>1050</v>
      </c>
      <c r="H395" s="14" t="s">
        <v>1718</v>
      </c>
      <c r="I395" s="14" t="s">
        <v>1048</v>
      </c>
      <c r="J395" s="14" t="s">
        <v>1021</v>
      </c>
      <c r="K395" s="14" t="s">
        <v>3611</v>
      </c>
      <c r="L395" s="14" t="s">
        <v>3611</v>
      </c>
      <c r="M395" s="14" t="s">
        <v>3611</v>
      </c>
    </row>
    <row r="396" spans="1:13" x14ac:dyDescent="0.35">
      <c r="A396" s="14" t="s">
        <v>2539</v>
      </c>
      <c r="B396" s="14" t="s">
        <v>2539</v>
      </c>
      <c r="C396" s="14" t="s">
        <v>1019</v>
      </c>
      <c r="D396" s="14" t="s">
        <v>1181</v>
      </c>
      <c r="E396" s="14" t="s">
        <v>1181</v>
      </c>
      <c r="F396" s="14" t="s">
        <v>1182</v>
      </c>
      <c r="G396" s="14" t="s">
        <v>1025</v>
      </c>
      <c r="H396" s="14" t="s">
        <v>1183</v>
      </c>
      <c r="I396" s="14" t="s">
        <v>1025</v>
      </c>
      <c r="J396" s="14" t="s">
        <v>1021</v>
      </c>
      <c r="K396" s="14" t="s">
        <v>3760</v>
      </c>
      <c r="L396" s="14" t="s">
        <v>3760</v>
      </c>
      <c r="M396" s="14" t="s">
        <v>3760</v>
      </c>
    </row>
    <row r="397" spans="1:13" ht="29" x14ac:dyDescent="0.35">
      <c r="A397" s="14" t="s">
        <v>2541</v>
      </c>
      <c r="B397" s="14" t="s">
        <v>2541</v>
      </c>
      <c r="C397" s="14" t="s">
        <v>1019</v>
      </c>
      <c r="D397" s="14" t="s">
        <v>1509</v>
      </c>
      <c r="E397" s="14" t="s">
        <v>1509</v>
      </c>
      <c r="F397" s="14"/>
      <c r="G397" s="14" t="s">
        <v>1034</v>
      </c>
      <c r="H397" s="14"/>
      <c r="I397" s="14" t="s">
        <v>1034</v>
      </c>
      <c r="J397" s="14" t="s">
        <v>1114</v>
      </c>
      <c r="K397" s="14" t="s">
        <v>3611</v>
      </c>
      <c r="L397" s="14" t="s">
        <v>3611</v>
      </c>
      <c r="M397" s="14" t="s">
        <v>3611</v>
      </c>
    </row>
    <row r="398" spans="1:13" x14ac:dyDescent="0.35">
      <c r="A398" s="14" t="s">
        <v>2543</v>
      </c>
      <c r="B398" s="14" t="s">
        <v>2543</v>
      </c>
      <c r="C398" s="14" t="s">
        <v>1019</v>
      </c>
      <c r="D398" s="14" t="s">
        <v>1667</v>
      </c>
      <c r="E398" s="14" t="s">
        <v>1667</v>
      </c>
      <c r="F398" s="14" t="s">
        <v>1668</v>
      </c>
      <c r="G398" s="14" t="s">
        <v>1050</v>
      </c>
      <c r="H398" s="14"/>
      <c r="I398" s="14" t="s">
        <v>1034</v>
      </c>
      <c r="J398" s="14" t="s">
        <v>1021</v>
      </c>
      <c r="K398" s="14" t="s">
        <v>3611</v>
      </c>
      <c r="L398" s="14" t="s">
        <v>3611</v>
      </c>
      <c r="M398" s="14" t="s">
        <v>3611</v>
      </c>
    </row>
    <row r="399" spans="1:13" ht="29" x14ac:dyDescent="0.35">
      <c r="A399" s="14" t="s">
        <v>2545</v>
      </c>
      <c r="B399" s="14" t="s">
        <v>2545</v>
      </c>
      <c r="C399" s="14" t="s">
        <v>1019</v>
      </c>
      <c r="D399" s="14" t="s">
        <v>1233</v>
      </c>
      <c r="E399" s="14" t="s">
        <v>1233</v>
      </c>
      <c r="F399" s="14"/>
      <c r="G399" s="14" t="s">
        <v>1034</v>
      </c>
      <c r="H399" s="14"/>
      <c r="I399" s="14" t="s">
        <v>1034</v>
      </c>
      <c r="J399" s="14" t="s">
        <v>1114</v>
      </c>
      <c r="K399" s="14" t="s">
        <v>3611</v>
      </c>
      <c r="L399" s="14" t="s">
        <v>3611</v>
      </c>
      <c r="M399" s="14" t="s">
        <v>3611</v>
      </c>
    </row>
    <row r="400" spans="1:13" ht="29" x14ac:dyDescent="0.35">
      <c r="A400" s="14" t="s">
        <v>2547</v>
      </c>
      <c r="B400" s="14" t="s">
        <v>2547</v>
      </c>
      <c r="C400" s="14" t="s">
        <v>1019</v>
      </c>
      <c r="D400" s="14" t="s">
        <v>1313</v>
      </c>
      <c r="E400" s="14" t="s">
        <v>1313</v>
      </c>
      <c r="F400" s="14" t="s">
        <v>1314</v>
      </c>
      <c r="G400" s="14" t="s">
        <v>1023</v>
      </c>
      <c r="H400" s="14" t="s">
        <v>1315</v>
      </c>
      <c r="I400" s="14" t="s">
        <v>1025</v>
      </c>
      <c r="J400" s="14" t="s">
        <v>1021</v>
      </c>
      <c r="K400" s="14" t="s">
        <v>3760</v>
      </c>
      <c r="L400" s="14" t="s">
        <v>3760</v>
      </c>
      <c r="M400" s="14" t="s">
        <v>3760</v>
      </c>
    </row>
    <row r="401" spans="1:13" ht="29" x14ac:dyDescent="0.35">
      <c r="A401" s="14" t="s">
        <v>2550</v>
      </c>
      <c r="B401" s="14" t="s">
        <v>2550</v>
      </c>
      <c r="C401" s="14" t="s">
        <v>1019</v>
      </c>
      <c r="D401" s="14" t="s">
        <v>1046</v>
      </c>
      <c r="E401" s="14" t="s">
        <v>1046</v>
      </c>
      <c r="F401" s="14" t="s">
        <v>1047</v>
      </c>
      <c r="G401" s="14" t="s">
        <v>1048</v>
      </c>
      <c r="H401" s="14" t="s">
        <v>1049</v>
      </c>
      <c r="I401" s="14" t="s">
        <v>1050</v>
      </c>
      <c r="J401" s="14" t="s">
        <v>1021</v>
      </c>
      <c r="K401" s="14" t="s">
        <v>3611</v>
      </c>
      <c r="L401" s="14" t="s">
        <v>3611</v>
      </c>
      <c r="M401" s="14" t="s">
        <v>3611</v>
      </c>
    </row>
    <row r="402" spans="1:13" x14ac:dyDescent="0.35">
      <c r="A402" s="14" t="s">
        <v>2551</v>
      </c>
      <c r="B402" s="14" t="s">
        <v>2551</v>
      </c>
      <c r="C402" s="14" t="s">
        <v>1019</v>
      </c>
      <c r="D402" s="14" t="s">
        <v>2174</v>
      </c>
      <c r="E402" s="14" t="s">
        <v>2174</v>
      </c>
      <c r="F402" s="14" t="s">
        <v>2175</v>
      </c>
      <c r="G402" s="14" t="s">
        <v>1050</v>
      </c>
      <c r="H402" s="14" t="s">
        <v>2176</v>
      </c>
      <c r="I402" s="14" t="s">
        <v>1050</v>
      </c>
      <c r="J402" s="14" t="s">
        <v>1021</v>
      </c>
      <c r="K402" s="14" t="s">
        <v>3764</v>
      </c>
      <c r="L402" s="14" t="s">
        <v>3611</v>
      </c>
      <c r="M402" s="14" t="s">
        <v>3611</v>
      </c>
    </row>
    <row r="403" spans="1:13" ht="43.5" x14ac:dyDescent="0.35">
      <c r="A403" s="14" t="s">
        <v>2555</v>
      </c>
      <c r="B403" s="14" t="s">
        <v>2555</v>
      </c>
      <c r="C403" s="14" t="s">
        <v>1019</v>
      </c>
      <c r="D403" s="14" t="s">
        <v>1447</v>
      </c>
      <c r="E403" s="14" t="s">
        <v>1447</v>
      </c>
      <c r="F403" s="14" t="s">
        <v>1448</v>
      </c>
      <c r="G403" s="14" t="s">
        <v>1048</v>
      </c>
      <c r="H403" s="14" t="s">
        <v>1449</v>
      </c>
      <c r="I403" s="14" t="s">
        <v>1050</v>
      </c>
      <c r="J403" s="14" t="s">
        <v>1021</v>
      </c>
      <c r="K403" s="14" t="s">
        <v>3611</v>
      </c>
      <c r="L403" s="14" t="s">
        <v>3611</v>
      </c>
      <c r="M403" s="14" t="s">
        <v>3611</v>
      </c>
    </row>
    <row r="404" spans="1:13" ht="29" x14ac:dyDescent="0.35">
      <c r="A404" s="14" t="s">
        <v>2558</v>
      </c>
      <c r="B404" s="14" t="s">
        <v>2558</v>
      </c>
      <c r="C404" s="14" t="s">
        <v>1019</v>
      </c>
      <c r="D404" s="14" t="s">
        <v>1313</v>
      </c>
      <c r="E404" s="14" t="s">
        <v>1313</v>
      </c>
      <c r="F404" s="14" t="s">
        <v>1314</v>
      </c>
      <c r="G404" s="14" t="s">
        <v>1023</v>
      </c>
      <c r="H404" s="14" t="s">
        <v>1315</v>
      </c>
      <c r="I404" s="14" t="s">
        <v>1025</v>
      </c>
      <c r="J404" s="14" t="s">
        <v>1021</v>
      </c>
      <c r="K404" s="14" t="s">
        <v>3760</v>
      </c>
      <c r="L404" s="14" t="s">
        <v>3760</v>
      </c>
      <c r="M404" s="14" t="s">
        <v>3760</v>
      </c>
    </row>
    <row r="405" spans="1:13" ht="29" x14ac:dyDescent="0.35">
      <c r="A405" s="14" t="s">
        <v>2560</v>
      </c>
      <c r="B405" s="14" t="s">
        <v>2560</v>
      </c>
      <c r="C405" s="14" t="s">
        <v>1019</v>
      </c>
      <c r="D405" s="14" t="s">
        <v>2561</v>
      </c>
      <c r="E405" s="14" t="s">
        <v>2561</v>
      </c>
      <c r="F405" s="14"/>
      <c r="G405" s="14" t="s">
        <v>1034</v>
      </c>
      <c r="H405" s="14"/>
      <c r="I405" s="14" t="s">
        <v>1034</v>
      </c>
      <c r="J405" s="14" t="s">
        <v>1114</v>
      </c>
      <c r="K405" s="14" t="s">
        <v>3611</v>
      </c>
      <c r="L405" s="14" t="s">
        <v>3611</v>
      </c>
      <c r="M405" s="14" t="s">
        <v>3611</v>
      </c>
    </row>
    <row r="406" spans="1:13" ht="43.5" x14ac:dyDescent="0.35">
      <c r="A406" s="14" t="s">
        <v>2563</v>
      </c>
      <c r="B406" s="14" t="s">
        <v>2563</v>
      </c>
      <c r="C406" s="14" t="s">
        <v>1019</v>
      </c>
      <c r="D406" s="14" t="s">
        <v>1186</v>
      </c>
      <c r="E406" s="14" t="s">
        <v>1186</v>
      </c>
      <c r="F406" s="14" t="s">
        <v>1187</v>
      </c>
      <c r="G406" s="14" t="s">
        <v>1023</v>
      </c>
      <c r="H406" s="14" t="s">
        <v>1188</v>
      </c>
      <c r="I406" s="14" t="s">
        <v>1025</v>
      </c>
      <c r="J406" s="14" t="s">
        <v>1021</v>
      </c>
      <c r="K406" s="14" t="s">
        <v>3589</v>
      </c>
      <c r="L406" s="14" t="s">
        <v>3589</v>
      </c>
      <c r="M406" s="14" t="s">
        <v>2832</v>
      </c>
    </row>
    <row r="407" spans="1:13" x14ac:dyDescent="0.35">
      <c r="A407" s="14" t="s">
        <v>2566</v>
      </c>
      <c r="B407" s="14" t="s">
        <v>2566</v>
      </c>
      <c r="C407" s="14" t="s">
        <v>1019</v>
      </c>
      <c r="D407" s="14" t="s">
        <v>1809</v>
      </c>
      <c r="E407" s="14" t="s">
        <v>1809</v>
      </c>
      <c r="F407" s="14" t="s">
        <v>1810</v>
      </c>
      <c r="G407" s="14" t="s">
        <v>1050</v>
      </c>
      <c r="H407" s="14" t="s">
        <v>1811</v>
      </c>
      <c r="I407" s="14" t="s">
        <v>1050</v>
      </c>
      <c r="J407" s="14" t="s">
        <v>1021</v>
      </c>
      <c r="K407" s="14" t="s">
        <v>3611</v>
      </c>
      <c r="L407" s="14" t="s">
        <v>3611</v>
      </c>
      <c r="M407" s="14" t="s">
        <v>3611</v>
      </c>
    </row>
    <row r="408" spans="1:13" ht="58" x14ac:dyDescent="0.35">
      <c r="A408" s="14" t="s">
        <v>2570</v>
      </c>
      <c r="B408" s="14" t="s">
        <v>2570</v>
      </c>
      <c r="C408" s="14" t="s">
        <v>1019</v>
      </c>
      <c r="D408" s="14" t="s">
        <v>1535</v>
      </c>
      <c r="E408" s="14" t="s">
        <v>1535</v>
      </c>
      <c r="F408" s="14" t="s">
        <v>1536</v>
      </c>
      <c r="G408" s="14" t="s">
        <v>1048</v>
      </c>
      <c r="H408" s="14" t="s">
        <v>1537</v>
      </c>
      <c r="I408" s="14" t="s">
        <v>1048</v>
      </c>
      <c r="J408" s="14" t="s">
        <v>1021</v>
      </c>
      <c r="K408" s="14" t="s">
        <v>3611</v>
      </c>
      <c r="L408" s="14" t="s">
        <v>3611</v>
      </c>
      <c r="M408" s="14" t="s">
        <v>3611</v>
      </c>
    </row>
    <row r="409" spans="1:13" ht="43.5" x14ac:dyDescent="0.35">
      <c r="A409" s="14" t="s">
        <v>2574</v>
      </c>
      <c r="B409" s="14" t="s">
        <v>2574</v>
      </c>
      <c r="C409" s="14" t="s">
        <v>1019</v>
      </c>
      <c r="D409" s="14" t="s">
        <v>1527</v>
      </c>
      <c r="E409" s="14" t="s">
        <v>1527</v>
      </c>
      <c r="F409" s="14" t="s">
        <v>1528</v>
      </c>
      <c r="G409" s="14" t="s">
        <v>1048</v>
      </c>
      <c r="H409" s="14" t="s">
        <v>1529</v>
      </c>
      <c r="I409" s="14" t="s">
        <v>1048</v>
      </c>
      <c r="J409" s="14" t="s">
        <v>1021</v>
      </c>
      <c r="K409" s="14" t="s">
        <v>3611</v>
      </c>
      <c r="L409" s="14" t="s">
        <v>3611</v>
      </c>
      <c r="M409" s="14" t="s">
        <v>3611</v>
      </c>
    </row>
    <row r="410" spans="1:13" ht="29" x14ac:dyDescent="0.35">
      <c r="A410" s="14" t="s">
        <v>2575</v>
      </c>
      <c r="B410" s="14" t="s">
        <v>2575</v>
      </c>
      <c r="C410" s="14" t="s">
        <v>1019</v>
      </c>
      <c r="D410" s="14" t="s">
        <v>1522</v>
      </c>
      <c r="E410" s="14" t="s">
        <v>1522</v>
      </c>
      <c r="F410" s="14" t="s">
        <v>1523</v>
      </c>
      <c r="G410" s="14" t="s">
        <v>1048</v>
      </c>
      <c r="H410" s="14" t="s">
        <v>1524</v>
      </c>
      <c r="I410" s="14" t="s">
        <v>1050</v>
      </c>
      <c r="J410" s="14" t="s">
        <v>1021</v>
      </c>
      <c r="K410" s="14" t="s">
        <v>3611</v>
      </c>
      <c r="L410" s="14" t="s">
        <v>3611</v>
      </c>
      <c r="M410" s="14" t="s">
        <v>3611</v>
      </c>
    </row>
    <row r="411" spans="1:13" ht="87" x14ac:dyDescent="0.35">
      <c r="A411" s="14" t="s">
        <v>2579</v>
      </c>
      <c r="B411" s="14" t="s">
        <v>2579</v>
      </c>
      <c r="C411" s="14" t="s">
        <v>1019</v>
      </c>
      <c r="D411" s="14" t="s">
        <v>1059</v>
      </c>
      <c r="E411" s="14" t="s">
        <v>1059</v>
      </c>
      <c r="F411" s="14" t="s">
        <v>1060</v>
      </c>
      <c r="G411" s="14" t="s">
        <v>1023</v>
      </c>
      <c r="H411" s="14" t="s">
        <v>1061</v>
      </c>
      <c r="I411" s="14" t="s">
        <v>1023</v>
      </c>
      <c r="J411" s="14" t="s">
        <v>1021</v>
      </c>
      <c r="K411" s="14" t="s">
        <v>2911</v>
      </c>
      <c r="L411" s="14" t="s">
        <v>3589</v>
      </c>
      <c r="M411" s="14" t="s">
        <v>3589</v>
      </c>
    </row>
    <row r="412" spans="1:13" x14ac:dyDescent="0.35">
      <c r="A412" s="14" t="s">
        <v>2580</v>
      </c>
      <c r="B412" s="14" t="s">
        <v>2580</v>
      </c>
      <c r="C412" s="14" t="s">
        <v>1019</v>
      </c>
      <c r="D412" s="14" t="s">
        <v>1421</v>
      </c>
      <c r="E412" s="14" t="s">
        <v>1421</v>
      </c>
      <c r="F412" s="14"/>
      <c r="G412" s="14" t="s">
        <v>1034</v>
      </c>
      <c r="H412" s="14" t="s">
        <v>1422</v>
      </c>
      <c r="I412" s="14" t="s">
        <v>1050</v>
      </c>
      <c r="J412" s="14" t="s">
        <v>1021</v>
      </c>
      <c r="K412" s="14" t="s">
        <v>3611</v>
      </c>
      <c r="L412" s="14" t="s">
        <v>3611</v>
      </c>
      <c r="M412" s="14" t="s">
        <v>3611</v>
      </c>
    </row>
    <row r="413" spans="1:13" ht="29" x14ac:dyDescent="0.35">
      <c r="A413" s="14" t="s">
        <v>2583</v>
      </c>
      <c r="B413" s="14" t="s">
        <v>2583</v>
      </c>
      <c r="C413" s="14" t="s">
        <v>1019</v>
      </c>
      <c r="D413" s="14" t="s">
        <v>1363</v>
      </c>
      <c r="E413" s="14" t="s">
        <v>1363</v>
      </c>
      <c r="F413" s="14" t="s">
        <v>1364</v>
      </c>
      <c r="G413" s="14" t="s">
        <v>1048</v>
      </c>
      <c r="H413" s="14" t="s">
        <v>1365</v>
      </c>
      <c r="I413" s="14" t="s">
        <v>1050</v>
      </c>
      <c r="J413" s="14" t="s">
        <v>1021</v>
      </c>
      <c r="K413" s="14" t="s">
        <v>3611</v>
      </c>
      <c r="L413" s="14" t="s">
        <v>3611</v>
      </c>
      <c r="M413" s="14" t="s">
        <v>3611</v>
      </c>
    </row>
    <row r="414" spans="1:13" ht="43.5" x14ac:dyDescent="0.35">
      <c r="A414" s="14" t="s">
        <v>2584</v>
      </c>
      <c r="B414" s="14" t="s">
        <v>2584</v>
      </c>
      <c r="C414" s="14" t="s">
        <v>1019</v>
      </c>
      <c r="D414" s="14" t="s">
        <v>1186</v>
      </c>
      <c r="E414" s="14" t="s">
        <v>1186</v>
      </c>
      <c r="F414" s="14" t="s">
        <v>1187</v>
      </c>
      <c r="G414" s="14" t="s">
        <v>1023</v>
      </c>
      <c r="H414" s="14" t="s">
        <v>1188</v>
      </c>
      <c r="I414" s="14" t="s">
        <v>1025</v>
      </c>
      <c r="J414" s="14" t="s">
        <v>1021</v>
      </c>
      <c r="K414" s="14" t="s">
        <v>3589</v>
      </c>
      <c r="L414" s="14" t="s">
        <v>3589</v>
      </c>
      <c r="M414" s="14" t="s">
        <v>2832</v>
      </c>
    </row>
    <row r="415" spans="1:13" ht="72.5" x14ac:dyDescent="0.35">
      <c r="A415" s="14" t="s">
        <v>2587</v>
      </c>
      <c r="B415" s="14" t="s">
        <v>2587</v>
      </c>
      <c r="C415" s="14" t="s">
        <v>1019</v>
      </c>
      <c r="D415" s="14" t="s">
        <v>1480</v>
      </c>
      <c r="E415" s="14" t="s">
        <v>1480</v>
      </c>
      <c r="F415" s="14" t="s">
        <v>1481</v>
      </c>
      <c r="G415" s="14" t="s">
        <v>1023</v>
      </c>
      <c r="H415" s="14"/>
      <c r="I415" s="14" t="s">
        <v>1034</v>
      </c>
      <c r="J415" s="14" t="s">
        <v>1021</v>
      </c>
      <c r="K415" s="14" t="s">
        <v>2911</v>
      </c>
      <c r="L415" s="14" t="s">
        <v>2911</v>
      </c>
      <c r="M415" s="14" t="s">
        <v>2911</v>
      </c>
    </row>
    <row r="416" spans="1:13" x14ac:dyDescent="0.35">
      <c r="A416" s="14" t="s">
        <v>2588</v>
      </c>
      <c r="B416" s="14" t="s">
        <v>2588</v>
      </c>
      <c r="C416" s="14" t="s">
        <v>1019</v>
      </c>
      <c r="D416" s="14" t="s">
        <v>1135</v>
      </c>
      <c r="E416" s="14" t="s">
        <v>1135</v>
      </c>
      <c r="F416" s="14" t="s">
        <v>1136</v>
      </c>
      <c r="G416" s="14" t="s">
        <v>1050</v>
      </c>
      <c r="H416" s="14" t="s">
        <v>1137</v>
      </c>
      <c r="I416" s="14" t="s">
        <v>1050</v>
      </c>
      <c r="J416" s="14" t="s">
        <v>1021</v>
      </c>
      <c r="K416" s="14" t="s">
        <v>3611</v>
      </c>
      <c r="L416" s="14" t="s">
        <v>3611</v>
      </c>
      <c r="M416" s="14" t="s">
        <v>3611</v>
      </c>
    </row>
    <row r="417" spans="1:13" ht="43.5" x14ac:dyDescent="0.35">
      <c r="A417" s="14" t="s">
        <v>2590</v>
      </c>
      <c r="B417" s="14" t="s">
        <v>2590</v>
      </c>
      <c r="C417" s="14" t="s">
        <v>1019</v>
      </c>
      <c r="D417" s="14" t="s">
        <v>1020</v>
      </c>
      <c r="E417" s="14" t="s">
        <v>1020</v>
      </c>
      <c r="F417" s="14" t="s">
        <v>1022</v>
      </c>
      <c r="G417" s="14" t="s">
        <v>1023</v>
      </c>
      <c r="H417" s="14" t="s">
        <v>1024</v>
      </c>
      <c r="I417" s="14" t="s">
        <v>1025</v>
      </c>
      <c r="J417" s="14" t="s">
        <v>1021</v>
      </c>
      <c r="K417" s="14" t="s">
        <v>3760</v>
      </c>
      <c r="L417" s="14" t="s">
        <v>3760</v>
      </c>
      <c r="M417" s="14" t="s">
        <v>3760</v>
      </c>
    </row>
    <row r="418" spans="1:13" ht="43.5" x14ac:dyDescent="0.35">
      <c r="A418" s="14" t="s">
        <v>2593</v>
      </c>
      <c r="B418" s="14" t="s">
        <v>2593</v>
      </c>
      <c r="C418" s="14" t="s">
        <v>1019</v>
      </c>
      <c r="D418" s="14" t="s">
        <v>1756</v>
      </c>
      <c r="E418" s="14" t="s">
        <v>1756</v>
      </c>
      <c r="F418" s="14" t="s">
        <v>1757</v>
      </c>
      <c r="G418" s="14" t="s">
        <v>1048</v>
      </c>
      <c r="H418" s="14" t="s">
        <v>1758</v>
      </c>
      <c r="I418" s="14" t="s">
        <v>1050</v>
      </c>
      <c r="J418" s="14" t="s">
        <v>1021</v>
      </c>
      <c r="K418" s="14" t="s">
        <v>3611</v>
      </c>
      <c r="L418" s="14" t="s">
        <v>3611</v>
      </c>
      <c r="M418" s="14" t="s">
        <v>3611</v>
      </c>
    </row>
    <row r="419" spans="1:13" ht="29" x14ac:dyDescent="0.35">
      <c r="A419" s="14" t="s">
        <v>2597</v>
      </c>
      <c r="B419" s="14" t="s">
        <v>2597</v>
      </c>
      <c r="C419" s="14" t="s">
        <v>1019</v>
      </c>
      <c r="D419" s="14" t="s">
        <v>1142</v>
      </c>
      <c r="E419" s="14" t="s">
        <v>1142</v>
      </c>
      <c r="F419" s="14"/>
      <c r="G419" s="14" t="s">
        <v>1034</v>
      </c>
      <c r="H419" s="14"/>
      <c r="I419" s="14" t="s">
        <v>1034</v>
      </c>
      <c r="J419" s="14" t="s">
        <v>1114</v>
      </c>
      <c r="K419" s="14" t="s">
        <v>3611</v>
      </c>
      <c r="L419" s="14" t="s">
        <v>3611</v>
      </c>
      <c r="M419" s="14" t="s">
        <v>3611</v>
      </c>
    </row>
    <row r="420" spans="1:13" ht="87" x14ac:dyDescent="0.35">
      <c r="A420" s="14" t="s">
        <v>2600</v>
      </c>
      <c r="B420" s="14" t="s">
        <v>2600</v>
      </c>
      <c r="C420" s="14" t="s">
        <v>1019</v>
      </c>
      <c r="D420" s="14" t="s">
        <v>1059</v>
      </c>
      <c r="E420" s="14" t="s">
        <v>1059</v>
      </c>
      <c r="F420" s="14" t="s">
        <v>1060</v>
      </c>
      <c r="G420" s="14" t="s">
        <v>1023</v>
      </c>
      <c r="H420" s="14" t="s">
        <v>1061</v>
      </c>
      <c r="I420" s="14" t="s">
        <v>1023</v>
      </c>
      <c r="J420" s="14" t="s">
        <v>1021</v>
      </c>
      <c r="K420" s="14" t="s">
        <v>2911</v>
      </c>
      <c r="L420" s="14" t="s">
        <v>3589</v>
      </c>
      <c r="M420" s="14" t="s">
        <v>3589</v>
      </c>
    </row>
    <row r="421" spans="1:13" ht="29" x14ac:dyDescent="0.35">
      <c r="A421" s="14" t="s">
        <v>2602</v>
      </c>
      <c r="B421" s="14" t="s">
        <v>2602</v>
      </c>
      <c r="C421" s="14" t="s">
        <v>1019</v>
      </c>
      <c r="D421" s="14" t="s">
        <v>1608</v>
      </c>
      <c r="E421" s="14" t="s">
        <v>1608</v>
      </c>
      <c r="F421" s="14" t="s">
        <v>1609</v>
      </c>
      <c r="G421" s="14" t="s">
        <v>1050</v>
      </c>
      <c r="H421" s="14" t="s">
        <v>1610</v>
      </c>
      <c r="I421" s="14" t="s">
        <v>1048</v>
      </c>
      <c r="J421" s="14" t="s">
        <v>1021</v>
      </c>
      <c r="K421" s="14" t="s">
        <v>3611</v>
      </c>
      <c r="L421" s="14" t="s">
        <v>3611</v>
      </c>
      <c r="M421" s="14" t="s">
        <v>3611</v>
      </c>
    </row>
    <row r="422" spans="1:13" ht="87" x14ac:dyDescent="0.35">
      <c r="A422" s="14" t="s">
        <v>2604</v>
      </c>
      <c r="B422" s="14" t="s">
        <v>2604</v>
      </c>
      <c r="C422" s="14" t="s">
        <v>1019</v>
      </c>
      <c r="D422" s="14" t="s">
        <v>1784</v>
      </c>
      <c r="E422" s="14" t="s">
        <v>1784</v>
      </c>
      <c r="F422" s="14" t="s">
        <v>1785</v>
      </c>
      <c r="G422" s="14" t="s">
        <v>1023</v>
      </c>
      <c r="H422" s="14" t="s">
        <v>1786</v>
      </c>
      <c r="I422" s="14" t="s">
        <v>1025</v>
      </c>
      <c r="J422" s="14" t="s">
        <v>1021</v>
      </c>
      <c r="K422" s="14" t="s">
        <v>3760</v>
      </c>
      <c r="L422" s="14" t="s">
        <v>3760</v>
      </c>
      <c r="M422" s="14" t="s">
        <v>3760</v>
      </c>
    </row>
    <row r="423" spans="1:13" ht="43.5" x14ac:dyDescent="0.35">
      <c r="A423" s="14" t="s">
        <v>2605</v>
      </c>
      <c r="B423" s="14" t="s">
        <v>2605</v>
      </c>
      <c r="C423" s="14" t="s">
        <v>1019</v>
      </c>
      <c r="D423" s="14" t="s">
        <v>2209</v>
      </c>
      <c r="E423" s="14" t="s">
        <v>2209</v>
      </c>
      <c r="F423" s="14" t="s">
        <v>2210</v>
      </c>
      <c r="G423" s="14" t="s">
        <v>1048</v>
      </c>
      <c r="H423" s="14" t="s">
        <v>2211</v>
      </c>
      <c r="I423" s="14" t="s">
        <v>1050</v>
      </c>
      <c r="J423" s="14" t="s">
        <v>1021</v>
      </c>
      <c r="K423" s="14" t="s">
        <v>3764</v>
      </c>
      <c r="L423" s="14" t="s">
        <v>3611</v>
      </c>
      <c r="M423" s="14" t="s">
        <v>3611</v>
      </c>
    </row>
    <row r="424" spans="1:13" ht="29" x14ac:dyDescent="0.35">
      <c r="A424" s="14" t="s">
        <v>2609</v>
      </c>
      <c r="B424" s="14" t="s">
        <v>2609</v>
      </c>
      <c r="C424" s="14" t="s">
        <v>1019</v>
      </c>
      <c r="D424" s="14" t="s">
        <v>1604</v>
      </c>
      <c r="E424" s="14" t="s">
        <v>1604</v>
      </c>
      <c r="F424" s="14"/>
      <c r="G424" s="14" t="s">
        <v>1034</v>
      </c>
      <c r="H424" s="14"/>
      <c r="I424" s="14" t="s">
        <v>1034</v>
      </c>
      <c r="J424" s="14" t="s">
        <v>1114</v>
      </c>
      <c r="K424" s="14" t="s">
        <v>3611</v>
      </c>
      <c r="L424" s="14" t="s">
        <v>3611</v>
      </c>
      <c r="M424" s="14" t="s">
        <v>3611</v>
      </c>
    </row>
    <row r="425" spans="1:13" ht="29" x14ac:dyDescent="0.35">
      <c r="A425" s="14" t="s">
        <v>2614</v>
      </c>
      <c r="B425" s="14" t="s">
        <v>2614</v>
      </c>
      <c r="C425" s="14" t="s">
        <v>1019</v>
      </c>
      <c r="D425" s="14" t="s">
        <v>1825</v>
      </c>
      <c r="E425" s="14" t="s">
        <v>1825</v>
      </c>
      <c r="F425" s="14"/>
      <c r="G425" s="14" t="s">
        <v>1034</v>
      </c>
      <c r="H425" s="14"/>
      <c r="I425" s="14" t="s">
        <v>1034</v>
      </c>
      <c r="J425" s="14" t="s">
        <v>1114</v>
      </c>
      <c r="K425" s="14" t="s">
        <v>3611</v>
      </c>
      <c r="L425" s="14" t="s">
        <v>3611</v>
      </c>
      <c r="M425" s="14" t="s">
        <v>3611</v>
      </c>
    </row>
    <row r="426" spans="1:13" ht="29" x14ac:dyDescent="0.35">
      <c r="A426" s="14" t="s">
        <v>2615</v>
      </c>
      <c r="B426" s="14" t="s">
        <v>2615</v>
      </c>
      <c r="C426" s="14" t="s">
        <v>1019</v>
      </c>
      <c r="D426" s="14" t="s">
        <v>1751</v>
      </c>
      <c r="E426" s="14" t="s">
        <v>1751</v>
      </c>
      <c r="F426" s="14" t="s">
        <v>1752</v>
      </c>
      <c r="G426" s="14" t="s">
        <v>1048</v>
      </c>
      <c r="H426" s="14" t="s">
        <v>1753</v>
      </c>
      <c r="I426" s="14" t="s">
        <v>1050</v>
      </c>
      <c r="J426" s="14" t="s">
        <v>1021</v>
      </c>
      <c r="K426" s="14" t="s">
        <v>3611</v>
      </c>
      <c r="L426" s="14" t="s">
        <v>3611</v>
      </c>
      <c r="M426" s="14" t="s">
        <v>3611</v>
      </c>
    </row>
    <row r="427" spans="1:13" ht="29" x14ac:dyDescent="0.35">
      <c r="A427" s="14" t="s">
        <v>2618</v>
      </c>
      <c r="B427" s="14" t="s">
        <v>2618</v>
      </c>
      <c r="C427" s="14" t="s">
        <v>1019</v>
      </c>
      <c r="D427" s="14" t="s">
        <v>1595</v>
      </c>
      <c r="E427" s="14" t="s">
        <v>1595</v>
      </c>
      <c r="F427" s="14" t="s">
        <v>1596</v>
      </c>
      <c r="G427" s="14" t="s">
        <v>1023</v>
      </c>
      <c r="H427" s="14" t="s">
        <v>1597</v>
      </c>
      <c r="I427" s="14" t="s">
        <v>1023</v>
      </c>
      <c r="J427" s="14" t="s">
        <v>1021</v>
      </c>
      <c r="K427" s="14" t="s">
        <v>3760</v>
      </c>
      <c r="L427" s="14" t="s">
        <v>3611</v>
      </c>
      <c r="M427" s="14" t="s">
        <v>3760</v>
      </c>
    </row>
    <row r="428" spans="1:13" ht="43.5" x14ac:dyDescent="0.35">
      <c r="A428" s="14" t="s">
        <v>2619</v>
      </c>
      <c r="B428" s="14" t="s">
        <v>2619</v>
      </c>
      <c r="C428" s="14" t="s">
        <v>1019</v>
      </c>
      <c r="D428" s="14" t="s">
        <v>1430</v>
      </c>
      <c r="E428" s="14" t="s">
        <v>1430</v>
      </c>
      <c r="F428" s="14" t="s">
        <v>1431</v>
      </c>
      <c r="G428" s="14" t="s">
        <v>1048</v>
      </c>
      <c r="H428" s="14" t="s">
        <v>1432</v>
      </c>
      <c r="I428" s="14" t="s">
        <v>1025</v>
      </c>
      <c r="J428" s="14" t="s">
        <v>1021</v>
      </c>
      <c r="K428" s="14" t="s">
        <v>3611</v>
      </c>
      <c r="L428" s="14" t="s">
        <v>3760</v>
      </c>
      <c r="M428" s="14" t="s">
        <v>3760</v>
      </c>
    </row>
    <row r="429" spans="1:13" ht="58" x14ac:dyDescent="0.35">
      <c r="A429" s="14" t="s">
        <v>2620</v>
      </c>
      <c r="B429" s="14" t="s">
        <v>2620</v>
      </c>
      <c r="C429" s="14" t="s">
        <v>1019</v>
      </c>
      <c r="D429" s="14" t="s">
        <v>1372</v>
      </c>
      <c r="E429" s="14" t="s">
        <v>1372</v>
      </c>
      <c r="F429" s="14" t="s">
        <v>1373</v>
      </c>
      <c r="G429" s="14" t="s">
        <v>1023</v>
      </c>
      <c r="H429" s="14" t="s">
        <v>1374</v>
      </c>
      <c r="I429" s="14" t="s">
        <v>1023</v>
      </c>
      <c r="J429" s="14" t="s">
        <v>1021</v>
      </c>
      <c r="K429" s="14" t="s">
        <v>2832</v>
      </c>
      <c r="L429" s="14" t="s">
        <v>3589</v>
      </c>
      <c r="M429" s="14" t="s">
        <v>3765</v>
      </c>
    </row>
    <row r="430" spans="1:13" ht="29" x14ac:dyDescent="0.35">
      <c r="A430" s="14" t="s">
        <v>2621</v>
      </c>
      <c r="B430" s="14" t="s">
        <v>2621</v>
      </c>
      <c r="C430" s="14" t="s">
        <v>1019</v>
      </c>
      <c r="D430" s="14" t="s">
        <v>1259</v>
      </c>
      <c r="E430" s="14" t="s">
        <v>1259</v>
      </c>
      <c r="F430" s="14" t="s">
        <v>1260</v>
      </c>
      <c r="G430" s="14" t="s">
        <v>1023</v>
      </c>
      <c r="H430" s="14" t="s">
        <v>1261</v>
      </c>
      <c r="I430" s="14" t="s">
        <v>1025</v>
      </c>
      <c r="J430" s="14" t="s">
        <v>1021</v>
      </c>
      <c r="K430" s="14" t="s">
        <v>2911</v>
      </c>
      <c r="L430" s="14" t="s">
        <v>2911</v>
      </c>
      <c r="M430" s="14" t="s">
        <v>3589</v>
      </c>
    </row>
    <row r="431" spans="1:13" x14ac:dyDescent="0.35">
      <c r="A431" s="14" t="s">
        <v>2623</v>
      </c>
      <c r="B431" s="14" t="s">
        <v>2623</v>
      </c>
      <c r="C431" s="14" t="s">
        <v>1019</v>
      </c>
      <c r="D431" s="14" t="s">
        <v>2624</v>
      </c>
      <c r="E431" s="14" t="s">
        <v>2624</v>
      </c>
      <c r="F431" s="14" t="s">
        <v>2625</v>
      </c>
      <c r="G431" s="14" t="s">
        <v>1050</v>
      </c>
      <c r="H431" s="14" t="s">
        <v>2626</v>
      </c>
      <c r="I431" s="14" t="s">
        <v>1050</v>
      </c>
      <c r="J431" s="14" t="s">
        <v>1021</v>
      </c>
      <c r="K431" s="14" t="s">
        <v>3611</v>
      </c>
      <c r="L431" s="14" t="s">
        <v>3611</v>
      </c>
      <c r="M431" s="14" t="s">
        <v>3611</v>
      </c>
    </row>
    <row r="432" spans="1:13" ht="58" x14ac:dyDescent="0.35">
      <c r="A432" s="14" t="s">
        <v>2627</v>
      </c>
      <c r="B432" s="14" t="s">
        <v>2627</v>
      </c>
      <c r="C432" s="14" t="s">
        <v>1019</v>
      </c>
      <c r="D432" s="14" t="s">
        <v>1351</v>
      </c>
      <c r="E432" s="14" t="s">
        <v>1351</v>
      </c>
      <c r="F432" s="14" t="s">
        <v>1352</v>
      </c>
      <c r="G432" s="14" t="s">
        <v>1023</v>
      </c>
      <c r="H432" s="14" t="s">
        <v>1353</v>
      </c>
      <c r="I432" s="14" t="s">
        <v>1025</v>
      </c>
      <c r="J432" s="14" t="s">
        <v>1021</v>
      </c>
      <c r="K432" s="14" t="s">
        <v>3611</v>
      </c>
      <c r="L432" s="14" t="s">
        <v>2911</v>
      </c>
      <c r="M432" s="14" t="s">
        <v>2911</v>
      </c>
    </row>
    <row r="433" spans="1:13" ht="29" x14ac:dyDescent="0.35">
      <c r="A433" s="14" t="s">
        <v>2630</v>
      </c>
      <c r="B433" s="14" t="s">
        <v>2630</v>
      </c>
      <c r="C433" s="14" t="s">
        <v>1019</v>
      </c>
      <c r="D433" s="14" t="s">
        <v>1113</v>
      </c>
      <c r="E433" s="14" t="s">
        <v>1113</v>
      </c>
      <c r="F433" s="14"/>
      <c r="G433" s="14" t="s">
        <v>1034</v>
      </c>
      <c r="H433" s="14"/>
      <c r="I433" s="14" t="s">
        <v>1034</v>
      </c>
      <c r="J433" s="14" t="s">
        <v>1114</v>
      </c>
      <c r="K433" s="14" t="s">
        <v>3611</v>
      </c>
      <c r="L433" s="14" t="s">
        <v>3611</v>
      </c>
      <c r="M433" s="14" t="s">
        <v>3611</v>
      </c>
    </row>
    <row r="434" spans="1:13" ht="29" x14ac:dyDescent="0.35">
      <c r="A434" s="14" t="s">
        <v>2633</v>
      </c>
      <c r="B434" s="14" t="s">
        <v>2633</v>
      </c>
      <c r="C434" s="14" t="s">
        <v>1019</v>
      </c>
      <c r="D434" s="14" t="s">
        <v>1477</v>
      </c>
      <c r="E434" s="14" t="s">
        <v>1477</v>
      </c>
      <c r="F434" s="14"/>
      <c r="G434" s="14" t="s">
        <v>1034</v>
      </c>
      <c r="H434" s="14"/>
      <c r="I434" s="14" t="s">
        <v>1034</v>
      </c>
      <c r="J434" s="14" t="s">
        <v>1114</v>
      </c>
      <c r="K434" s="14" t="s">
        <v>3611</v>
      </c>
      <c r="L434" s="14" t="s">
        <v>3611</v>
      </c>
      <c r="M434" s="14" t="s">
        <v>3611</v>
      </c>
    </row>
    <row r="435" spans="1:13" ht="58" x14ac:dyDescent="0.35">
      <c r="A435" s="14" t="s">
        <v>2634</v>
      </c>
      <c r="B435" s="14" t="s">
        <v>2634</v>
      </c>
      <c r="C435" s="14" t="s">
        <v>1019</v>
      </c>
      <c r="D435" s="14" t="s">
        <v>1372</v>
      </c>
      <c r="E435" s="14" t="s">
        <v>1372</v>
      </c>
      <c r="F435" s="14" t="s">
        <v>1373</v>
      </c>
      <c r="G435" s="14" t="s">
        <v>1023</v>
      </c>
      <c r="H435" s="14" t="s">
        <v>1374</v>
      </c>
      <c r="I435" s="14" t="s">
        <v>1023</v>
      </c>
      <c r="J435" s="14" t="s">
        <v>1021</v>
      </c>
      <c r="K435" s="14" t="s">
        <v>2832</v>
      </c>
      <c r="L435" s="14" t="s">
        <v>3589</v>
      </c>
      <c r="M435" s="14" t="s">
        <v>3765</v>
      </c>
    </row>
    <row r="436" spans="1:13" ht="58" x14ac:dyDescent="0.35">
      <c r="A436" s="14" t="s">
        <v>2635</v>
      </c>
      <c r="B436" s="14" t="s">
        <v>2635</v>
      </c>
      <c r="C436" s="14" t="s">
        <v>1019</v>
      </c>
      <c r="D436" s="14" t="s">
        <v>1372</v>
      </c>
      <c r="E436" s="14" t="s">
        <v>1372</v>
      </c>
      <c r="F436" s="14" t="s">
        <v>1373</v>
      </c>
      <c r="G436" s="14" t="s">
        <v>1023</v>
      </c>
      <c r="H436" s="14" t="s">
        <v>1374</v>
      </c>
      <c r="I436" s="14" t="s">
        <v>1023</v>
      </c>
      <c r="J436" s="14" t="s">
        <v>1021</v>
      </c>
      <c r="K436" s="14" t="s">
        <v>2832</v>
      </c>
      <c r="L436" s="14" t="s">
        <v>3589</v>
      </c>
      <c r="M436" s="14" t="s">
        <v>3765</v>
      </c>
    </row>
    <row r="437" spans="1:13" ht="29" x14ac:dyDescent="0.35">
      <c r="A437" s="14" t="s">
        <v>2636</v>
      </c>
      <c r="B437" s="14" t="s">
        <v>2636</v>
      </c>
      <c r="C437" s="14" t="s">
        <v>1019</v>
      </c>
      <c r="D437" s="14" t="s">
        <v>1923</v>
      </c>
      <c r="E437" s="14" t="s">
        <v>1923</v>
      </c>
      <c r="F437" s="14" t="s">
        <v>1924</v>
      </c>
      <c r="G437" s="14" t="s">
        <v>1048</v>
      </c>
      <c r="H437" s="14" t="s">
        <v>1925</v>
      </c>
      <c r="I437" s="14" t="s">
        <v>1050</v>
      </c>
      <c r="J437" s="14" t="s">
        <v>1021</v>
      </c>
      <c r="K437" s="14" t="s">
        <v>3611</v>
      </c>
      <c r="L437" s="14" t="s">
        <v>3611</v>
      </c>
      <c r="M437" s="14" t="s">
        <v>3611</v>
      </c>
    </row>
    <row r="438" spans="1:13" x14ac:dyDescent="0.35">
      <c r="A438" s="14" t="s">
        <v>2637</v>
      </c>
      <c r="B438" s="14" t="s">
        <v>2637</v>
      </c>
      <c r="C438" s="14" t="s">
        <v>1019</v>
      </c>
      <c r="D438" s="14" t="s">
        <v>1325</v>
      </c>
      <c r="E438" s="14" t="s">
        <v>1325</v>
      </c>
      <c r="F438" s="14" t="s">
        <v>1326</v>
      </c>
      <c r="G438" s="14" t="s">
        <v>1050</v>
      </c>
      <c r="H438" s="14" t="s">
        <v>1327</v>
      </c>
      <c r="I438" s="14" t="s">
        <v>1050</v>
      </c>
      <c r="J438" s="14" t="s">
        <v>1021</v>
      </c>
      <c r="K438" s="14" t="s">
        <v>3760</v>
      </c>
      <c r="L438" s="14" t="s">
        <v>3611</v>
      </c>
      <c r="M438" s="14" t="s">
        <v>3611</v>
      </c>
    </row>
    <row r="439" spans="1:13" ht="29" x14ac:dyDescent="0.35">
      <c r="A439" s="14" t="s">
        <v>2641</v>
      </c>
      <c r="B439" s="14" t="s">
        <v>2641</v>
      </c>
      <c r="C439" s="14" t="s">
        <v>1019</v>
      </c>
      <c r="D439" s="14" t="s">
        <v>1595</v>
      </c>
      <c r="E439" s="14" t="s">
        <v>1595</v>
      </c>
      <c r="F439" s="14" t="s">
        <v>1596</v>
      </c>
      <c r="G439" s="14" t="s">
        <v>1023</v>
      </c>
      <c r="H439" s="14" t="s">
        <v>1597</v>
      </c>
      <c r="I439" s="14" t="s">
        <v>1023</v>
      </c>
      <c r="J439" s="14" t="s">
        <v>1021</v>
      </c>
      <c r="K439" s="14" t="s">
        <v>3760</v>
      </c>
      <c r="L439" s="14" t="s">
        <v>3611</v>
      </c>
      <c r="M439" s="14" t="s">
        <v>3760</v>
      </c>
    </row>
    <row r="440" spans="1:13" ht="87" x14ac:dyDescent="0.35">
      <c r="A440" s="14" t="s">
        <v>2645</v>
      </c>
      <c r="B440" s="14" t="s">
        <v>2645</v>
      </c>
      <c r="C440" s="14" t="s">
        <v>1019</v>
      </c>
      <c r="D440" s="14" t="s">
        <v>1059</v>
      </c>
      <c r="E440" s="14" t="s">
        <v>1059</v>
      </c>
      <c r="F440" s="14" t="s">
        <v>1060</v>
      </c>
      <c r="G440" s="14" t="s">
        <v>1023</v>
      </c>
      <c r="H440" s="14" t="s">
        <v>1061</v>
      </c>
      <c r="I440" s="14" t="s">
        <v>1023</v>
      </c>
      <c r="J440" s="14" t="s">
        <v>1021</v>
      </c>
      <c r="K440" s="14" t="s">
        <v>2911</v>
      </c>
      <c r="L440" s="14" t="s">
        <v>3589</v>
      </c>
      <c r="M440" s="14" t="s">
        <v>3589</v>
      </c>
    </row>
    <row r="441" spans="1:13" ht="87" x14ac:dyDescent="0.35">
      <c r="A441" s="14" t="s">
        <v>2649</v>
      </c>
      <c r="B441" s="14" t="s">
        <v>2649</v>
      </c>
      <c r="C441" s="14" t="s">
        <v>1019</v>
      </c>
      <c r="D441" s="14" t="s">
        <v>1059</v>
      </c>
      <c r="E441" s="14" t="s">
        <v>1059</v>
      </c>
      <c r="F441" s="14" t="s">
        <v>1060</v>
      </c>
      <c r="G441" s="14" t="s">
        <v>1023</v>
      </c>
      <c r="H441" s="14" t="s">
        <v>1061</v>
      </c>
      <c r="I441" s="14" t="s">
        <v>1023</v>
      </c>
      <c r="J441" s="14" t="s">
        <v>1021</v>
      </c>
      <c r="K441" s="14" t="s">
        <v>2911</v>
      </c>
      <c r="L441" s="14" t="s">
        <v>3589</v>
      </c>
      <c r="M441" s="14" t="s">
        <v>3589</v>
      </c>
    </row>
    <row r="442" spans="1:13" ht="29" x14ac:dyDescent="0.35">
      <c r="A442" s="14" t="s">
        <v>2652</v>
      </c>
      <c r="B442" s="14" t="s">
        <v>2652</v>
      </c>
      <c r="C442" s="14" t="s">
        <v>1019</v>
      </c>
      <c r="D442" s="14" t="s">
        <v>1192</v>
      </c>
      <c r="E442" s="14" t="s">
        <v>1192</v>
      </c>
      <c r="F442" s="14" t="s">
        <v>1193</v>
      </c>
      <c r="G442" s="14" t="s">
        <v>1048</v>
      </c>
      <c r="H442" s="14" t="s">
        <v>1194</v>
      </c>
      <c r="I442" s="14" t="s">
        <v>1048</v>
      </c>
      <c r="J442" s="14" t="s">
        <v>1021</v>
      </c>
      <c r="K442" s="14" t="s">
        <v>3611</v>
      </c>
      <c r="L442" s="14" t="s">
        <v>3611</v>
      </c>
      <c r="M442" s="14" t="s">
        <v>3611</v>
      </c>
    </row>
    <row r="443" spans="1:13" ht="43.5" x14ac:dyDescent="0.35">
      <c r="A443" s="14" t="s">
        <v>2654</v>
      </c>
      <c r="B443" s="14" t="s">
        <v>2654</v>
      </c>
      <c r="C443" s="14" t="s">
        <v>1019</v>
      </c>
      <c r="D443" s="14" t="s">
        <v>1274</v>
      </c>
      <c r="E443" s="14" t="s">
        <v>1274</v>
      </c>
      <c r="F443" s="14" t="s">
        <v>1275</v>
      </c>
      <c r="G443" s="14" t="s">
        <v>1023</v>
      </c>
      <c r="H443" s="14" t="s">
        <v>1276</v>
      </c>
      <c r="I443" s="14" t="s">
        <v>1025</v>
      </c>
      <c r="J443" s="14" t="s">
        <v>1021</v>
      </c>
      <c r="K443" s="14" t="s">
        <v>3760</v>
      </c>
      <c r="L443" s="14" t="s">
        <v>3611</v>
      </c>
      <c r="M443" s="14" t="s">
        <v>3760</v>
      </c>
    </row>
    <row r="444" spans="1:13" ht="43.5" x14ac:dyDescent="0.35">
      <c r="A444" s="14" t="s">
        <v>2656</v>
      </c>
      <c r="B444" s="14" t="s">
        <v>2656</v>
      </c>
      <c r="C444" s="14" t="s">
        <v>1019</v>
      </c>
      <c r="D444" s="14" t="s">
        <v>1413</v>
      </c>
      <c r="E444" s="14" t="s">
        <v>1413</v>
      </c>
      <c r="F444" s="14" t="s">
        <v>1414</v>
      </c>
      <c r="G444" s="14" t="s">
        <v>1048</v>
      </c>
      <c r="H444" s="14" t="s">
        <v>1415</v>
      </c>
      <c r="I444" s="14" t="s">
        <v>1048</v>
      </c>
      <c r="J444" s="14" t="s">
        <v>1021</v>
      </c>
      <c r="K444" s="14" t="s">
        <v>3611</v>
      </c>
      <c r="L444" s="14" t="s">
        <v>3611</v>
      </c>
      <c r="M444" s="14" t="s">
        <v>3611</v>
      </c>
    </row>
    <row r="445" spans="1:13" x14ac:dyDescent="0.35">
      <c r="A445" s="14" t="s">
        <v>2658</v>
      </c>
      <c r="B445" s="14" t="s">
        <v>2658</v>
      </c>
      <c r="C445" s="14" t="s">
        <v>1019</v>
      </c>
      <c r="D445" s="14" t="s">
        <v>1589</v>
      </c>
      <c r="E445" s="14" t="s">
        <v>1589</v>
      </c>
      <c r="F445" s="14" t="s">
        <v>1590</v>
      </c>
      <c r="G445" s="14" t="s">
        <v>1050</v>
      </c>
      <c r="H445" s="14" t="s">
        <v>1591</v>
      </c>
      <c r="I445" s="14" t="s">
        <v>1050</v>
      </c>
      <c r="J445" s="14" t="s">
        <v>1021</v>
      </c>
      <c r="K445" s="14" t="s">
        <v>3611</v>
      </c>
      <c r="L445" s="14" t="s">
        <v>3611</v>
      </c>
      <c r="M445" s="14" t="s">
        <v>3611</v>
      </c>
    </row>
    <row r="446" spans="1:13" ht="29" x14ac:dyDescent="0.35">
      <c r="A446" s="14" t="s">
        <v>2660</v>
      </c>
      <c r="B446" s="14" t="s">
        <v>2660</v>
      </c>
      <c r="C446" s="14" t="s">
        <v>1019</v>
      </c>
      <c r="D446" s="14" t="s">
        <v>1437</v>
      </c>
      <c r="E446" s="14" t="s">
        <v>1437</v>
      </c>
      <c r="F446" s="14" t="s">
        <v>1438</v>
      </c>
      <c r="G446" s="14" t="s">
        <v>1048</v>
      </c>
      <c r="H446" s="14" t="s">
        <v>1439</v>
      </c>
      <c r="I446" s="14" t="s">
        <v>1048</v>
      </c>
      <c r="J446" s="14" t="s">
        <v>1021</v>
      </c>
      <c r="K446" s="14" t="s">
        <v>3611</v>
      </c>
      <c r="L446" s="14" t="s">
        <v>3611</v>
      </c>
      <c r="M446" s="14" t="s">
        <v>3611</v>
      </c>
    </row>
    <row r="447" spans="1:13" x14ac:dyDescent="0.35">
      <c r="A447" s="14" t="s">
        <v>2662</v>
      </c>
      <c r="B447" s="14" t="s">
        <v>2662</v>
      </c>
      <c r="C447" s="14" t="s">
        <v>1019</v>
      </c>
      <c r="D447" s="14" t="s">
        <v>1651</v>
      </c>
      <c r="E447" s="14" t="s">
        <v>1651</v>
      </c>
      <c r="F447" s="14" t="s">
        <v>1652</v>
      </c>
      <c r="G447" s="14" t="s">
        <v>1050</v>
      </c>
      <c r="H447" s="14" t="s">
        <v>1653</v>
      </c>
      <c r="I447" s="14" t="s">
        <v>1050</v>
      </c>
      <c r="J447" s="14" t="s">
        <v>1021</v>
      </c>
      <c r="K447" s="14" t="s">
        <v>3611</v>
      </c>
      <c r="L447" s="14" t="s">
        <v>3611</v>
      </c>
      <c r="M447" s="14" t="s">
        <v>3611</v>
      </c>
    </row>
    <row r="448" spans="1:13" ht="29" x14ac:dyDescent="0.35">
      <c r="A448" s="14" t="s">
        <v>2665</v>
      </c>
      <c r="B448" s="14" t="s">
        <v>2665</v>
      </c>
      <c r="C448" s="14" t="s">
        <v>1019</v>
      </c>
      <c r="D448" s="14" t="s">
        <v>1656</v>
      </c>
      <c r="E448" s="14" t="s">
        <v>1656</v>
      </c>
      <c r="F448" s="14" t="s">
        <v>1657</v>
      </c>
      <c r="G448" s="14" t="s">
        <v>1048</v>
      </c>
      <c r="H448" s="14" t="s">
        <v>1658</v>
      </c>
      <c r="I448" s="14" t="s">
        <v>1050</v>
      </c>
      <c r="J448" s="14" t="s">
        <v>1021</v>
      </c>
      <c r="K448" s="14" t="s">
        <v>3611</v>
      </c>
      <c r="L448" s="14" t="s">
        <v>3760</v>
      </c>
      <c r="M448" s="14" t="s">
        <v>3611</v>
      </c>
    </row>
    <row r="449" spans="1:13" ht="87" x14ac:dyDescent="0.35">
      <c r="A449" s="14" t="s">
        <v>2667</v>
      </c>
      <c r="B449" s="14" t="s">
        <v>2667</v>
      </c>
      <c r="C449" s="14" t="s">
        <v>1019</v>
      </c>
      <c r="D449" s="14" t="s">
        <v>1739</v>
      </c>
      <c r="E449" s="14" t="s">
        <v>1739</v>
      </c>
      <c r="F449" s="14" t="s">
        <v>1740</v>
      </c>
      <c r="G449" s="14" t="s">
        <v>1048</v>
      </c>
      <c r="H449" s="14" t="s">
        <v>1741</v>
      </c>
      <c r="I449" s="14" t="s">
        <v>1050</v>
      </c>
      <c r="J449" s="14" t="s">
        <v>1021</v>
      </c>
      <c r="K449" s="14" t="s">
        <v>3611</v>
      </c>
      <c r="L449" s="14" t="s">
        <v>3611</v>
      </c>
      <c r="M449" s="14" t="s">
        <v>3611</v>
      </c>
    </row>
    <row r="450" spans="1:13" ht="29" x14ac:dyDescent="0.35">
      <c r="A450" s="14" t="s">
        <v>2669</v>
      </c>
      <c r="B450" s="14" t="s">
        <v>2669</v>
      </c>
      <c r="C450" s="14" t="s">
        <v>1019</v>
      </c>
      <c r="D450" s="14" t="s">
        <v>2671</v>
      </c>
      <c r="E450" s="14" t="s">
        <v>2671</v>
      </c>
      <c r="F450" s="14" t="s">
        <v>2672</v>
      </c>
      <c r="G450" s="14" t="s">
        <v>1023</v>
      </c>
      <c r="H450" s="14" t="s">
        <v>2673</v>
      </c>
      <c r="I450" s="14" t="s">
        <v>1025</v>
      </c>
      <c r="J450" s="14" t="s">
        <v>1021</v>
      </c>
      <c r="K450" s="14" t="s">
        <v>2832</v>
      </c>
      <c r="L450" s="14" t="s">
        <v>2912</v>
      </c>
      <c r="M450" s="14" t="s">
        <v>3765</v>
      </c>
    </row>
    <row r="451" spans="1:13" ht="58" x14ac:dyDescent="0.35">
      <c r="A451" s="14" t="s">
        <v>2675</v>
      </c>
      <c r="B451" s="14" t="s">
        <v>2675</v>
      </c>
      <c r="C451" s="14" t="s">
        <v>1019</v>
      </c>
      <c r="D451" s="14" t="s">
        <v>1372</v>
      </c>
      <c r="E451" s="14" t="s">
        <v>1372</v>
      </c>
      <c r="F451" s="14" t="s">
        <v>1373</v>
      </c>
      <c r="G451" s="14" t="s">
        <v>1023</v>
      </c>
      <c r="H451" s="14" t="s">
        <v>1374</v>
      </c>
      <c r="I451" s="14" t="s">
        <v>1023</v>
      </c>
      <c r="J451" s="14" t="s">
        <v>1021</v>
      </c>
      <c r="K451" s="14" t="s">
        <v>2832</v>
      </c>
      <c r="L451" s="14" t="s">
        <v>3589</v>
      </c>
      <c r="M451" s="14" t="s">
        <v>3765</v>
      </c>
    </row>
    <row r="452" spans="1:13" ht="72.5" x14ac:dyDescent="0.35">
      <c r="A452" s="14" t="s">
        <v>2678</v>
      </c>
      <c r="B452" s="14" t="s">
        <v>2678</v>
      </c>
      <c r="C452" s="14" t="s">
        <v>1019</v>
      </c>
      <c r="D452" s="14" t="s">
        <v>1683</v>
      </c>
      <c r="E452" s="14" t="s">
        <v>1683</v>
      </c>
      <c r="F452" s="14" t="s">
        <v>1684</v>
      </c>
      <c r="G452" s="14" t="s">
        <v>1048</v>
      </c>
      <c r="H452" s="14" t="s">
        <v>1685</v>
      </c>
      <c r="I452" s="14" t="s">
        <v>1050</v>
      </c>
      <c r="J452" s="14" t="s">
        <v>1021</v>
      </c>
      <c r="K452" s="14" t="s">
        <v>3611</v>
      </c>
      <c r="L452" s="14" t="s">
        <v>3611</v>
      </c>
      <c r="M452" s="14" t="s">
        <v>3611</v>
      </c>
    </row>
    <row r="453" spans="1:13" ht="58" x14ac:dyDescent="0.35">
      <c r="A453" s="14" t="s">
        <v>2680</v>
      </c>
      <c r="B453" s="14" t="s">
        <v>2680</v>
      </c>
      <c r="C453" s="14" t="s">
        <v>1019</v>
      </c>
      <c r="D453" s="14" t="s">
        <v>1372</v>
      </c>
      <c r="E453" s="14" t="s">
        <v>1372</v>
      </c>
      <c r="F453" s="14" t="s">
        <v>1373</v>
      </c>
      <c r="G453" s="14" t="s">
        <v>1023</v>
      </c>
      <c r="H453" s="14" t="s">
        <v>1374</v>
      </c>
      <c r="I453" s="14" t="s">
        <v>1023</v>
      </c>
      <c r="J453" s="14" t="s">
        <v>1021</v>
      </c>
      <c r="K453" s="14" t="s">
        <v>2832</v>
      </c>
      <c r="L453" s="14" t="s">
        <v>3589</v>
      </c>
      <c r="M453" s="14" t="s">
        <v>3765</v>
      </c>
    </row>
    <row r="454" spans="1:13" ht="58" x14ac:dyDescent="0.35">
      <c r="A454" s="14" t="s">
        <v>2681</v>
      </c>
      <c r="B454" s="14" t="s">
        <v>2681</v>
      </c>
      <c r="C454" s="14" t="s">
        <v>1019</v>
      </c>
      <c r="D454" s="14" t="s">
        <v>1372</v>
      </c>
      <c r="E454" s="14" t="s">
        <v>1372</v>
      </c>
      <c r="F454" s="14" t="s">
        <v>1373</v>
      </c>
      <c r="G454" s="14" t="s">
        <v>1023</v>
      </c>
      <c r="H454" s="14" t="s">
        <v>1374</v>
      </c>
      <c r="I454" s="14" t="s">
        <v>1023</v>
      </c>
      <c r="J454" s="14" t="s">
        <v>1021</v>
      </c>
      <c r="K454" s="14" t="s">
        <v>2832</v>
      </c>
      <c r="L454" s="14" t="s">
        <v>3589</v>
      </c>
      <c r="M454" s="14" t="s">
        <v>3765</v>
      </c>
    </row>
    <row r="455" spans="1:13" ht="43.5" x14ac:dyDescent="0.35">
      <c r="A455" s="14" t="s">
        <v>2682</v>
      </c>
      <c r="B455" s="14" t="s">
        <v>2682</v>
      </c>
      <c r="C455" s="14" t="s">
        <v>1019</v>
      </c>
      <c r="D455" s="14" t="s">
        <v>1186</v>
      </c>
      <c r="E455" s="14" t="s">
        <v>1186</v>
      </c>
      <c r="F455" s="14" t="s">
        <v>1187</v>
      </c>
      <c r="G455" s="14" t="s">
        <v>1023</v>
      </c>
      <c r="H455" s="14" t="s">
        <v>1188</v>
      </c>
      <c r="I455" s="14" t="s">
        <v>1025</v>
      </c>
      <c r="J455" s="14" t="s">
        <v>1021</v>
      </c>
      <c r="K455" s="14" t="s">
        <v>3589</v>
      </c>
      <c r="L455" s="14" t="s">
        <v>3589</v>
      </c>
      <c r="M455" s="14" t="s">
        <v>2832</v>
      </c>
    </row>
    <row r="456" spans="1:13" ht="29" x14ac:dyDescent="0.35">
      <c r="A456" s="14" t="s">
        <v>2684</v>
      </c>
      <c r="B456" s="14" t="s">
        <v>2684</v>
      </c>
      <c r="C456" s="14" t="s">
        <v>1019</v>
      </c>
      <c r="D456" s="14" t="s">
        <v>1425</v>
      </c>
      <c r="E456" s="14" t="s">
        <v>1425</v>
      </c>
      <c r="F456" s="14" t="s">
        <v>1426</v>
      </c>
      <c r="G456" s="14" t="s">
        <v>1048</v>
      </c>
      <c r="H456" s="14" t="s">
        <v>1427</v>
      </c>
      <c r="I456" s="14" t="s">
        <v>1050</v>
      </c>
      <c r="J456" s="14" t="s">
        <v>1021</v>
      </c>
      <c r="K456" s="14" t="s">
        <v>3611</v>
      </c>
      <c r="L456" s="14" t="s">
        <v>3611</v>
      </c>
      <c r="M456" s="14" t="s">
        <v>3611</v>
      </c>
    </row>
    <row r="457" spans="1:13" ht="29" x14ac:dyDescent="0.35">
      <c r="A457" s="14" t="s">
        <v>2686</v>
      </c>
      <c r="B457" s="14" t="s">
        <v>2686</v>
      </c>
      <c r="C457" s="14" t="s">
        <v>1019</v>
      </c>
      <c r="D457" s="14" t="s">
        <v>2301</v>
      </c>
      <c r="E457" s="14" t="s">
        <v>2301</v>
      </c>
      <c r="F457" s="14" t="s">
        <v>2302</v>
      </c>
      <c r="G457" s="14" t="s">
        <v>1048</v>
      </c>
      <c r="H457" s="14"/>
      <c r="I457" s="14" t="s">
        <v>1034</v>
      </c>
      <c r="J457" s="14" t="s">
        <v>1021</v>
      </c>
      <c r="K457" s="14" t="s">
        <v>3764</v>
      </c>
      <c r="L457" s="14" t="s">
        <v>3611</v>
      </c>
      <c r="M457" s="14" t="s">
        <v>3611</v>
      </c>
    </row>
    <row r="458" spans="1:13" x14ac:dyDescent="0.35">
      <c r="A458" s="14" t="s">
        <v>2688</v>
      </c>
      <c r="B458" s="14" t="s">
        <v>2688</v>
      </c>
      <c r="C458" s="14" t="s">
        <v>1019</v>
      </c>
      <c r="D458" s="14" t="s">
        <v>1641</v>
      </c>
      <c r="E458" s="14" t="s">
        <v>1641</v>
      </c>
      <c r="F458" s="14" t="s">
        <v>1642</v>
      </c>
      <c r="G458" s="14" t="s">
        <v>1050</v>
      </c>
      <c r="H458" s="14"/>
      <c r="I458" s="14" t="s">
        <v>1034</v>
      </c>
      <c r="J458" s="14" t="s">
        <v>1021</v>
      </c>
      <c r="K458" s="14" t="s">
        <v>3611</v>
      </c>
      <c r="L458" s="14" t="s">
        <v>3764</v>
      </c>
      <c r="M458" s="14" t="s">
        <v>3611</v>
      </c>
    </row>
    <row r="459" spans="1:13" ht="29" x14ac:dyDescent="0.35">
      <c r="A459" s="14" t="s">
        <v>2690</v>
      </c>
      <c r="B459" s="14" t="s">
        <v>2690</v>
      </c>
      <c r="C459" s="14" t="s">
        <v>1019</v>
      </c>
      <c r="D459" s="14" t="s">
        <v>1070</v>
      </c>
      <c r="E459" s="14" t="s">
        <v>1070</v>
      </c>
      <c r="F459" s="14" t="s">
        <v>1071</v>
      </c>
      <c r="G459" s="14" t="s">
        <v>1048</v>
      </c>
      <c r="H459" s="14" t="s">
        <v>1072</v>
      </c>
      <c r="I459" s="14" t="s">
        <v>1050</v>
      </c>
      <c r="J459" s="14" t="s">
        <v>1021</v>
      </c>
      <c r="K459" s="14" t="s">
        <v>3611</v>
      </c>
      <c r="L459" s="14" t="s">
        <v>3611</v>
      </c>
      <c r="M459" s="14" t="s">
        <v>3611</v>
      </c>
    </row>
    <row r="460" spans="1:13" ht="72.5" x14ac:dyDescent="0.35">
      <c r="A460" s="14" t="s">
        <v>2693</v>
      </c>
      <c r="B460" s="14" t="s">
        <v>2693</v>
      </c>
      <c r="C460" s="14" t="s">
        <v>1019</v>
      </c>
      <c r="D460" s="14" t="s">
        <v>1893</v>
      </c>
      <c r="E460" s="14" t="s">
        <v>1893</v>
      </c>
      <c r="F460" s="14" t="s">
        <v>1894</v>
      </c>
      <c r="G460" s="14" t="s">
        <v>1048</v>
      </c>
      <c r="H460" s="14" t="s">
        <v>1895</v>
      </c>
      <c r="I460" s="14" t="s">
        <v>1048</v>
      </c>
      <c r="J460" s="14" t="s">
        <v>1021</v>
      </c>
      <c r="K460" s="14" t="s">
        <v>3611</v>
      </c>
      <c r="L460" s="14" t="s">
        <v>3760</v>
      </c>
      <c r="M460" s="14" t="s">
        <v>3611</v>
      </c>
    </row>
    <row r="461" spans="1:13" ht="43.5" x14ac:dyDescent="0.35">
      <c r="A461" s="14" t="s">
        <v>2696</v>
      </c>
      <c r="B461" s="14" t="s">
        <v>2696</v>
      </c>
      <c r="C461" s="14" t="s">
        <v>1019</v>
      </c>
      <c r="D461" s="14" t="s">
        <v>1490</v>
      </c>
      <c r="E461" s="14" t="s">
        <v>1490</v>
      </c>
      <c r="F461" s="14" t="s">
        <v>1491</v>
      </c>
      <c r="G461" s="14" t="s">
        <v>1023</v>
      </c>
      <c r="H461" s="14" t="s">
        <v>1492</v>
      </c>
      <c r="I461" s="14" t="s">
        <v>1025</v>
      </c>
      <c r="J461" s="14" t="s">
        <v>1021</v>
      </c>
      <c r="K461" s="14" t="s">
        <v>3760</v>
      </c>
      <c r="L461" s="14" t="s">
        <v>3760</v>
      </c>
      <c r="M461" s="14" t="s">
        <v>3760</v>
      </c>
    </row>
    <row r="462" spans="1:13" ht="29" x14ac:dyDescent="0.35">
      <c r="A462" s="14" t="s">
        <v>2697</v>
      </c>
      <c r="B462" s="14" t="s">
        <v>2697</v>
      </c>
      <c r="C462" s="14" t="s">
        <v>1019</v>
      </c>
      <c r="D462" s="14" t="s">
        <v>1557</v>
      </c>
      <c r="E462" s="14" t="s">
        <v>1557</v>
      </c>
      <c r="F462" s="14" t="s">
        <v>1558</v>
      </c>
      <c r="G462" s="14" t="s">
        <v>1048</v>
      </c>
      <c r="H462" s="14" t="s">
        <v>1559</v>
      </c>
      <c r="I462" s="14" t="s">
        <v>1050</v>
      </c>
      <c r="J462" s="14" t="s">
        <v>1021</v>
      </c>
      <c r="K462" s="14" t="s">
        <v>3611</v>
      </c>
      <c r="L462" s="14" t="s">
        <v>3764</v>
      </c>
      <c r="M462" s="14" t="s">
        <v>3611</v>
      </c>
    </row>
    <row r="463" spans="1:13" ht="43.5" x14ac:dyDescent="0.35">
      <c r="A463" s="14" t="s">
        <v>2699</v>
      </c>
      <c r="B463" s="14" t="s">
        <v>2699</v>
      </c>
      <c r="C463" s="14" t="s">
        <v>1019</v>
      </c>
      <c r="D463" s="14" t="s">
        <v>1837</v>
      </c>
      <c r="E463" s="14" t="s">
        <v>1837</v>
      </c>
      <c r="F463" s="14" t="s">
        <v>1838</v>
      </c>
      <c r="G463" s="14" t="s">
        <v>1023</v>
      </c>
      <c r="H463" s="14" t="s">
        <v>1839</v>
      </c>
      <c r="I463" s="14" t="s">
        <v>1023</v>
      </c>
      <c r="J463" s="14" t="s">
        <v>1021</v>
      </c>
      <c r="K463" s="14" t="s">
        <v>3611</v>
      </c>
      <c r="L463" s="14" t="s">
        <v>3611</v>
      </c>
      <c r="M463" s="14" t="s">
        <v>2911</v>
      </c>
    </row>
    <row r="464" spans="1:13" ht="43.5" x14ac:dyDescent="0.35">
      <c r="A464" s="14" t="s">
        <v>2701</v>
      </c>
      <c r="B464" s="14" t="s">
        <v>2701</v>
      </c>
      <c r="C464" s="14" t="s">
        <v>1019</v>
      </c>
      <c r="D464" s="14" t="s">
        <v>1837</v>
      </c>
      <c r="E464" s="14" t="s">
        <v>1837</v>
      </c>
      <c r="F464" s="14" t="s">
        <v>1838</v>
      </c>
      <c r="G464" s="14" t="s">
        <v>1023</v>
      </c>
      <c r="H464" s="14" t="s">
        <v>1839</v>
      </c>
      <c r="I464" s="14" t="s">
        <v>1023</v>
      </c>
      <c r="J464" s="14" t="s">
        <v>1021</v>
      </c>
      <c r="K464" s="14" t="s">
        <v>3611</v>
      </c>
      <c r="L464" s="14" t="s">
        <v>3611</v>
      </c>
      <c r="M464" s="14" t="s">
        <v>2911</v>
      </c>
    </row>
    <row r="465" spans="1:13" ht="29" x14ac:dyDescent="0.35">
      <c r="A465" s="14" t="s">
        <v>2704</v>
      </c>
      <c r="B465" s="14" t="s">
        <v>2704</v>
      </c>
      <c r="C465" s="14" t="s">
        <v>1019</v>
      </c>
      <c r="D465" s="14" t="s">
        <v>2708</v>
      </c>
      <c r="E465" s="14" t="s">
        <v>2708</v>
      </c>
      <c r="F465" s="14"/>
      <c r="G465" s="14" t="s">
        <v>1034</v>
      </c>
      <c r="H465" s="14"/>
      <c r="I465" s="14" t="s">
        <v>1034</v>
      </c>
      <c r="J465" s="14" t="s">
        <v>1114</v>
      </c>
      <c r="K465" s="14" t="s">
        <v>3589</v>
      </c>
      <c r="L465" s="14" t="s">
        <v>2914</v>
      </c>
      <c r="M465" s="14" t="s">
        <v>3611</v>
      </c>
    </row>
    <row r="466" spans="1:13" ht="29" x14ac:dyDescent="0.35">
      <c r="A466" s="14" t="s">
        <v>2710</v>
      </c>
      <c r="B466" s="14" t="s">
        <v>2710</v>
      </c>
      <c r="C466" s="14" t="s">
        <v>1019</v>
      </c>
      <c r="D466" s="14" t="s">
        <v>1378</v>
      </c>
      <c r="E466" s="14" t="s">
        <v>1378</v>
      </c>
      <c r="F466" s="14" t="s">
        <v>1379</v>
      </c>
      <c r="G466" s="14" t="s">
        <v>1048</v>
      </c>
      <c r="H466" s="14" t="s">
        <v>1380</v>
      </c>
      <c r="I466" s="14" t="s">
        <v>1048</v>
      </c>
      <c r="J466" s="14" t="s">
        <v>1021</v>
      </c>
      <c r="K466" s="14" t="s">
        <v>3611</v>
      </c>
      <c r="L466" s="14" t="s">
        <v>3611</v>
      </c>
      <c r="M466" s="14" t="s">
        <v>3611</v>
      </c>
    </row>
    <row r="467" spans="1:13" ht="43.5" x14ac:dyDescent="0.35">
      <c r="A467" s="14" t="s">
        <v>2712</v>
      </c>
      <c r="B467" s="14" t="s">
        <v>2712</v>
      </c>
      <c r="C467" s="14" t="s">
        <v>1019</v>
      </c>
      <c r="D467" s="14" t="s">
        <v>1688</v>
      </c>
      <c r="E467" s="14" t="s">
        <v>1688</v>
      </c>
      <c r="F467" s="14" t="s">
        <v>1689</v>
      </c>
      <c r="G467" s="14" t="s">
        <v>1048</v>
      </c>
      <c r="H467" s="14" t="s">
        <v>1690</v>
      </c>
      <c r="I467" s="14" t="s">
        <v>1025</v>
      </c>
      <c r="J467" s="14" t="s">
        <v>1021</v>
      </c>
      <c r="K467" s="14" t="s">
        <v>3760</v>
      </c>
      <c r="L467" s="14" t="s">
        <v>2911</v>
      </c>
      <c r="M467" s="14" t="s">
        <v>3760</v>
      </c>
    </row>
    <row r="468" spans="1:13" ht="43.5" x14ac:dyDescent="0.35">
      <c r="A468" s="14" t="s">
        <v>2714</v>
      </c>
      <c r="B468" s="14" t="s">
        <v>2714</v>
      </c>
      <c r="C468" s="14" t="s">
        <v>1019</v>
      </c>
      <c r="D468" s="14" t="s">
        <v>1621</v>
      </c>
      <c r="E468" s="14" t="s">
        <v>1621</v>
      </c>
      <c r="F468" s="14" t="s">
        <v>1622</v>
      </c>
      <c r="G468" s="14" t="s">
        <v>1048</v>
      </c>
      <c r="H468" s="14" t="s">
        <v>1623</v>
      </c>
      <c r="I468" s="14" t="s">
        <v>1050</v>
      </c>
      <c r="J468" s="14" t="s">
        <v>1021</v>
      </c>
      <c r="K468" s="14" t="s">
        <v>3611</v>
      </c>
      <c r="L468" s="14" t="s">
        <v>3611</v>
      </c>
      <c r="M468" s="14" t="s">
        <v>3611</v>
      </c>
    </row>
    <row r="469" spans="1:13" ht="43.5" x14ac:dyDescent="0.35">
      <c r="A469" s="14" t="s">
        <v>2718</v>
      </c>
      <c r="B469" s="14" t="s">
        <v>2718</v>
      </c>
      <c r="C469" s="14" t="s">
        <v>1019</v>
      </c>
      <c r="D469" s="14" t="s">
        <v>1318</v>
      </c>
      <c r="E469" s="14" t="s">
        <v>1318</v>
      </c>
      <c r="F469" s="14" t="s">
        <v>1319</v>
      </c>
      <c r="G469" s="14" t="s">
        <v>1048</v>
      </c>
      <c r="H469" s="14" t="s">
        <v>1320</v>
      </c>
      <c r="I469" s="14" t="s">
        <v>1050</v>
      </c>
      <c r="J469" s="14" t="s">
        <v>1021</v>
      </c>
      <c r="K469" s="14" t="s">
        <v>3611</v>
      </c>
      <c r="L469" s="14" t="s">
        <v>3611</v>
      </c>
      <c r="M469" s="14" t="s">
        <v>3611</v>
      </c>
    </row>
    <row r="470" spans="1:13" ht="43.5" x14ac:dyDescent="0.35">
      <c r="A470" s="14" t="s">
        <v>2720</v>
      </c>
      <c r="B470" s="14" t="s">
        <v>2720</v>
      </c>
      <c r="C470" s="14" t="s">
        <v>1019</v>
      </c>
      <c r="D470" s="14" t="s">
        <v>1837</v>
      </c>
      <c r="E470" s="14" t="s">
        <v>1837</v>
      </c>
      <c r="F470" s="14" t="s">
        <v>1838</v>
      </c>
      <c r="G470" s="14" t="s">
        <v>1023</v>
      </c>
      <c r="H470" s="14" t="s">
        <v>1839</v>
      </c>
      <c r="I470" s="14" t="s">
        <v>1023</v>
      </c>
      <c r="J470" s="14" t="s">
        <v>1021</v>
      </c>
      <c r="K470" s="14" t="s">
        <v>3611</v>
      </c>
      <c r="L470" s="14" t="s">
        <v>3611</v>
      </c>
      <c r="M470" s="14" t="s">
        <v>2911</v>
      </c>
    </row>
    <row r="471" spans="1:13" ht="101.5" x14ac:dyDescent="0.35">
      <c r="A471" s="14" t="s">
        <v>2721</v>
      </c>
      <c r="B471" s="14" t="s">
        <v>2721</v>
      </c>
      <c r="C471" s="14" t="s">
        <v>1019</v>
      </c>
      <c r="D471" s="14" t="s">
        <v>1208</v>
      </c>
      <c r="E471" s="14" t="s">
        <v>1208</v>
      </c>
      <c r="F471" s="14" t="s">
        <v>1209</v>
      </c>
      <c r="G471" s="14" t="s">
        <v>1048</v>
      </c>
      <c r="H471" s="14" t="s">
        <v>1210</v>
      </c>
      <c r="I471" s="14" t="s">
        <v>1050</v>
      </c>
      <c r="J471" s="14" t="s">
        <v>1021</v>
      </c>
      <c r="K471" s="14" t="s">
        <v>3611</v>
      </c>
      <c r="L471" s="14" t="s">
        <v>3611</v>
      </c>
      <c r="M471" s="14" t="s">
        <v>3611</v>
      </c>
    </row>
    <row r="472" spans="1:13" ht="29" x14ac:dyDescent="0.35">
      <c r="A472" s="14" t="s">
        <v>2723</v>
      </c>
      <c r="B472" s="14" t="s">
        <v>2723</v>
      </c>
      <c r="C472" s="14" t="s">
        <v>1019</v>
      </c>
      <c r="D472" s="14" t="s">
        <v>1886</v>
      </c>
      <c r="E472" s="14" t="s">
        <v>1886</v>
      </c>
      <c r="F472" s="14"/>
      <c r="G472" s="14" t="s">
        <v>1034</v>
      </c>
      <c r="H472" s="14"/>
      <c r="I472" s="14" t="s">
        <v>1034</v>
      </c>
      <c r="J472" s="14" t="s">
        <v>1114</v>
      </c>
      <c r="K472" s="14" t="s">
        <v>3611</v>
      </c>
      <c r="L472" s="14" t="s">
        <v>3611</v>
      </c>
      <c r="M472" s="14" t="s">
        <v>3611</v>
      </c>
    </row>
    <row r="473" spans="1:13" ht="29" x14ac:dyDescent="0.35">
      <c r="A473" s="14" t="s">
        <v>2725</v>
      </c>
      <c r="B473" s="14" t="s">
        <v>2725</v>
      </c>
      <c r="C473" s="14" t="s">
        <v>1019</v>
      </c>
      <c r="D473" s="14" t="s">
        <v>1265</v>
      </c>
      <c r="E473" s="14" t="s">
        <v>1265</v>
      </c>
      <c r="F473" s="14"/>
      <c r="G473" s="14" t="s">
        <v>1034</v>
      </c>
      <c r="H473" s="14"/>
      <c r="I473" s="14" t="s">
        <v>1034</v>
      </c>
      <c r="J473" s="14" t="s">
        <v>1114</v>
      </c>
      <c r="K473" s="14" t="s">
        <v>3611</v>
      </c>
      <c r="L473" s="14" t="s">
        <v>3611</v>
      </c>
      <c r="M473" s="14" t="s">
        <v>3611</v>
      </c>
    </row>
    <row r="474" spans="1:13" ht="43.5" x14ac:dyDescent="0.35">
      <c r="A474" s="14" t="s">
        <v>2729</v>
      </c>
      <c r="B474" s="14" t="s">
        <v>2729</v>
      </c>
      <c r="C474" s="14" t="s">
        <v>1019</v>
      </c>
      <c r="D474" s="14" t="s">
        <v>1020</v>
      </c>
      <c r="E474" s="14" t="s">
        <v>1020</v>
      </c>
      <c r="F474" s="14" t="s">
        <v>1022</v>
      </c>
      <c r="G474" s="14" t="s">
        <v>1023</v>
      </c>
      <c r="H474" s="14" t="s">
        <v>1024</v>
      </c>
      <c r="I474" s="14" t="s">
        <v>1025</v>
      </c>
      <c r="J474" s="14" t="s">
        <v>1021</v>
      </c>
      <c r="K474" s="14" t="s">
        <v>3760</v>
      </c>
      <c r="L474" s="14" t="s">
        <v>3760</v>
      </c>
      <c r="M474" s="14" t="s">
        <v>3760</v>
      </c>
    </row>
    <row r="475" spans="1:13" ht="29" x14ac:dyDescent="0.35">
      <c r="A475" s="14" t="s">
        <v>2733</v>
      </c>
      <c r="B475" s="14" t="s">
        <v>2733</v>
      </c>
      <c r="C475" s="14" t="s">
        <v>1019</v>
      </c>
      <c r="D475" s="14" t="s">
        <v>1795</v>
      </c>
      <c r="E475" s="14" t="s">
        <v>1795</v>
      </c>
      <c r="F475" s="14" t="s">
        <v>1796</v>
      </c>
      <c r="G475" s="14" t="s">
        <v>1048</v>
      </c>
      <c r="H475" s="14" t="s">
        <v>1797</v>
      </c>
      <c r="I475" s="14" t="s">
        <v>1050</v>
      </c>
      <c r="J475" s="14" t="s">
        <v>1021</v>
      </c>
      <c r="K475" s="14" t="s">
        <v>2911</v>
      </c>
      <c r="L475" s="14" t="s">
        <v>3611</v>
      </c>
      <c r="M475" s="14" t="s">
        <v>3611</v>
      </c>
    </row>
    <row r="476" spans="1:13" ht="72.5" x14ac:dyDescent="0.35">
      <c r="A476" s="14" t="s">
        <v>2737</v>
      </c>
      <c r="B476" s="14" t="s">
        <v>2737</v>
      </c>
      <c r="C476" s="14" t="s">
        <v>1019</v>
      </c>
      <c r="D476" s="14" t="s">
        <v>1480</v>
      </c>
      <c r="E476" s="14" t="s">
        <v>1480</v>
      </c>
      <c r="F476" s="14" t="s">
        <v>1481</v>
      </c>
      <c r="G476" s="14" t="s">
        <v>1023</v>
      </c>
      <c r="H476" s="14"/>
      <c r="I476" s="14" t="s">
        <v>1034</v>
      </c>
      <c r="J476" s="14" t="s">
        <v>1021</v>
      </c>
      <c r="K476" s="14" t="s">
        <v>2911</v>
      </c>
      <c r="L476" s="14" t="s">
        <v>2911</v>
      </c>
      <c r="M476" s="14" t="s">
        <v>2911</v>
      </c>
    </row>
    <row r="477" spans="1:13" x14ac:dyDescent="0.35">
      <c r="A477" s="14" t="s">
        <v>2741</v>
      </c>
      <c r="B477" s="14" t="s">
        <v>2741</v>
      </c>
      <c r="C477" s="14" t="s">
        <v>1019</v>
      </c>
      <c r="D477" s="14" t="s">
        <v>1547</v>
      </c>
      <c r="E477" s="14" t="s">
        <v>1547</v>
      </c>
      <c r="F477" s="14" t="s">
        <v>1548</v>
      </c>
      <c r="G477" s="14" t="s">
        <v>1050</v>
      </c>
      <c r="H477" s="14" t="s">
        <v>1549</v>
      </c>
      <c r="I477" s="14" t="s">
        <v>1050</v>
      </c>
      <c r="J477" s="14" t="s">
        <v>1021</v>
      </c>
      <c r="K477" s="14" t="s">
        <v>3611</v>
      </c>
      <c r="L477" s="14" t="s">
        <v>3611</v>
      </c>
      <c r="M477" s="14" t="s">
        <v>3611</v>
      </c>
    </row>
    <row r="478" spans="1:13" ht="29" x14ac:dyDescent="0.35">
      <c r="A478" s="14" t="s">
        <v>2744</v>
      </c>
      <c r="B478" s="14" t="s">
        <v>2744</v>
      </c>
      <c r="C478" s="14" t="s">
        <v>1019</v>
      </c>
      <c r="D478" s="14" t="s">
        <v>1200</v>
      </c>
      <c r="E478" s="14" t="s">
        <v>1200</v>
      </c>
      <c r="F478" s="14"/>
      <c r="G478" s="14" t="s">
        <v>1034</v>
      </c>
      <c r="H478" s="14"/>
      <c r="I478" s="14" t="s">
        <v>1034</v>
      </c>
      <c r="J478" s="14" t="s">
        <v>1114</v>
      </c>
      <c r="K478" s="14" t="s">
        <v>3611</v>
      </c>
      <c r="L478" s="14" t="s">
        <v>3611</v>
      </c>
      <c r="M478" s="14" t="s">
        <v>3760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5"/>
  <sheetViews>
    <sheetView workbookViewId="0"/>
  </sheetViews>
  <sheetFormatPr defaultRowHeight="14.5" x14ac:dyDescent="0.35"/>
  <cols>
    <col min="1" max="1" width="10.453125" bestFit="1" customWidth="1"/>
    <col min="2" max="7" width="42" customWidth="1"/>
  </cols>
  <sheetData>
    <row r="1" spans="1:7" x14ac:dyDescent="0.35">
      <c r="A1" s="16" t="s">
        <v>3751</v>
      </c>
      <c r="B1" s="16" t="s">
        <v>3767</v>
      </c>
      <c r="C1" s="16" t="s">
        <v>3768</v>
      </c>
      <c r="D1" s="16" t="s">
        <v>21</v>
      </c>
      <c r="E1" s="16" t="s">
        <v>399</v>
      </c>
      <c r="F1" s="16" t="s">
        <v>695</v>
      </c>
      <c r="G1" s="16" t="s">
        <v>3769</v>
      </c>
    </row>
    <row r="2" spans="1:7" ht="24" customHeight="1" x14ac:dyDescent="0.35">
      <c r="A2" s="14" t="s">
        <v>1721</v>
      </c>
      <c r="B2" s="14" t="s">
        <v>1723</v>
      </c>
      <c r="C2" s="14" t="s">
        <v>1722</v>
      </c>
      <c r="D2" s="14" t="s">
        <v>3770</v>
      </c>
      <c r="E2" s="14" t="s">
        <v>3771</v>
      </c>
      <c r="F2" s="14" t="s">
        <v>3772</v>
      </c>
      <c r="G2" s="14" t="s">
        <v>3773</v>
      </c>
    </row>
    <row r="3" spans="1:7" ht="24" customHeight="1" x14ac:dyDescent="0.35">
      <c r="A3" s="14" t="s">
        <v>1033</v>
      </c>
      <c r="B3" s="14" t="s">
        <v>1035</v>
      </c>
      <c r="C3" s="14"/>
      <c r="D3" s="14" t="s">
        <v>3774</v>
      </c>
      <c r="E3" s="14" t="s">
        <v>3775</v>
      </c>
      <c r="F3" s="14" t="s">
        <v>3776</v>
      </c>
      <c r="G3" s="14" t="s">
        <v>3777</v>
      </c>
    </row>
    <row r="4" spans="1:7" ht="24" customHeight="1" x14ac:dyDescent="0.35">
      <c r="A4" s="14" t="s">
        <v>1242</v>
      </c>
      <c r="B4" s="14" t="s">
        <v>1244</v>
      </c>
      <c r="C4" s="14" t="s">
        <v>1245</v>
      </c>
      <c r="D4" s="14" t="s">
        <v>3778</v>
      </c>
      <c r="E4" s="14" t="s">
        <v>3779</v>
      </c>
      <c r="F4" s="14" t="s">
        <v>3780</v>
      </c>
      <c r="G4" s="14" t="s">
        <v>3781</v>
      </c>
    </row>
    <row r="5" spans="1:7" ht="24" customHeight="1" x14ac:dyDescent="0.35">
      <c r="A5" s="14" t="s">
        <v>1418</v>
      </c>
      <c r="B5" s="14"/>
      <c r="C5" s="14"/>
      <c r="D5" s="14" t="s">
        <v>3782</v>
      </c>
      <c r="E5" s="14"/>
      <c r="F5" s="14"/>
      <c r="G5" s="14" t="s">
        <v>1417</v>
      </c>
    </row>
    <row r="6" spans="1:7" ht="24" customHeight="1" x14ac:dyDescent="0.35">
      <c r="A6" s="14" t="s">
        <v>1372</v>
      </c>
      <c r="B6" s="14" t="s">
        <v>1374</v>
      </c>
      <c r="C6" s="14" t="s">
        <v>1373</v>
      </c>
      <c r="D6" s="14" t="s">
        <v>3783</v>
      </c>
      <c r="E6" s="14" t="s">
        <v>3784</v>
      </c>
      <c r="F6" s="14" t="s">
        <v>3785</v>
      </c>
      <c r="G6" s="14" t="s">
        <v>3786</v>
      </c>
    </row>
    <row r="7" spans="1:7" ht="24" customHeight="1" x14ac:dyDescent="0.35">
      <c r="A7" s="14" t="s">
        <v>2671</v>
      </c>
      <c r="B7" s="14" t="s">
        <v>2673</v>
      </c>
      <c r="C7" s="14" t="s">
        <v>2674</v>
      </c>
      <c r="D7" s="14" t="s">
        <v>3787</v>
      </c>
      <c r="E7" s="14" t="s">
        <v>3788</v>
      </c>
      <c r="F7" s="14" t="s">
        <v>3789</v>
      </c>
      <c r="G7" s="14" t="s">
        <v>2669</v>
      </c>
    </row>
    <row r="8" spans="1:7" ht="24" customHeight="1" x14ac:dyDescent="0.35">
      <c r="A8" s="14" t="s">
        <v>2708</v>
      </c>
      <c r="B8" s="14"/>
      <c r="C8" s="14"/>
      <c r="D8" s="14" t="s">
        <v>3790</v>
      </c>
      <c r="E8" s="14" t="s">
        <v>3791</v>
      </c>
      <c r="F8" s="14" t="s">
        <v>2704</v>
      </c>
      <c r="G8" s="14" t="s">
        <v>2704</v>
      </c>
    </row>
    <row r="9" spans="1:7" ht="24" customHeight="1" x14ac:dyDescent="0.35">
      <c r="A9" s="14" t="s">
        <v>1059</v>
      </c>
      <c r="B9" s="14" t="s">
        <v>1061</v>
      </c>
      <c r="C9" s="14" t="s">
        <v>1060</v>
      </c>
      <c r="D9" s="14" t="s">
        <v>3792</v>
      </c>
      <c r="E9" s="14" t="s">
        <v>3793</v>
      </c>
      <c r="F9" s="14" t="s">
        <v>3794</v>
      </c>
      <c r="G9" s="14" t="s">
        <v>3795</v>
      </c>
    </row>
    <row r="10" spans="1:7" ht="24" customHeight="1" x14ac:dyDescent="0.35">
      <c r="A10" s="14" t="s">
        <v>2246</v>
      </c>
      <c r="B10" s="14" t="s">
        <v>2248</v>
      </c>
      <c r="C10" s="14" t="s">
        <v>2247</v>
      </c>
      <c r="D10" s="14" t="s">
        <v>3796</v>
      </c>
      <c r="E10" s="14" t="s">
        <v>3797</v>
      </c>
      <c r="F10" s="14" t="s">
        <v>3798</v>
      </c>
      <c r="G10" s="14" t="s">
        <v>2243</v>
      </c>
    </row>
    <row r="11" spans="1:7" ht="24" customHeight="1" x14ac:dyDescent="0.35">
      <c r="A11" s="14" t="s">
        <v>1186</v>
      </c>
      <c r="B11" s="14" t="s">
        <v>1188</v>
      </c>
      <c r="C11" s="14" t="s">
        <v>1187</v>
      </c>
      <c r="D11" s="14" t="s">
        <v>3799</v>
      </c>
      <c r="E11" s="14" t="s">
        <v>3800</v>
      </c>
      <c r="F11" s="14" t="s">
        <v>3801</v>
      </c>
      <c r="G11" s="14" t="s">
        <v>3802</v>
      </c>
    </row>
    <row r="12" spans="1:7" ht="24" customHeight="1" x14ac:dyDescent="0.35">
      <c r="A12" s="14" t="s">
        <v>2164</v>
      </c>
      <c r="B12" s="14" t="s">
        <v>2166</v>
      </c>
      <c r="C12" s="14" t="s">
        <v>2165</v>
      </c>
      <c r="D12" s="14" t="s">
        <v>3803</v>
      </c>
      <c r="E12" s="14" t="s">
        <v>3804</v>
      </c>
      <c r="F12" s="14" t="s">
        <v>3805</v>
      </c>
      <c r="G12" s="14" t="s">
        <v>3806</v>
      </c>
    </row>
    <row r="13" spans="1:7" ht="24" customHeight="1" x14ac:dyDescent="0.35">
      <c r="A13" s="14" t="s">
        <v>1764</v>
      </c>
      <c r="B13" s="14" t="s">
        <v>1766</v>
      </c>
      <c r="C13" s="14" t="s">
        <v>1765</v>
      </c>
      <c r="D13" s="14" t="s">
        <v>3807</v>
      </c>
      <c r="E13" s="14" t="s">
        <v>3808</v>
      </c>
      <c r="F13" s="14" t="s">
        <v>3809</v>
      </c>
      <c r="G13" s="14" t="s">
        <v>1763</v>
      </c>
    </row>
    <row r="14" spans="1:7" ht="24" customHeight="1" x14ac:dyDescent="0.35">
      <c r="A14" s="14" t="s">
        <v>1356</v>
      </c>
      <c r="B14" s="14" t="s">
        <v>1358</v>
      </c>
      <c r="C14" s="14" t="s">
        <v>1359</v>
      </c>
      <c r="D14" s="14" t="s">
        <v>3810</v>
      </c>
      <c r="E14" s="14" t="s">
        <v>3811</v>
      </c>
      <c r="F14" s="14" t="s">
        <v>3812</v>
      </c>
      <c r="G14" s="14" t="s">
        <v>3813</v>
      </c>
    </row>
    <row r="15" spans="1:7" ht="24" customHeight="1" x14ac:dyDescent="0.35">
      <c r="A15" s="14" t="s">
        <v>1893</v>
      </c>
      <c r="B15" s="14" t="s">
        <v>1895</v>
      </c>
      <c r="C15" s="14" t="s">
        <v>1894</v>
      </c>
      <c r="D15" s="14" t="s">
        <v>1891</v>
      </c>
      <c r="E15" s="14" t="s">
        <v>3814</v>
      </c>
      <c r="F15" s="14" t="s">
        <v>2693</v>
      </c>
      <c r="G15" s="14" t="s">
        <v>3815</v>
      </c>
    </row>
    <row r="16" spans="1:7" ht="24" customHeight="1" x14ac:dyDescent="0.35">
      <c r="A16" s="14" t="s">
        <v>1688</v>
      </c>
      <c r="B16" s="14" t="s">
        <v>1690</v>
      </c>
      <c r="C16" s="14" t="s">
        <v>1691</v>
      </c>
      <c r="D16" s="14" t="s">
        <v>3816</v>
      </c>
      <c r="E16" s="14" t="s">
        <v>3817</v>
      </c>
      <c r="F16" s="14" t="s">
        <v>3818</v>
      </c>
      <c r="G16" s="14" t="s">
        <v>3819</v>
      </c>
    </row>
    <row r="17" spans="1:7" ht="24" customHeight="1" x14ac:dyDescent="0.35">
      <c r="A17" s="14" t="s">
        <v>1480</v>
      </c>
      <c r="B17" s="14"/>
      <c r="C17" s="14" t="s">
        <v>1481</v>
      </c>
      <c r="D17" s="14" t="s">
        <v>3820</v>
      </c>
      <c r="E17" s="14" t="s">
        <v>3821</v>
      </c>
      <c r="F17" s="14" t="s">
        <v>3822</v>
      </c>
      <c r="G17" s="14" t="s">
        <v>3823</v>
      </c>
    </row>
    <row r="18" spans="1:7" ht="43.5" x14ac:dyDescent="0.35">
      <c r="A18" s="14" t="s">
        <v>1259</v>
      </c>
      <c r="B18" s="14" t="s">
        <v>1261</v>
      </c>
      <c r="C18" s="14" t="s">
        <v>1260</v>
      </c>
      <c r="D18" s="14" t="s">
        <v>3824</v>
      </c>
      <c r="E18" s="14" t="s">
        <v>3825</v>
      </c>
      <c r="F18" s="14" t="s">
        <v>3826</v>
      </c>
      <c r="G18" s="14" t="s">
        <v>3827</v>
      </c>
    </row>
    <row r="19" spans="1:7" ht="24" customHeight="1" x14ac:dyDescent="0.35">
      <c r="A19" s="14" t="s">
        <v>2108</v>
      </c>
      <c r="B19" s="14" t="s">
        <v>2110</v>
      </c>
      <c r="C19" s="14" t="s">
        <v>2111</v>
      </c>
      <c r="D19" s="14" t="s">
        <v>3828</v>
      </c>
      <c r="E19" s="14" t="s">
        <v>3829</v>
      </c>
      <c r="F19" s="14" t="s">
        <v>3830</v>
      </c>
      <c r="G19" s="14" t="s">
        <v>2107</v>
      </c>
    </row>
    <row r="20" spans="1:7" ht="24" customHeight="1" x14ac:dyDescent="0.35">
      <c r="A20" s="14" t="s">
        <v>1784</v>
      </c>
      <c r="B20" s="14" t="s">
        <v>1786</v>
      </c>
      <c r="C20" s="14" t="s">
        <v>1785</v>
      </c>
      <c r="D20" s="14" t="s">
        <v>3831</v>
      </c>
      <c r="E20" s="14" t="s">
        <v>3832</v>
      </c>
      <c r="F20" s="14" t="s">
        <v>3833</v>
      </c>
      <c r="G20" s="14" t="s">
        <v>3834</v>
      </c>
    </row>
    <row r="21" spans="1:7" ht="24" customHeight="1" x14ac:dyDescent="0.35">
      <c r="A21" s="14" t="s">
        <v>1351</v>
      </c>
      <c r="B21" s="14" t="s">
        <v>1353</v>
      </c>
      <c r="C21" s="14" t="s">
        <v>1352</v>
      </c>
      <c r="D21" s="14" t="s">
        <v>1350</v>
      </c>
      <c r="E21" s="14" t="s">
        <v>3835</v>
      </c>
      <c r="F21" s="14" t="s">
        <v>3836</v>
      </c>
      <c r="G21" s="14" t="s">
        <v>3837</v>
      </c>
    </row>
    <row r="22" spans="1:7" ht="24" customHeight="1" x14ac:dyDescent="0.35">
      <c r="A22" s="14" t="s">
        <v>2269</v>
      </c>
      <c r="B22" s="14" t="s">
        <v>2271</v>
      </c>
      <c r="C22" s="14" t="s">
        <v>2272</v>
      </c>
      <c r="D22" s="14" t="s">
        <v>3838</v>
      </c>
      <c r="E22" s="14" t="s">
        <v>3839</v>
      </c>
      <c r="F22" s="14" t="s">
        <v>3840</v>
      </c>
      <c r="G22" s="14" t="s">
        <v>3839</v>
      </c>
    </row>
    <row r="23" spans="1:7" ht="24" customHeight="1" x14ac:dyDescent="0.35">
      <c r="A23" s="14" t="s">
        <v>1462</v>
      </c>
      <c r="B23" s="14" t="s">
        <v>1464</v>
      </c>
      <c r="C23" s="14" t="s">
        <v>1465</v>
      </c>
      <c r="D23" s="14" t="s">
        <v>3841</v>
      </c>
      <c r="E23" s="14" t="s">
        <v>3842</v>
      </c>
      <c r="F23" s="14" t="s">
        <v>3843</v>
      </c>
      <c r="G23" s="14" t="s">
        <v>3844</v>
      </c>
    </row>
    <row r="24" spans="1:7" ht="24" customHeight="1" x14ac:dyDescent="0.35">
      <c r="A24" s="14" t="s">
        <v>1220</v>
      </c>
      <c r="B24" s="14" t="s">
        <v>1222</v>
      </c>
      <c r="C24" s="14" t="s">
        <v>1221</v>
      </c>
      <c r="D24" s="14" t="s">
        <v>3845</v>
      </c>
      <c r="E24" s="14" t="s">
        <v>3846</v>
      </c>
      <c r="F24" s="14" t="s">
        <v>3847</v>
      </c>
      <c r="G24" s="14" t="s">
        <v>3848</v>
      </c>
    </row>
    <row r="25" spans="1:7" ht="24" customHeight="1" x14ac:dyDescent="0.35">
      <c r="A25" s="14" t="s">
        <v>1430</v>
      </c>
      <c r="B25" s="14" t="s">
        <v>1432</v>
      </c>
      <c r="C25" s="14" t="s">
        <v>1433</v>
      </c>
      <c r="D25" s="14" t="s">
        <v>1429</v>
      </c>
      <c r="E25" s="14" t="s">
        <v>3849</v>
      </c>
      <c r="F25" s="14" t="s">
        <v>3850</v>
      </c>
      <c r="G25" s="14" t="s">
        <v>3851</v>
      </c>
    </row>
    <row r="26" spans="1:7" ht="24" customHeight="1" x14ac:dyDescent="0.35">
      <c r="A26" s="14" t="s">
        <v>1563</v>
      </c>
      <c r="B26" s="14" t="s">
        <v>1565</v>
      </c>
      <c r="C26" s="14" t="s">
        <v>1564</v>
      </c>
      <c r="D26" s="14" t="s">
        <v>3852</v>
      </c>
      <c r="E26" s="14" t="s">
        <v>3853</v>
      </c>
      <c r="F26" s="14" t="s">
        <v>3854</v>
      </c>
      <c r="G26" s="14" t="s">
        <v>3855</v>
      </c>
    </row>
    <row r="27" spans="1:7" ht="24" customHeight="1" x14ac:dyDescent="0.35">
      <c r="A27" s="14" t="s">
        <v>1851</v>
      </c>
      <c r="B27" s="14" t="s">
        <v>1853</v>
      </c>
      <c r="C27" s="14" t="s">
        <v>1852</v>
      </c>
      <c r="D27" s="14" t="s">
        <v>1843</v>
      </c>
      <c r="E27" s="14" t="s">
        <v>2015</v>
      </c>
      <c r="F27" s="14" t="s">
        <v>2461</v>
      </c>
      <c r="G27" s="14" t="s">
        <v>3856</v>
      </c>
    </row>
    <row r="28" spans="1:7" ht="24" customHeight="1" x14ac:dyDescent="0.35">
      <c r="A28" s="14" t="s">
        <v>1580</v>
      </c>
      <c r="B28" s="14" t="s">
        <v>1582</v>
      </c>
      <c r="C28" s="14" t="s">
        <v>1583</v>
      </c>
      <c r="D28" s="14" t="s">
        <v>3857</v>
      </c>
      <c r="E28" s="14" t="s">
        <v>3858</v>
      </c>
      <c r="F28" s="14" t="s">
        <v>3859</v>
      </c>
      <c r="G28" s="14" t="s">
        <v>3860</v>
      </c>
    </row>
    <row r="29" spans="1:7" ht="24" customHeight="1" x14ac:dyDescent="0.35">
      <c r="A29" s="14" t="s">
        <v>1208</v>
      </c>
      <c r="B29" s="14" t="s">
        <v>1210</v>
      </c>
      <c r="C29" s="14" t="s">
        <v>1209</v>
      </c>
      <c r="D29" s="14" t="s">
        <v>1207</v>
      </c>
      <c r="E29" s="14" t="s">
        <v>3861</v>
      </c>
      <c r="F29" s="14" t="s">
        <v>2721</v>
      </c>
      <c r="G29" s="14" t="s">
        <v>3862</v>
      </c>
    </row>
    <row r="30" spans="1:7" ht="24" customHeight="1" x14ac:dyDescent="0.35">
      <c r="A30" s="14" t="s">
        <v>1915</v>
      </c>
      <c r="B30" s="14" t="s">
        <v>1917</v>
      </c>
      <c r="C30" s="14" t="s">
        <v>1916</v>
      </c>
      <c r="D30" s="14" t="s">
        <v>3863</v>
      </c>
      <c r="E30" s="14" t="s">
        <v>3864</v>
      </c>
      <c r="F30" s="14" t="s">
        <v>3865</v>
      </c>
      <c r="G30" s="14" t="s">
        <v>3866</v>
      </c>
    </row>
    <row r="31" spans="1:7" ht="24" customHeight="1" x14ac:dyDescent="0.35">
      <c r="A31" s="14" t="s">
        <v>1305</v>
      </c>
      <c r="B31" s="14" t="s">
        <v>1307</v>
      </c>
      <c r="C31" s="14" t="s">
        <v>1306</v>
      </c>
      <c r="D31" s="14" t="s">
        <v>3867</v>
      </c>
      <c r="E31" s="14" t="s">
        <v>3868</v>
      </c>
      <c r="F31" s="14" t="s">
        <v>3869</v>
      </c>
      <c r="G31" s="14" t="s">
        <v>3870</v>
      </c>
    </row>
    <row r="32" spans="1:7" ht="24" customHeight="1" x14ac:dyDescent="0.35">
      <c r="A32" s="14" t="s">
        <v>1837</v>
      </c>
      <c r="B32" s="14" t="s">
        <v>1839</v>
      </c>
      <c r="C32" s="14" t="s">
        <v>1838</v>
      </c>
      <c r="D32" s="14" t="s">
        <v>1835</v>
      </c>
      <c r="E32" s="14" t="s">
        <v>2077</v>
      </c>
      <c r="F32" s="14" t="s">
        <v>3871</v>
      </c>
      <c r="G32" s="14" t="s">
        <v>3872</v>
      </c>
    </row>
    <row r="33" spans="1:7" ht="24" customHeight="1" x14ac:dyDescent="0.35">
      <c r="A33" s="14" t="s">
        <v>1512</v>
      </c>
      <c r="B33" s="14" t="s">
        <v>1514</v>
      </c>
      <c r="C33" s="14" t="s">
        <v>1515</v>
      </c>
      <c r="D33" s="14" t="s">
        <v>3873</v>
      </c>
      <c r="E33" s="14" t="s">
        <v>3874</v>
      </c>
      <c r="F33" s="14" t="s">
        <v>3875</v>
      </c>
      <c r="G33" s="14" t="s">
        <v>3876</v>
      </c>
    </row>
    <row r="34" spans="1:7" ht="24" customHeight="1" x14ac:dyDescent="0.35">
      <c r="A34" s="14" t="s">
        <v>1408</v>
      </c>
      <c r="B34" s="14" t="s">
        <v>1410</v>
      </c>
      <c r="C34" s="14" t="s">
        <v>1409</v>
      </c>
      <c r="D34" s="14" t="s">
        <v>3877</v>
      </c>
      <c r="E34" s="14" t="s">
        <v>3878</v>
      </c>
      <c r="F34" s="14" t="s">
        <v>3879</v>
      </c>
      <c r="G34" s="14" t="s">
        <v>3880</v>
      </c>
    </row>
    <row r="35" spans="1:7" ht="24" customHeight="1" x14ac:dyDescent="0.35">
      <c r="A35" s="14" t="s">
        <v>1020</v>
      </c>
      <c r="B35" s="14" t="s">
        <v>1024</v>
      </c>
      <c r="C35" s="14" t="s">
        <v>1022</v>
      </c>
      <c r="D35" s="14" t="s">
        <v>3881</v>
      </c>
      <c r="E35" s="14" t="s">
        <v>3882</v>
      </c>
      <c r="F35" s="14" t="s">
        <v>3883</v>
      </c>
      <c r="G35" s="14" t="s">
        <v>3884</v>
      </c>
    </row>
    <row r="36" spans="1:7" ht="24" customHeight="1" x14ac:dyDescent="0.35">
      <c r="A36" s="14" t="s">
        <v>1739</v>
      </c>
      <c r="B36" s="14" t="s">
        <v>1741</v>
      </c>
      <c r="C36" s="14" t="s">
        <v>1740</v>
      </c>
      <c r="D36" s="14" t="s">
        <v>1738</v>
      </c>
      <c r="E36" s="14" t="s">
        <v>2116</v>
      </c>
      <c r="F36" s="14" t="s">
        <v>2667</v>
      </c>
      <c r="G36" s="14" t="s">
        <v>3885</v>
      </c>
    </row>
    <row r="37" spans="1:7" ht="24" customHeight="1" x14ac:dyDescent="0.35">
      <c r="A37" s="14" t="s">
        <v>1490</v>
      </c>
      <c r="B37" s="14" t="s">
        <v>1492</v>
      </c>
      <c r="C37" s="14" t="s">
        <v>1491</v>
      </c>
      <c r="D37" s="14" t="s">
        <v>3886</v>
      </c>
      <c r="E37" s="14" t="s">
        <v>3887</v>
      </c>
      <c r="F37" s="14" t="s">
        <v>3888</v>
      </c>
      <c r="G37" s="14" t="s">
        <v>3889</v>
      </c>
    </row>
    <row r="38" spans="1:7" ht="24" customHeight="1" x14ac:dyDescent="0.35">
      <c r="A38" s="14" t="s">
        <v>1503</v>
      </c>
      <c r="B38" s="14"/>
      <c r="C38" s="14" t="s">
        <v>1505</v>
      </c>
      <c r="D38" s="14" t="s">
        <v>1502</v>
      </c>
      <c r="E38" s="14" t="s">
        <v>3890</v>
      </c>
      <c r="F38" s="14" t="s">
        <v>3891</v>
      </c>
      <c r="G38" s="14" t="s">
        <v>3892</v>
      </c>
    </row>
    <row r="39" spans="1:7" ht="24" customHeight="1" x14ac:dyDescent="0.35">
      <c r="A39" s="14" t="s">
        <v>1413</v>
      </c>
      <c r="B39" s="14" t="s">
        <v>1415</v>
      </c>
      <c r="C39" s="14" t="s">
        <v>1414</v>
      </c>
      <c r="D39" s="14" t="s">
        <v>1412</v>
      </c>
      <c r="E39" s="14" t="s">
        <v>2368</v>
      </c>
      <c r="F39" s="14" t="s">
        <v>2656</v>
      </c>
      <c r="G39" s="14" t="s">
        <v>3893</v>
      </c>
    </row>
    <row r="40" spans="1:7" ht="24" customHeight="1" x14ac:dyDescent="0.35">
      <c r="A40" s="14" t="s">
        <v>1683</v>
      </c>
      <c r="B40" s="14" t="s">
        <v>1685</v>
      </c>
      <c r="C40" s="14" t="s">
        <v>1684</v>
      </c>
      <c r="D40" s="14" t="s">
        <v>1681</v>
      </c>
      <c r="E40" s="14" t="s">
        <v>2360</v>
      </c>
      <c r="F40" s="14" t="s">
        <v>2678</v>
      </c>
      <c r="G40" s="14" t="s">
        <v>3894</v>
      </c>
    </row>
    <row r="41" spans="1:7" ht="24" customHeight="1" x14ac:dyDescent="0.35">
      <c r="A41" s="14" t="s">
        <v>1595</v>
      </c>
      <c r="B41" s="14" t="s">
        <v>1597</v>
      </c>
      <c r="C41" s="14" t="s">
        <v>1596</v>
      </c>
      <c r="D41" s="14" t="s">
        <v>3895</v>
      </c>
      <c r="E41" s="14" t="s">
        <v>2120</v>
      </c>
      <c r="F41" s="14" t="s">
        <v>3896</v>
      </c>
      <c r="G41" s="14" t="s">
        <v>3897</v>
      </c>
    </row>
    <row r="42" spans="1:7" ht="24" customHeight="1" x14ac:dyDescent="0.35">
      <c r="A42" s="14" t="s">
        <v>1274</v>
      </c>
      <c r="B42" s="14" t="s">
        <v>1276</v>
      </c>
      <c r="C42" s="14" t="s">
        <v>1275</v>
      </c>
      <c r="D42" s="14" t="s">
        <v>3898</v>
      </c>
      <c r="E42" s="14" t="s">
        <v>2319</v>
      </c>
      <c r="F42" s="14" t="s">
        <v>3899</v>
      </c>
      <c r="G42" s="14" t="s">
        <v>3900</v>
      </c>
    </row>
    <row r="43" spans="1:7" ht="24" customHeight="1" x14ac:dyDescent="0.35">
      <c r="A43" s="14" t="s">
        <v>1573</v>
      </c>
      <c r="B43" s="14" t="s">
        <v>1575</v>
      </c>
      <c r="C43" s="14" t="s">
        <v>1574</v>
      </c>
      <c r="D43" s="14" t="s">
        <v>3901</v>
      </c>
      <c r="E43" s="14" t="s">
        <v>3902</v>
      </c>
      <c r="F43" s="14" t="s">
        <v>3903</v>
      </c>
      <c r="G43" s="14" t="s">
        <v>3904</v>
      </c>
    </row>
    <row r="44" spans="1:7" ht="24" customHeight="1" x14ac:dyDescent="0.35">
      <c r="A44" s="14" t="s">
        <v>1706</v>
      </c>
      <c r="B44" s="14" t="s">
        <v>1708</v>
      </c>
      <c r="C44" s="14" t="s">
        <v>1707</v>
      </c>
      <c r="D44" s="14" t="s">
        <v>1704</v>
      </c>
      <c r="E44" s="14" t="s">
        <v>3905</v>
      </c>
      <c r="F44" s="14" t="s">
        <v>2393</v>
      </c>
      <c r="G44" s="14" t="s">
        <v>3906</v>
      </c>
    </row>
    <row r="45" spans="1:7" ht="24" customHeight="1" x14ac:dyDescent="0.35">
      <c r="A45" s="14" t="s">
        <v>1527</v>
      </c>
      <c r="B45" s="14" t="s">
        <v>1529</v>
      </c>
      <c r="C45" s="14" t="s">
        <v>1528</v>
      </c>
      <c r="D45" s="14" t="s">
        <v>1526</v>
      </c>
      <c r="E45" s="14" t="s">
        <v>2276</v>
      </c>
      <c r="F45" s="14" t="s">
        <v>2574</v>
      </c>
      <c r="G45" s="14" t="s">
        <v>3907</v>
      </c>
    </row>
    <row r="46" spans="1:7" ht="24" customHeight="1" x14ac:dyDescent="0.35">
      <c r="A46" s="14" t="s">
        <v>1535</v>
      </c>
      <c r="B46" s="14" t="s">
        <v>1537</v>
      </c>
      <c r="C46" s="14" t="s">
        <v>1536</v>
      </c>
      <c r="D46" s="14" t="s">
        <v>1532</v>
      </c>
      <c r="E46" s="14" t="s">
        <v>2280</v>
      </c>
      <c r="F46" s="14" t="s">
        <v>2570</v>
      </c>
      <c r="G46" s="14" t="s">
        <v>3908</v>
      </c>
    </row>
    <row r="47" spans="1:7" ht="24" customHeight="1" x14ac:dyDescent="0.35">
      <c r="A47" s="14" t="s">
        <v>1313</v>
      </c>
      <c r="B47" s="14" t="s">
        <v>1315</v>
      </c>
      <c r="C47" s="14" t="s">
        <v>1314</v>
      </c>
      <c r="D47" s="14" t="s">
        <v>3909</v>
      </c>
      <c r="E47" s="14" t="s">
        <v>3910</v>
      </c>
      <c r="F47" s="14" t="s">
        <v>3911</v>
      </c>
      <c r="G47" s="14" t="s">
        <v>3912</v>
      </c>
    </row>
    <row r="48" spans="1:7" ht="24" customHeight="1" x14ac:dyDescent="0.35">
      <c r="A48" s="14" t="s">
        <v>1166</v>
      </c>
      <c r="B48" s="14" t="s">
        <v>1168</v>
      </c>
      <c r="C48" s="14" t="s">
        <v>1167</v>
      </c>
      <c r="D48" s="14" t="s">
        <v>3913</v>
      </c>
      <c r="E48" s="14" t="s">
        <v>3914</v>
      </c>
      <c r="F48" s="14" t="s">
        <v>3915</v>
      </c>
      <c r="G48" s="14" t="s">
        <v>3916</v>
      </c>
    </row>
    <row r="49" spans="1:7" ht="24" customHeight="1" x14ac:dyDescent="0.35">
      <c r="A49" s="14" t="s">
        <v>1161</v>
      </c>
      <c r="B49" s="14" t="s">
        <v>1163</v>
      </c>
      <c r="C49" s="14" t="s">
        <v>1162</v>
      </c>
      <c r="D49" s="14" t="s">
        <v>1159</v>
      </c>
      <c r="E49" s="14" t="s">
        <v>2011</v>
      </c>
      <c r="F49" s="14" t="s">
        <v>2405</v>
      </c>
      <c r="G49" s="14" t="s">
        <v>3917</v>
      </c>
    </row>
    <row r="50" spans="1:7" ht="24" customHeight="1" x14ac:dyDescent="0.35">
      <c r="A50" s="14" t="s">
        <v>1621</v>
      </c>
      <c r="B50" s="14" t="s">
        <v>1623</v>
      </c>
      <c r="C50" s="14" t="s">
        <v>1622</v>
      </c>
      <c r="D50" s="14" t="s">
        <v>1618</v>
      </c>
      <c r="E50" s="14" t="s">
        <v>1958</v>
      </c>
      <c r="F50" s="14" t="s">
        <v>2714</v>
      </c>
      <c r="G50" s="14" t="s">
        <v>3918</v>
      </c>
    </row>
    <row r="51" spans="1:7" ht="24" customHeight="1" x14ac:dyDescent="0.35">
      <c r="A51" s="14" t="s">
        <v>1898</v>
      </c>
      <c r="B51" s="14" t="s">
        <v>1900</v>
      </c>
      <c r="C51" s="14" t="s">
        <v>1899</v>
      </c>
      <c r="D51" s="14" t="s">
        <v>1897</v>
      </c>
      <c r="E51" s="14" t="s">
        <v>2079</v>
      </c>
      <c r="F51" s="14" t="s">
        <v>2484</v>
      </c>
      <c r="G51" s="14" t="s">
        <v>3919</v>
      </c>
    </row>
    <row r="52" spans="1:7" ht="24" customHeight="1" x14ac:dyDescent="0.35">
      <c r="A52" s="14" t="s">
        <v>1859</v>
      </c>
      <c r="B52" s="14" t="s">
        <v>1861</v>
      </c>
      <c r="C52" s="14" t="s">
        <v>1860</v>
      </c>
      <c r="D52" s="14" t="s">
        <v>1857</v>
      </c>
      <c r="E52" s="14" t="s">
        <v>2027</v>
      </c>
      <c r="F52" s="14" t="s">
        <v>2502</v>
      </c>
      <c r="G52" s="14" t="s">
        <v>3920</v>
      </c>
    </row>
    <row r="53" spans="1:7" ht="24" customHeight="1" x14ac:dyDescent="0.35">
      <c r="A53" s="14" t="s">
        <v>2218</v>
      </c>
      <c r="B53" s="14" t="s">
        <v>2220</v>
      </c>
      <c r="C53" s="14" t="s">
        <v>2219</v>
      </c>
      <c r="D53" s="14" t="s">
        <v>3921</v>
      </c>
      <c r="E53" s="14" t="s">
        <v>2215</v>
      </c>
      <c r="F53" s="14" t="s">
        <v>3922</v>
      </c>
      <c r="G53" s="14" t="s">
        <v>2215</v>
      </c>
    </row>
    <row r="54" spans="1:7" ht="24" customHeight="1" x14ac:dyDescent="0.35">
      <c r="A54" s="14" t="s">
        <v>1176</v>
      </c>
      <c r="B54" s="14" t="s">
        <v>1178</v>
      </c>
      <c r="C54" s="14" t="s">
        <v>1177</v>
      </c>
      <c r="D54" s="14" t="s">
        <v>3923</v>
      </c>
      <c r="E54" s="14" t="s">
        <v>3924</v>
      </c>
      <c r="F54" s="14" t="s">
        <v>3925</v>
      </c>
      <c r="G54" s="14" t="s">
        <v>3926</v>
      </c>
    </row>
    <row r="55" spans="1:7" ht="24" customHeight="1" x14ac:dyDescent="0.35">
      <c r="A55" s="14" t="s">
        <v>1106</v>
      </c>
      <c r="B55" s="14" t="s">
        <v>1108</v>
      </c>
      <c r="C55" s="14" t="s">
        <v>1107</v>
      </c>
      <c r="D55" s="14" t="s">
        <v>3927</v>
      </c>
      <c r="E55" s="14" t="s">
        <v>2096</v>
      </c>
      <c r="F55" s="14" t="s">
        <v>3928</v>
      </c>
      <c r="G55" s="14" t="s">
        <v>3929</v>
      </c>
    </row>
    <row r="56" spans="1:7" ht="24" customHeight="1" x14ac:dyDescent="0.35">
      <c r="A56" s="14" t="s">
        <v>1795</v>
      </c>
      <c r="B56" s="14" t="s">
        <v>1797</v>
      </c>
      <c r="C56" s="14" t="s">
        <v>1796</v>
      </c>
      <c r="D56" s="14" t="s">
        <v>3930</v>
      </c>
      <c r="E56" s="14" t="s">
        <v>1963</v>
      </c>
      <c r="F56" s="14" t="s">
        <v>2733</v>
      </c>
      <c r="G56" s="14" t="s">
        <v>3931</v>
      </c>
    </row>
    <row r="57" spans="1:7" ht="24" customHeight="1" x14ac:dyDescent="0.35">
      <c r="A57" s="14" t="s">
        <v>1552</v>
      </c>
      <c r="B57" s="14" t="s">
        <v>1554</v>
      </c>
      <c r="C57" s="14" t="s">
        <v>1553</v>
      </c>
      <c r="D57" s="14" t="s">
        <v>1551</v>
      </c>
      <c r="E57" s="14" t="s">
        <v>2304</v>
      </c>
      <c r="F57" s="14" t="s">
        <v>2514</v>
      </c>
      <c r="G57" s="14" t="s">
        <v>3932</v>
      </c>
    </row>
    <row r="58" spans="1:7" ht="24" customHeight="1" x14ac:dyDescent="0.35">
      <c r="A58" s="14" t="s">
        <v>1181</v>
      </c>
      <c r="B58" s="14" t="s">
        <v>1183</v>
      </c>
      <c r="C58" s="14" t="s">
        <v>1182</v>
      </c>
      <c r="D58" s="14" t="s">
        <v>3933</v>
      </c>
      <c r="E58" s="14" t="s">
        <v>3934</v>
      </c>
      <c r="F58" s="14" t="s">
        <v>3935</v>
      </c>
      <c r="G58" s="14" t="s">
        <v>3936</v>
      </c>
    </row>
    <row r="59" spans="1:7" ht="24" customHeight="1" x14ac:dyDescent="0.35">
      <c r="A59" s="14" t="s">
        <v>1268</v>
      </c>
      <c r="B59" s="14" t="s">
        <v>1270</v>
      </c>
      <c r="C59" s="14" t="s">
        <v>1269</v>
      </c>
      <c r="D59" s="14" t="s">
        <v>1267</v>
      </c>
      <c r="E59" s="14" t="s">
        <v>2034</v>
      </c>
      <c r="F59" s="14" t="s">
        <v>2387</v>
      </c>
      <c r="G59" s="14" t="s">
        <v>3937</v>
      </c>
    </row>
    <row r="60" spans="1:7" ht="24" customHeight="1" x14ac:dyDescent="0.35">
      <c r="A60" s="14" t="s">
        <v>1656</v>
      </c>
      <c r="B60" s="14" t="s">
        <v>1658</v>
      </c>
      <c r="C60" s="14" t="s">
        <v>1659</v>
      </c>
      <c r="D60" s="14" t="s">
        <v>1655</v>
      </c>
      <c r="E60" s="14" t="s">
        <v>3938</v>
      </c>
      <c r="F60" s="14" t="s">
        <v>2665</v>
      </c>
      <c r="G60" s="14" t="s">
        <v>3939</v>
      </c>
    </row>
    <row r="61" spans="1:7" ht="24" customHeight="1" x14ac:dyDescent="0.35">
      <c r="A61" s="14" t="s">
        <v>1091</v>
      </c>
      <c r="B61" s="14"/>
      <c r="C61" s="14" t="s">
        <v>1092</v>
      </c>
      <c r="D61" s="14" t="s">
        <v>1085</v>
      </c>
      <c r="E61" s="14" t="s">
        <v>1972</v>
      </c>
      <c r="F61" s="14" t="s">
        <v>2494</v>
      </c>
      <c r="G61" s="14" t="s">
        <v>3940</v>
      </c>
    </row>
    <row r="62" spans="1:7" ht="24" customHeight="1" x14ac:dyDescent="0.35">
      <c r="A62" s="14" t="s">
        <v>1192</v>
      </c>
      <c r="B62" s="14" t="s">
        <v>1194</v>
      </c>
      <c r="C62" s="14" t="s">
        <v>1193</v>
      </c>
      <c r="D62" s="14" t="s">
        <v>1190</v>
      </c>
      <c r="E62" s="14" t="s">
        <v>2102</v>
      </c>
      <c r="F62" s="14" t="s">
        <v>2652</v>
      </c>
      <c r="G62" s="14" t="s">
        <v>3941</v>
      </c>
    </row>
    <row r="63" spans="1:7" ht="24" customHeight="1" x14ac:dyDescent="0.35">
      <c r="A63" s="14" t="s">
        <v>1341</v>
      </c>
      <c r="B63" s="14" t="s">
        <v>1343</v>
      </c>
      <c r="C63" s="14" t="s">
        <v>1342</v>
      </c>
      <c r="D63" s="14" t="s">
        <v>1339</v>
      </c>
      <c r="E63" s="14" t="s">
        <v>2222</v>
      </c>
      <c r="F63" s="14" t="s">
        <v>2471</v>
      </c>
      <c r="G63" s="14" t="s">
        <v>3942</v>
      </c>
    </row>
    <row r="64" spans="1:7" ht="24" customHeight="1" x14ac:dyDescent="0.35">
      <c r="A64" s="14" t="s">
        <v>1378</v>
      </c>
      <c r="B64" s="14" t="s">
        <v>1380</v>
      </c>
      <c r="C64" s="14" t="s">
        <v>1379</v>
      </c>
      <c r="D64" s="14" t="s">
        <v>1376</v>
      </c>
      <c r="E64" s="14" t="s">
        <v>1996</v>
      </c>
      <c r="F64" s="14" t="s">
        <v>2710</v>
      </c>
      <c r="G64" s="14" t="s">
        <v>3943</v>
      </c>
    </row>
    <row r="65" spans="1:7" ht="24" customHeight="1" x14ac:dyDescent="0.35">
      <c r="A65" s="14" t="s">
        <v>1756</v>
      </c>
      <c r="B65" s="14" t="s">
        <v>1758</v>
      </c>
      <c r="C65" s="14" t="s">
        <v>1757</v>
      </c>
      <c r="D65" s="14" t="s">
        <v>1755</v>
      </c>
      <c r="E65" s="14" t="s">
        <v>2313</v>
      </c>
      <c r="F65" s="14" t="s">
        <v>2593</v>
      </c>
      <c r="G65" s="14" t="s">
        <v>3944</v>
      </c>
    </row>
    <row r="66" spans="1:7" ht="24" customHeight="1" x14ac:dyDescent="0.35">
      <c r="A66" s="14" t="s">
        <v>1744</v>
      </c>
      <c r="B66" s="14" t="s">
        <v>1746</v>
      </c>
      <c r="C66" s="14" t="s">
        <v>1745</v>
      </c>
      <c r="D66" s="14" t="s">
        <v>1743</v>
      </c>
      <c r="E66" s="14" t="s">
        <v>2100</v>
      </c>
      <c r="F66" s="14" t="s">
        <v>2440</v>
      </c>
      <c r="G66" s="14" t="s">
        <v>3945</v>
      </c>
    </row>
    <row r="67" spans="1:7" ht="24" customHeight="1" x14ac:dyDescent="0.35">
      <c r="A67" s="14" t="s">
        <v>1318</v>
      </c>
      <c r="B67" s="14" t="s">
        <v>1320</v>
      </c>
      <c r="C67" s="14" t="s">
        <v>1319</v>
      </c>
      <c r="D67" s="14" t="s">
        <v>1317</v>
      </c>
      <c r="E67" s="14" t="s">
        <v>2105</v>
      </c>
      <c r="F67" s="14" t="s">
        <v>2718</v>
      </c>
      <c r="G67" s="14" t="s">
        <v>3946</v>
      </c>
    </row>
    <row r="68" spans="1:7" ht="24" customHeight="1" x14ac:dyDescent="0.35">
      <c r="A68" s="14" t="s">
        <v>1734</v>
      </c>
      <c r="B68" s="14" t="s">
        <v>1736</v>
      </c>
      <c r="C68" s="14" t="s">
        <v>1735</v>
      </c>
      <c r="D68" s="14" t="s">
        <v>1733</v>
      </c>
      <c r="E68" s="14" t="s">
        <v>3947</v>
      </c>
      <c r="F68" s="14" t="s">
        <v>3948</v>
      </c>
      <c r="G68" s="14" t="s">
        <v>1733</v>
      </c>
    </row>
    <row r="69" spans="1:7" ht="24" customHeight="1" x14ac:dyDescent="0.35">
      <c r="A69" s="14" t="s">
        <v>2073</v>
      </c>
      <c r="B69" s="14" t="s">
        <v>2075</v>
      </c>
      <c r="C69" s="14" t="s">
        <v>2074</v>
      </c>
      <c r="D69" s="14" t="s">
        <v>3949</v>
      </c>
      <c r="E69" s="14" t="s">
        <v>2069</v>
      </c>
      <c r="F69" s="14" t="s">
        <v>3950</v>
      </c>
      <c r="G69" s="14" t="s">
        <v>2069</v>
      </c>
    </row>
    <row r="70" spans="1:7" ht="24" customHeight="1" x14ac:dyDescent="0.35">
      <c r="A70" s="14" t="s">
        <v>1469</v>
      </c>
      <c r="B70" s="14" t="s">
        <v>1471</v>
      </c>
      <c r="C70" s="14" t="s">
        <v>1470</v>
      </c>
      <c r="D70" s="14" t="s">
        <v>1468</v>
      </c>
      <c r="E70" s="14" t="s">
        <v>3951</v>
      </c>
      <c r="F70" s="14" t="s">
        <v>2486</v>
      </c>
      <c r="G70" s="14" t="s">
        <v>3952</v>
      </c>
    </row>
    <row r="71" spans="1:7" ht="24" customHeight="1" x14ac:dyDescent="0.35">
      <c r="A71" s="14" t="s">
        <v>1630</v>
      </c>
      <c r="B71" s="14" t="s">
        <v>1632</v>
      </c>
      <c r="C71" s="14" t="s">
        <v>1631</v>
      </c>
      <c r="D71" s="14" t="s">
        <v>1625</v>
      </c>
      <c r="E71" s="14" t="s">
        <v>1956</v>
      </c>
      <c r="F71" s="14" t="s">
        <v>2511</v>
      </c>
      <c r="G71" s="14" t="s">
        <v>3953</v>
      </c>
    </row>
    <row r="72" spans="1:7" ht="24" customHeight="1" x14ac:dyDescent="0.35">
      <c r="A72" s="14" t="s">
        <v>1447</v>
      </c>
      <c r="B72" s="14" t="s">
        <v>1449</v>
      </c>
      <c r="C72" s="14" t="s">
        <v>1448</v>
      </c>
      <c r="D72" s="14" t="s">
        <v>1444</v>
      </c>
      <c r="E72" s="14" t="s">
        <v>2309</v>
      </c>
      <c r="F72" s="14" t="s">
        <v>2555</v>
      </c>
      <c r="G72" s="14" t="s">
        <v>3954</v>
      </c>
    </row>
    <row r="73" spans="1:7" ht="24" customHeight="1" x14ac:dyDescent="0.35">
      <c r="A73" s="14" t="s">
        <v>1215</v>
      </c>
      <c r="B73" s="14" t="s">
        <v>1217</v>
      </c>
      <c r="C73" s="14" t="s">
        <v>1216</v>
      </c>
      <c r="D73" s="14" t="s">
        <v>1212</v>
      </c>
      <c r="E73" s="14" t="s">
        <v>2193</v>
      </c>
      <c r="F73" s="14" t="s">
        <v>2526</v>
      </c>
      <c r="G73" s="14" t="s">
        <v>3955</v>
      </c>
    </row>
    <row r="74" spans="1:7" ht="24" customHeight="1" x14ac:dyDescent="0.35">
      <c r="A74" s="14" t="s">
        <v>1437</v>
      </c>
      <c r="B74" s="14" t="s">
        <v>1439</v>
      </c>
      <c r="C74" s="14" t="s">
        <v>1438</v>
      </c>
      <c r="D74" s="14" t="s">
        <v>1436</v>
      </c>
      <c r="E74" s="14" t="s">
        <v>2138</v>
      </c>
      <c r="F74" s="14" t="s">
        <v>2660</v>
      </c>
      <c r="G74" s="14" t="s">
        <v>3956</v>
      </c>
    </row>
    <row r="75" spans="1:7" ht="24" customHeight="1" x14ac:dyDescent="0.35">
      <c r="A75" s="14" t="s">
        <v>1254</v>
      </c>
      <c r="B75" s="14" t="s">
        <v>1256</v>
      </c>
      <c r="C75" s="14" t="s">
        <v>1255</v>
      </c>
      <c r="D75" s="14" t="s">
        <v>1253</v>
      </c>
      <c r="E75" s="14" t="s">
        <v>1985</v>
      </c>
      <c r="F75" s="14" t="s">
        <v>2424</v>
      </c>
      <c r="G75" s="14" t="s">
        <v>3957</v>
      </c>
    </row>
    <row r="76" spans="1:7" ht="24" customHeight="1" x14ac:dyDescent="0.35">
      <c r="A76" s="14" t="s">
        <v>1947</v>
      </c>
      <c r="B76" s="14" t="s">
        <v>1949</v>
      </c>
      <c r="C76" s="14" t="s">
        <v>1948</v>
      </c>
      <c r="D76" s="14" t="s">
        <v>3958</v>
      </c>
      <c r="E76" s="14" t="s">
        <v>1945</v>
      </c>
      <c r="F76" s="14" t="s">
        <v>3959</v>
      </c>
      <c r="G76" s="14" t="s">
        <v>1945</v>
      </c>
    </row>
    <row r="77" spans="1:7" ht="24" customHeight="1" x14ac:dyDescent="0.35">
      <c r="A77" s="14" t="s">
        <v>1130</v>
      </c>
      <c r="B77" s="14" t="s">
        <v>1132</v>
      </c>
      <c r="C77" s="14" t="s">
        <v>1131</v>
      </c>
      <c r="D77" s="14" t="s">
        <v>1126</v>
      </c>
      <c r="E77" s="14" t="s">
        <v>1951</v>
      </c>
      <c r="F77" s="14" t="s">
        <v>2476</v>
      </c>
      <c r="G77" s="14" t="s">
        <v>3960</v>
      </c>
    </row>
    <row r="78" spans="1:7" ht="24" customHeight="1" x14ac:dyDescent="0.35">
      <c r="A78" s="14" t="s">
        <v>1389</v>
      </c>
      <c r="B78" s="14" t="s">
        <v>1391</v>
      </c>
      <c r="C78" s="14" t="s">
        <v>1390</v>
      </c>
      <c r="D78" s="14" t="s">
        <v>1388</v>
      </c>
      <c r="E78" s="14" t="s">
        <v>2286</v>
      </c>
      <c r="F78" s="14" t="s">
        <v>2439</v>
      </c>
      <c r="G78" s="14" t="s">
        <v>3961</v>
      </c>
    </row>
    <row r="79" spans="1:7" ht="24" customHeight="1" x14ac:dyDescent="0.35">
      <c r="A79" s="14" t="s">
        <v>1726</v>
      </c>
      <c r="B79" s="14" t="s">
        <v>1728</v>
      </c>
      <c r="C79" s="14" t="s">
        <v>1727</v>
      </c>
      <c r="D79" s="14" t="s">
        <v>1725</v>
      </c>
      <c r="E79" s="14" t="s">
        <v>2306</v>
      </c>
      <c r="F79" s="14" t="s">
        <v>2446</v>
      </c>
      <c r="G79" s="14" t="s">
        <v>3962</v>
      </c>
    </row>
    <row r="80" spans="1:7" ht="24" customHeight="1" x14ac:dyDescent="0.35">
      <c r="A80" s="14" t="s">
        <v>1904</v>
      </c>
      <c r="B80" s="14" t="s">
        <v>1906</v>
      </c>
      <c r="C80" s="14" t="s">
        <v>1905</v>
      </c>
      <c r="D80" s="14" t="s">
        <v>1902</v>
      </c>
      <c r="E80" s="14" t="s">
        <v>2083</v>
      </c>
      <c r="F80" s="14" t="s">
        <v>2412</v>
      </c>
      <c r="G80" s="14" t="s">
        <v>3963</v>
      </c>
    </row>
    <row r="81" spans="1:7" ht="24" customHeight="1" x14ac:dyDescent="0.35">
      <c r="A81" s="14" t="s">
        <v>1716</v>
      </c>
      <c r="B81" s="14" t="s">
        <v>1718</v>
      </c>
      <c r="C81" s="14" t="s">
        <v>1717</v>
      </c>
      <c r="D81" s="14" t="s">
        <v>1715</v>
      </c>
      <c r="E81" s="14" t="s">
        <v>2273</v>
      </c>
      <c r="F81" s="14" t="s">
        <v>2538</v>
      </c>
      <c r="G81" s="14" t="s">
        <v>3964</v>
      </c>
    </row>
    <row r="82" spans="1:7" ht="24" customHeight="1" x14ac:dyDescent="0.35">
      <c r="A82" s="14" t="s">
        <v>1325</v>
      </c>
      <c r="B82" s="14" t="s">
        <v>1327</v>
      </c>
      <c r="C82" s="14" t="s">
        <v>1326</v>
      </c>
      <c r="D82" s="14" t="s">
        <v>3965</v>
      </c>
      <c r="E82" s="14" t="s">
        <v>2036</v>
      </c>
      <c r="F82" s="14" t="s">
        <v>2637</v>
      </c>
      <c r="G82" s="14" t="s">
        <v>3966</v>
      </c>
    </row>
    <row r="83" spans="1:7" ht="24" customHeight="1" x14ac:dyDescent="0.35">
      <c r="A83" s="14" t="s">
        <v>1296</v>
      </c>
      <c r="B83" s="14" t="s">
        <v>1298</v>
      </c>
      <c r="C83" s="14" t="s">
        <v>1297</v>
      </c>
      <c r="D83" s="14" t="s">
        <v>1294</v>
      </c>
      <c r="E83" s="14" t="s">
        <v>2239</v>
      </c>
      <c r="F83" s="14" t="s">
        <v>2473</v>
      </c>
      <c r="G83" s="14" t="s">
        <v>3967</v>
      </c>
    </row>
    <row r="84" spans="1:7" ht="24" customHeight="1" x14ac:dyDescent="0.35">
      <c r="A84" s="14" t="s">
        <v>1800</v>
      </c>
      <c r="B84" s="14" t="s">
        <v>1802</v>
      </c>
      <c r="C84" s="14" t="s">
        <v>1801</v>
      </c>
      <c r="D84" s="14" t="s">
        <v>1799</v>
      </c>
      <c r="E84" s="14" t="s">
        <v>1966</v>
      </c>
      <c r="F84" s="14" t="s">
        <v>2458</v>
      </c>
      <c r="G84" s="14" t="s">
        <v>3968</v>
      </c>
    </row>
    <row r="85" spans="1:7" ht="24" customHeight="1" x14ac:dyDescent="0.35">
      <c r="A85" s="14" t="s">
        <v>1923</v>
      </c>
      <c r="B85" s="14" t="s">
        <v>1925</v>
      </c>
      <c r="C85" s="14" t="s">
        <v>1924</v>
      </c>
      <c r="D85" s="14" t="s">
        <v>1922</v>
      </c>
      <c r="E85" s="14" t="s">
        <v>2203</v>
      </c>
      <c r="F85" s="14" t="s">
        <v>2636</v>
      </c>
      <c r="G85" s="14" t="s">
        <v>3969</v>
      </c>
    </row>
    <row r="86" spans="1:7" ht="24" customHeight="1" x14ac:dyDescent="0.35">
      <c r="A86" s="14" t="s">
        <v>1771</v>
      </c>
      <c r="B86" s="14" t="s">
        <v>1773</v>
      </c>
      <c r="C86" s="14" t="s">
        <v>1772</v>
      </c>
      <c r="D86" s="14" t="s">
        <v>1770</v>
      </c>
      <c r="E86" s="14" t="s">
        <v>2051</v>
      </c>
      <c r="F86" s="14" t="s">
        <v>2451</v>
      </c>
      <c r="G86" s="14" t="s">
        <v>3970</v>
      </c>
    </row>
    <row r="87" spans="1:7" ht="24" customHeight="1" x14ac:dyDescent="0.35">
      <c r="A87" s="14" t="s">
        <v>2132</v>
      </c>
      <c r="B87" s="14" t="s">
        <v>2134</v>
      </c>
      <c r="C87" s="14" t="s">
        <v>2133</v>
      </c>
      <c r="D87" s="14" t="s">
        <v>3971</v>
      </c>
      <c r="E87" s="14" t="s">
        <v>2131</v>
      </c>
      <c r="F87" s="14" t="s">
        <v>3972</v>
      </c>
      <c r="G87" s="14" t="s">
        <v>2131</v>
      </c>
    </row>
    <row r="88" spans="1:7" ht="24" customHeight="1" x14ac:dyDescent="0.35">
      <c r="A88" s="14" t="s">
        <v>1608</v>
      </c>
      <c r="B88" s="14" t="s">
        <v>1610</v>
      </c>
      <c r="C88" s="14" t="s">
        <v>1609</v>
      </c>
      <c r="D88" s="14" t="s">
        <v>1607</v>
      </c>
      <c r="E88" s="14" t="s">
        <v>2058</v>
      </c>
      <c r="F88" s="14" t="s">
        <v>2602</v>
      </c>
      <c r="G88" s="14" t="s">
        <v>3973</v>
      </c>
    </row>
    <row r="89" spans="1:7" ht="24" customHeight="1" x14ac:dyDescent="0.35">
      <c r="A89" s="14" t="s">
        <v>1828</v>
      </c>
      <c r="B89" s="14" t="s">
        <v>1830</v>
      </c>
      <c r="C89" s="14" t="s">
        <v>1829</v>
      </c>
      <c r="D89" s="14" t="s">
        <v>1827</v>
      </c>
      <c r="E89" s="14" t="s">
        <v>2136</v>
      </c>
      <c r="F89" s="14" t="s">
        <v>2496</v>
      </c>
      <c r="G89" s="14" t="s">
        <v>3974</v>
      </c>
    </row>
    <row r="90" spans="1:7" ht="24" customHeight="1" x14ac:dyDescent="0.35">
      <c r="A90" s="14" t="s">
        <v>1281</v>
      </c>
      <c r="B90" s="14" t="s">
        <v>1283</v>
      </c>
      <c r="C90" s="14" t="s">
        <v>1282</v>
      </c>
      <c r="D90" s="14" t="s">
        <v>1278</v>
      </c>
      <c r="E90" s="14" t="s">
        <v>2325</v>
      </c>
      <c r="F90" s="14" t="s">
        <v>3975</v>
      </c>
      <c r="G90" s="14" t="s">
        <v>3976</v>
      </c>
    </row>
    <row r="91" spans="1:7" ht="24" customHeight="1" x14ac:dyDescent="0.35">
      <c r="A91" s="14" t="s">
        <v>2209</v>
      </c>
      <c r="B91" s="14" t="s">
        <v>2211</v>
      </c>
      <c r="C91" s="14" t="s">
        <v>2210</v>
      </c>
      <c r="D91" s="14"/>
      <c r="E91" s="14" t="s">
        <v>2208</v>
      </c>
      <c r="F91" s="14" t="s">
        <v>2605</v>
      </c>
      <c r="G91" s="14" t="s">
        <v>3977</v>
      </c>
    </row>
    <row r="92" spans="1:7" ht="24" customHeight="1" x14ac:dyDescent="0.35">
      <c r="A92" s="14" t="s">
        <v>1046</v>
      </c>
      <c r="B92" s="14" t="s">
        <v>1049</v>
      </c>
      <c r="C92" s="14" t="s">
        <v>1047</v>
      </c>
      <c r="D92" s="14" t="s">
        <v>1042</v>
      </c>
      <c r="E92" s="14" t="s">
        <v>2003</v>
      </c>
      <c r="F92" s="14" t="s">
        <v>2550</v>
      </c>
      <c r="G92" s="14" t="s">
        <v>3978</v>
      </c>
    </row>
    <row r="93" spans="1:7" ht="24" customHeight="1" x14ac:dyDescent="0.35">
      <c r="A93" s="14" t="s">
        <v>1384</v>
      </c>
      <c r="B93" s="14" t="s">
        <v>1386</v>
      </c>
      <c r="C93" s="14" t="s">
        <v>1385</v>
      </c>
      <c r="D93" s="14" t="s">
        <v>1382</v>
      </c>
      <c r="E93" s="14" t="s">
        <v>1993</v>
      </c>
      <c r="F93" s="14" t="s">
        <v>2401</v>
      </c>
      <c r="G93" s="14" t="s">
        <v>3979</v>
      </c>
    </row>
    <row r="94" spans="1:7" ht="24" customHeight="1" x14ac:dyDescent="0.35">
      <c r="A94" s="14" t="s">
        <v>1346</v>
      </c>
      <c r="B94" s="14" t="s">
        <v>1348</v>
      </c>
      <c r="C94" s="14" t="s">
        <v>1347</v>
      </c>
      <c r="D94" s="14" t="s">
        <v>1345</v>
      </c>
      <c r="E94" s="14" t="s">
        <v>2126</v>
      </c>
      <c r="F94" s="14" t="s">
        <v>2470</v>
      </c>
      <c r="G94" s="14" t="s">
        <v>3980</v>
      </c>
    </row>
    <row r="95" spans="1:7" ht="24" customHeight="1" x14ac:dyDescent="0.35">
      <c r="A95" s="14" t="s">
        <v>1081</v>
      </c>
      <c r="B95" s="14" t="s">
        <v>1083</v>
      </c>
      <c r="C95" s="14" t="s">
        <v>1082</v>
      </c>
      <c r="D95" s="14" t="s">
        <v>1075</v>
      </c>
      <c r="E95" s="14" t="s">
        <v>2262</v>
      </c>
      <c r="F95" s="14" t="s">
        <v>2381</v>
      </c>
      <c r="G95" s="14" t="s">
        <v>3981</v>
      </c>
    </row>
    <row r="96" spans="1:7" ht="24" customHeight="1" x14ac:dyDescent="0.35">
      <c r="A96" s="14" t="s">
        <v>1751</v>
      </c>
      <c r="B96" s="14" t="s">
        <v>1753</v>
      </c>
      <c r="C96" s="14" t="s">
        <v>1752</v>
      </c>
      <c r="D96" s="14" t="s">
        <v>1748</v>
      </c>
      <c r="E96" s="14" t="s">
        <v>1982</v>
      </c>
      <c r="F96" s="14" t="s">
        <v>2615</v>
      </c>
      <c r="G96" s="14" t="s">
        <v>3982</v>
      </c>
    </row>
    <row r="97" spans="1:7" ht="24" customHeight="1" x14ac:dyDescent="0.35">
      <c r="A97" s="14" t="s">
        <v>1522</v>
      </c>
      <c r="B97" s="14" t="s">
        <v>1524</v>
      </c>
      <c r="C97" s="14" t="s">
        <v>1523</v>
      </c>
      <c r="D97" s="14" t="s">
        <v>1517</v>
      </c>
      <c r="E97" s="14" t="s">
        <v>3983</v>
      </c>
      <c r="F97" s="14" t="s">
        <v>2575</v>
      </c>
      <c r="G97" s="14" t="s">
        <v>3984</v>
      </c>
    </row>
    <row r="98" spans="1:7" ht="24" customHeight="1" x14ac:dyDescent="0.35">
      <c r="A98" s="14" t="s">
        <v>1662</v>
      </c>
      <c r="B98" s="14" t="s">
        <v>1664</v>
      </c>
      <c r="C98" s="14" t="s">
        <v>1663</v>
      </c>
      <c r="D98" s="14" t="s">
        <v>1661</v>
      </c>
      <c r="E98" s="14" t="s">
        <v>2184</v>
      </c>
      <c r="F98" s="14" t="s">
        <v>2425</v>
      </c>
      <c r="G98" s="14" t="s">
        <v>3985</v>
      </c>
    </row>
    <row r="99" spans="1:7" ht="24" customHeight="1" x14ac:dyDescent="0.35">
      <c r="A99" s="14" t="s">
        <v>1456</v>
      </c>
      <c r="B99" s="14" t="s">
        <v>1458</v>
      </c>
      <c r="C99" s="14" t="s">
        <v>1457</v>
      </c>
      <c r="D99" s="14" t="s">
        <v>1451</v>
      </c>
      <c r="E99" s="14" t="s">
        <v>3986</v>
      </c>
      <c r="F99" s="14" t="s">
        <v>3987</v>
      </c>
      <c r="G99" s="14" t="s">
        <v>1451</v>
      </c>
    </row>
    <row r="100" spans="1:7" ht="24" customHeight="1" x14ac:dyDescent="0.35">
      <c r="A100" s="14" t="s">
        <v>1814</v>
      </c>
      <c r="B100" s="14" t="s">
        <v>1816</v>
      </c>
      <c r="C100" s="14" t="s">
        <v>1815</v>
      </c>
      <c r="D100" s="14" t="s">
        <v>1813</v>
      </c>
      <c r="E100" s="14" t="s">
        <v>3988</v>
      </c>
      <c r="F100" s="14" t="s">
        <v>3989</v>
      </c>
      <c r="G100" s="14" t="s">
        <v>1813</v>
      </c>
    </row>
    <row r="101" spans="1:7" ht="24" customHeight="1" x14ac:dyDescent="0.35">
      <c r="A101" s="14" t="s">
        <v>1171</v>
      </c>
      <c r="B101" s="14" t="s">
        <v>1173</v>
      </c>
      <c r="C101" s="14" t="s">
        <v>1172</v>
      </c>
      <c r="D101" s="14" t="s">
        <v>1170</v>
      </c>
      <c r="E101" s="14" t="s">
        <v>2260</v>
      </c>
      <c r="F101" s="14" t="s">
        <v>2513</v>
      </c>
      <c r="G101" s="14" t="s">
        <v>3990</v>
      </c>
    </row>
    <row r="102" spans="1:7" ht="24" customHeight="1" x14ac:dyDescent="0.35">
      <c r="A102" s="14" t="s">
        <v>1070</v>
      </c>
      <c r="B102" s="14" t="s">
        <v>1072</v>
      </c>
      <c r="C102" s="14" t="s">
        <v>1071</v>
      </c>
      <c r="D102" s="14" t="s">
        <v>1063</v>
      </c>
      <c r="E102" s="14" t="s">
        <v>2055</v>
      </c>
      <c r="F102" s="14" t="s">
        <v>2690</v>
      </c>
      <c r="G102" s="14" t="s">
        <v>3991</v>
      </c>
    </row>
    <row r="103" spans="1:7" ht="24" customHeight="1" x14ac:dyDescent="0.35">
      <c r="A103" s="14" t="s">
        <v>1363</v>
      </c>
      <c r="B103" s="14" t="s">
        <v>1365</v>
      </c>
      <c r="C103" s="14" t="s">
        <v>1364</v>
      </c>
      <c r="D103" s="14" t="s">
        <v>1362</v>
      </c>
      <c r="E103" s="14" t="s">
        <v>2145</v>
      </c>
      <c r="F103" s="14" t="s">
        <v>2583</v>
      </c>
      <c r="G103" s="14" t="s">
        <v>3992</v>
      </c>
    </row>
    <row r="104" spans="1:7" ht="24" customHeight="1" x14ac:dyDescent="0.35">
      <c r="A104" s="14" t="s">
        <v>1425</v>
      </c>
      <c r="B104" s="14" t="s">
        <v>1427</v>
      </c>
      <c r="C104" s="14" t="s">
        <v>1426</v>
      </c>
      <c r="D104" s="14" t="s">
        <v>1424</v>
      </c>
      <c r="E104" s="14" t="s">
        <v>2226</v>
      </c>
      <c r="F104" s="14" t="s">
        <v>2684</v>
      </c>
      <c r="G104" s="14" t="s">
        <v>3993</v>
      </c>
    </row>
    <row r="105" spans="1:7" ht="24" customHeight="1" x14ac:dyDescent="0.35">
      <c r="A105" s="14" t="s">
        <v>1711</v>
      </c>
      <c r="B105" s="14" t="s">
        <v>1713</v>
      </c>
      <c r="C105" s="14" t="s">
        <v>1712</v>
      </c>
      <c r="D105" s="14" t="s">
        <v>1710</v>
      </c>
      <c r="E105" s="14" t="s">
        <v>1981</v>
      </c>
      <c r="F105" s="14" t="s">
        <v>2431</v>
      </c>
      <c r="G105" s="14" t="s">
        <v>3994</v>
      </c>
    </row>
    <row r="106" spans="1:7" ht="24" customHeight="1" x14ac:dyDescent="0.35">
      <c r="A106" s="14" t="s">
        <v>2624</v>
      </c>
      <c r="B106" s="14" t="s">
        <v>2626</v>
      </c>
      <c r="C106" s="14" t="s">
        <v>2625</v>
      </c>
      <c r="D106" s="14" t="s">
        <v>3995</v>
      </c>
      <c r="E106" s="14" t="s">
        <v>3996</v>
      </c>
      <c r="F106" s="14" t="s">
        <v>2623</v>
      </c>
      <c r="G106" s="14" t="s">
        <v>2623</v>
      </c>
    </row>
    <row r="107" spans="1:7" ht="24" customHeight="1" x14ac:dyDescent="0.35">
      <c r="A107" s="14" t="s">
        <v>1909</v>
      </c>
      <c r="B107" s="14" t="s">
        <v>1911</v>
      </c>
      <c r="C107" s="14" t="s">
        <v>1910</v>
      </c>
      <c r="D107" s="14" t="s">
        <v>1908</v>
      </c>
      <c r="E107" s="14" t="s">
        <v>2349</v>
      </c>
      <c r="F107" s="14" t="s">
        <v>2477</v>
      </c>
      <c r="G107" s="14" t="s">
        <v>3997</v>
      </c>
    </row>
    <row r="108" spans="1:7" ht="24" customHeight="1" x14ac:dyDescent="0.35">
      <c r="A108" s="14" t="s">
        <v>1589</v>
      </c>
      <c r="B108" s="14" t="s">
        <v>1591</v>
      </c>
      <c r="C108" s="14" t="s">
        <v>1590</v>
      </c>
      <c r="D108" s="14" t="s">
        <v>1588</v>
      </c>
      <c r="E108" s="14" t="s">
        <v>2060</v>
      </c>
      <c r="F108" s="14" t="s">
        <v>2658</v>
      </c>
      <c r="G108" s="14" t="s">
        <v>3998</v>
      </c>
    </row>
    <row r="109" spans="1:7" ht="24" customHeight="1" x14ac:dyDescent="0.35">
      <c r="A109" s="14" t="s">
        <v>1547</v>
      </c>
      <c r="B109" s="14" t="s">
        <v>1549</v>
      </c>
      <c r="C109" s="14" t="s">
        <v>1548</v>
      </c>
      <c r="D109" s="14" t="s">
        <v>1546</v>
      </c>
      <c r="E109" s="14" t="s">
        <v>2188</v>
      </c>
      <c r="F109" s="14" t="s">
        <v>2741</v>
      </c>
      <c r="G109" s="14" t="s">
        <v>3999</v>
      </c>
    </row>
    <row r="110" spans="1:7" ht="24" customHeight="1" x14ac:dyDescent="0.35">
      <c r="A110" s="14" t="s">
        <v>1399</v>
      </c>
      <c r="B110" s="14" t="s">
        <v>1401</v>
      </c>
      <c r="C110" s="14" t="s">
        <v>1400</v>
      </c>
      <c r="D110" s="14" t="s">
        <v>1394</v>
      </c>
      <c r="E110" s="14" t="s">
        <v>2230</v>
      </c>
      <c r="F110" s="14" t="s">
        <v>2443</v>
      </c>
      <c r="G110" s="14" t="s">
        <v>4000</v>
      </c>
    </row>
    <row r="111" spans="1:7" ht="24" customHeight="1" x14ac:dyDescent="0.35">
      <c r="A111" s="14" t="s">
        <v>1542</v>
      </c>
      <c r="B111" s="14" t="s">
        <v>1544</v>
      </c>
      <c r="C111" s="14" t="s">
        <v>1543</v>
      </c>
      <c r="D111" s="14" t="s">
        <v>1541</v>
      </c>
      <c r="E111" s="14" t="s">
        <v>2183</v>
      </c>
      <c r="F111" s="14" t="s">
        <v>2380</v>
      </c>
      <c r="G111" s="14" t="s">
        <v>4001</v>
      </c>
    </row>
    <row r="112" spans="1:7" ht="24" customHeight="1" x14ac:dyDescent="0.35">
      <c r="A112" s="14" t="s">
        <v>1484</v>
      </c>
      <c r="B112" s="14" t="s">
        <v>1486</v>
      </c>
      <c r="C112" s="14" t="s">
        <v>1485</v>
      </c>
      <c r="D112" s="14" t="s">
        <v>1483</v>
      </c>
      <c r="E112" s="14" t="s">
        <v>2340</v>
      </c>
      <c r="F112" s="14" t="s">
        <v>2450</v>
      </c>
      <c r="G112" s="14" t="s">
        <v>4002</v>
      </c>
    </row>
    <row r="113" spans="1:7" ht="24" customHeight="1" x14ac:dyDescent="0.35">
      <c r="A113" s="14" t="s">
        <v>1135</v>
      </c>
      <c r="B113" s="14" t="s">
        <v>1137</v>
      </c>
      <c r="C113" s="14" t="s">
        <v>1136</v>
      </c>
      <c r="D113" s="14" t="s">
        <v>1134</v>
      </c>
      <c r="E113" s="14" t="s">
        <v>2329</v>
      </c>
      <c r="F113" s="14" t="s">
        <v>2588</v>
      </c>
      <c r="G113" s="14" t="s">
        <v>4003</v>
      </c>
    </row>
    <row r="114" spans="1:7" ht="24" customHeight="1" x14ac:dyDescent="0.35">
      <c r="A114" s="14" t="s">
        <v>1671</v>
      </c>
      <c r="B114" s="14" t="s">
        <v>1673</v>
      </c>
      <c r="C114" s="14" t="s">
        <v>1672</v>
      </c>
      <c r="D114" s="14" t="s">
        <v>1670</v>
      </c>
      <c r="E114" s="14" t="s">
        <v>1970</v>
      </c>
      <c r="F114" s="14" t="s">
        <v>2521</v>
      </c>
      <c r="G114" s="14" t="s">
        <v>4004</v>
      </c>
    </row>
    <row r="115" spans="1:7" ht="24" customHeight="1" x14ac:dyDescent="0.35">
      <c r="A115" s="14" t="s">
        <v>1335</v>
      </c>
      <c r="B115" s="14" t="s">
        <v>1337</v>
      </c>
      <c r="C115" s="14" t="s">
        <v>1336</v>
      </c>
      <c r="D115" s="14" t="s">
        <v>1334</v>
      </c>
      <c r="E115" s="14" t="s">
        <v>2047</v>
      </c>
      <c r="F115" s="14" t="s">
        <v>2465</v>
      </c>
      <c r="G115" s="14" t="s">
        <v>4005</v>
      </c>
    </row>
    <row r="116" spans="1:7" ht="24" customHeight="1" x14ac:dyDescent="0.35">
      <c r="A116" s="14" t="s">
        <v>1645</v>
      </c>
      <c r="B116" s="14" t="s">
        <v>1647</v>
      </c>
      <c r="C116" s="14" t="s">
        <v>1646</v>
      </c>
      <c r="D116" s="14" t="s">
        <v>1644</v>
      </c>
      <c r="E116" s="14" t="s">
        <v>2140</v>
      </c>
      <c r="F116" s="14" t="s">
        <v>2464</v>
      </c>
      <c r="G116" s="14" t="s">
        <v>4006</v>
      </c>
    </row>
    <row r="117" spans="1:7" ht="24" customHeight="1" x14ac:dyDescent="0.35">
      <c r="A117" s="14" t="s">
        <v>1651</v>
      </c>
      <c r="B117" s="14" t="s">
        <v>1653</v>
      </c>
      <c r="C117" s="14" t="s">
        <v>1652</v>
      </c>
      <c r="D117" s="14" t="s">
        <v>1649</v>
      </c>
      <c r="E117" s="14" t="s">
        <v>4007</v>
      </c>
      <c r="F117" s="14" t="s">
        <v>2662</v>
      </c>
      <c r="G117" s="14" t="s">
        <v>4008</v>
      </c>
    </row>
    <row r="118" spans="1:7" ht="24" customHeight="1" x14ac:dyDescent="0.35">
      <c r="A118" s="14" t="s">
        <v>1809</v>
      </c>
      <c r="B118" s="14" t="s">
        <v>1811</v>
      </c>
      <c r="C118" s="14" t="s">
        <v>1810</v>
      </c>
      <c r="D118" s="14" t="s">
        <v>1808</v>
      </c>
      <c r="E118" s="14" t="s">
        <v>1987</v>
      </c>
      <c r="F118" s="14" t="s">
        <v>2566</v>
      </c>
      <c r="G118" s="14" t="s">
        <v>4009</v>
      </c>
    </row>
    <row r="119" spans="1:7" ht="24" customHeight="1" x14ac:dyDescent="0.35">
      <c r="A119" s="14" t="s">
        <v>1557</v>
      </c>
      <c r="B119" s="14" t="s">
        <v>1559</v>
      </c>
      <c r="C119" s="14" t="s">
        <v>1558</v>
      </c>
      <c r="D119" s="14" t="s">
        <v>1556</v>
      </c>
      <c r="E119" s="14"/>
      <c r="F119" s="14" t="s">
        <v>2697</v>
      </c>
      <c r="G119" s="14" t="s">
        <v>4010</v>
      </c>
    </row>
    <row r="120" spans="1:7" ht="24" customHeight="1" x14ac:dyDescent="0.35">
      <c r="A120" s="14" t="s">
        <v>1882</v>
      </c>
      <c r="B120" s="14"/>
      <c r="C120" s="14" t="s">
        <v>1883</v>
      </c>
      <c r="D120" s="14" t="s">
        <v>1876</v>
      </c>
      <c r="E120" s="14" t="s">
        <v>2031</v>
      </c>
      <c r="F120" s="14" t="s">
        <v>2390</v>
      </c>
      <c r="G120" s="14" t="s">
        <v>4011</v>
      </c>
    </row>
    <row r="121" spans="1:7" ht="24" customHeight="1" x14ac:dyDescent="0.35">
      <c r="A121" s="14" t="s">
        <v>2316</v>
      </c>
      <c r="B121" s="14"/>
      <c r="C121" s="14" t="s">
        <v>2317</v>
      </c>
      <c r="D121" s="14" t="s">
        <v>4012</v>
      </c>
      <c r="E121" s="14" t="s">
        <v>4013</v>
      </c>
      <c r="F121" s="14" t="s">
        <v>2498</v>
      </c>
      <c r="G121" s="14" t="s">
        <v>4014</v>
      </c>
    </row>
    <row r="122" spans="1:7" ht="24" customHeight="1" x14ac:dyDescent="0.35">
      <c r="A122" s="14" t="s">
        <v>1701</v>
      </c>
      <c r="B122" s="14" t="s">
        <v>1702</v>
      </c>
      <c r="C122" s="14"/>
      <c r="D122" s="14" t="s">
        <v>1698</v>
      </c>
      <c r="E122" s="14" t="s">
        <v>1975</v>
      </c>
      <c r="F122" s="14" t="s">
        <v>2417</v>
      </c>
      <c r="G122" s="14" t="s">
        <v>4015</v>
      </c>
    </row>
    <row r="123" spans="1:7" ht="24" customHeight="1" x14ac:dyDescent="0.35">
      <c r="A123" s="14" t="s">
        <v>1421</v>
      </c>
      <c r="B123" s="14" t="s">
        <v>1422</v>
      </c>
      <c r="C123" s="14"/>
      <c r="D123" s="14" t="s">
        <v>1420</v>
      </c>
      <c r="E123" s="14" t="s">
        <v>2366</v>
      </c>
      <c r="F123" s="14" t="s">
        <v>2580</v>
      </c>
      <c r="G123" s="14" t="s">
        <v>4016</v>
      </c>
    </row>
    <row r="124" spans="1:7" ht="24" customHeight="1" x14ac:dyDescent="0.35">
      <c r="A124" s="14" t="s">
        <v>1100</v>
      </c>
      <c r="B124" s="14" t="s">
        <v>1102</v>
      </c>
      <c r="C124" s="14" t="s">
        <v>1101</v>
      </c>
      <c r="D124" s="14" t="s">
        <v>1095</v>
      </c>
      <c r="E124" s="14"/>
      <c r="F124" s="14" t="s">
        <v>2383</v>
      </c>
      <c r="G124" s="14" t="s">
        <v>4017</v>
      </c>
    </row>
    <row r="125" spans="1:7" ht="24" customHeight="1" x14ac:dyDescent="0.35">
      <c r="A125" s="14" t="s">
        <v>2174</v>
      </c>
      <c r="B125" s="14" t="s">
        <v>2176</v>
      </c>
      <c r="C125" s="14" t="s">
        <v>2175</v>
      </c>
      <c r="D125" s="14"/>
      <c r="E125" s="14" t="s">
        <v>2173</v>
      </c>
      <c r="F125" s="14" t="s">
        <v>2551</v>
      </c>
      <c r="G125" s="14" t="s">
        <v>4018</v>
      </c>
    </row>
    <row r="126" spans="1:7" ht="24" customHeight="1" x14ac:dyDescent="0.35">
      <c r="A126" s="14" t="s">
        <v>1937</v>
      </c>
      <c r="B126" s="14" t="s">
        <v>1939</v>
      </c>
      <c r="C126" s="14" t="s">
        <v>1938</v>
      </c>
      <c r="D126" s="14"/>
      <c r="E126" s="14" t="s">
        <v>1936</v>
      </c>
      <c r="F126" s="14" t="s">
        <v>2467</v>
      </c>
      <c r="G126" s="14" t="s">
        <v>4019</v>
      </c>
    </row>
    <row r="127" spans="1:7" ht="24" customHeight="1" x14ac:dyDescent="0.35">
      <c r="A127" s="14" t="s">
        <v>1667</v>
      </c>
      <c r="B127" s="14"/>
      <c r="C127" s="14" t="s">
        <v>1668</v>
      </c>
      <c r="D127" s="14" t="s">
        <v>1666</v>
      </c>
      <c r="E127" s="14" t="s">
        <v>1968</v>
      </c>
      <c r="F127" s="14" t="s">
        <v>2543</v>
      </c>
      <c r="G127" s="14" t="s">
        <v>4020</v>
      </c>
    </row>
    <row r="128" spans="1:7" ht="24" customHeight="1" x14ac:dyDescent="0.35">
      <c r="A128" s="14" t="s">
        <v>2301</v>
      </c>
      <c r="B128" s="14"/>
      <c r="C128" s="14" t="s">
        <v>2302</v>
      </c>
      <c r="D128" s="14"/>
      <c r="E128" s="14" t="s">
        <v>2300</v>
      </c>
      <c r="F128" s="14" t="s">
        <v>2686</v>
      </c>
      <c r="G128" s="14" t="s">
        <v>4021</v>
      </c>
    </row>
    <row r="129" spans="1:7" ht="24" customHeight="1" x14ac:dyDescent="0.35">
      <c r="A129" s="14" t="s">
        <v>2481</v>
      </c>
      <c r="B129" s="14"/>
      <c r="C129" s="14" t="s">
        <v>2482</v>
      </c>
      <c r="D129" s="14" t="s">
        <v>4022</v>
      </c>
      <c r="E129" s="14" t="s">
        <v>4023</v>
      </c>
      <c r="F129" s="14" t="s">
        <v>2480</v>
      </c>
      <c r="G129" s="14" t="s">
        <v>2480</v>
      </c>
    </row>
    <row r="130" spans="1:7" ht="24" customHeight="1" x14ac:dyDescent="0.35">
      <c r="A130" s="14" t="s">
        <v>1200</v>
      </c>
      <c r="B130" s="14"/>
      <c r="C130" s="14"/>
      <c r="D130" s="14" t="s">
        <v>1197</v>
      </c>
      <c r="E130" s="14" t="s">
        <v>2228</v>
      </c>
      <c r="F130" s="14" t="s">
        <v>4024</v>
      </c>
      <c r="G130" s="14" t="s">
        <v>4025</v>
      </c>
    </row>
    <row r="131" spans="1:7" ht="24" customHeight="1" x14ac:dyDescent="0.35">
      <c r="A131" s="14" t="s">
        <v>1509</v>
      </c>
      <c r="B131" s="14"/>
      <c r="C131" s="14"/>
      <c r="D131" s="14" t="s">
        <v>1507</v>
      </c>
      <c r="E131" s="14" t="s">
        <v>2356</v>
      </c>
      <c r="F131" s="14" t="s">
        <v>2541</v>
      </c>
      <c r="G131" s="14" t="s">
        <v>4026</v>
      </c>
    </row>
    <row r="132" spans="1:7" ht="24" customHeight="1" x14ac:dyDescent="0.35">
      <c r="A132" s="14" t="s">
        <v>1886</v>
      </c>
      <c r="B132" s="14"/>
      <c r="C132" s="14"/>
      <c r="D132" s="14" t="s">
        <v>1885</v>
      </c>
      <c r="E132" s="14" t="s">
        <v>1989</v>
      </c>
      <c r="F132" s="14" t="s">
        <v>2723</v>
      </c>
      <c r="G132" s="14" t="s">
        <v>4027</v>
      </c>
    </row>
    <row r="133" spans="1:7" ht="24" customHeight="1" x14ac:dyDescent="0.35">
      <c r="A133" s="14" t="s">
        <v>1226</v>
      </c>
      <c r="B133" s="14"/>
      <c r="C133" s="14"/>
      <c r="D133" s="14" t="s">
        <v>1224</v>
      </c>
      <c r="E133" s="14" t="s">
        <v>2336</v>
      </c>
      <c r="F133" s="14" t="s">
        <v>2429</v>
      </c>
      <c r="G133" s="14" t="s">
        <v>4028</v>
      </c>
    </row>
    <row r="134" spans="1:7" ht="24" customHeight="1" x14ac:dyDescent="0.35">
      <c r="A134" s="14" t="s">
        <v>1641</v>
      </c>
      <c r="B134" s="14"/>
      <c r="C134" s="14" t="s">
        <v>1642</v>
      </c>
      <c r="D134" s="14" t="s">
        <v>1640</v>
      </c>
      <c r="E134" s="14"/>
      <c r="F134" s="14" t="s">
        <v>2688</v>
      </c>
      <c r="G134" s="14" t="s">
        <v>4029</v>
      </c>
    </row>
    <row r="135" spans="1:7" ht="24" customHeight="1" x14ac:dyDescent="0.35">
      <c r="A135" s="14" t="s">
        <v>2561</v>
      </c>
      <c r="B135" s="14"/>
      <c r="C135" s="14"/>
      <c r="D135" s="14" t="s">
        <v>4030</v>
      </c>
      <c r="E135" s="14" t="s">
        <v>4031</v>
      </c>
      <c r="F135" s="14" t="s">
        <v>2560</v>
      </c>
      <c r="G135" s="14" t="s">
        <v>2560</v>
      </c>
    </row>
    <row r="136" spans="1:7" ht="24" customHeight="1" x14ac:dyDescent="0.35">
      <c r="A136" s="14" t="s">
        <v>1113</v>
      </c>
      <c r="B136" s="14"/>
      <c r="C136" s="14"/>
      <c r="D136" s="14" t="s">
        <v>1112</v>
      </c>
      <c r="E136" s="14" t="s">
        <v>1960</v>
      </c>
      <c r="F136" s="14" t="s">
        <v>2630</v>
      </c>
      <c r="G136" s="14" t="s">
        <v>4032</v>
      </c>
    </row>
    <row r="137" spans="1:7" ht="24" customHeight="1" x14ac:dyDescent="0.35">
      <c r="A137" s="14" t="s">
        <v>1142</v>
      </c>
      <c r="B137" s="14"/>
      <c r="C137" s="14"/>
      <c r="D137" s="14" t="s">
        <v>1141</v>
      </c>
      <c r="E137" s="14" t="s">
        <v>2158</v>
      </c>
      <c r="F137" s="14" t="s">
        <v>2597</v>
      </c>
      <c r="G137" s="14" t="s">
        <v>4033</v>
      </c>
    </row>
    <row r="138" spans="1:7" ht="24" customHeight="1" x14ac:dyDescent="0.35">
      <c r="A138" s="14" t="s">
        <v>1156</v>
      </c>
      <c r="B138" s="14"/>
      <c r="C138" s="14"/>
      <c r="D138" s="14" t="s">
        <v>1155</v>
      </c>
      <c r="E138" s="14" t="s">
        <v>2081</v>
      </c>
      <c r="F138" s="14" t="s">
        <v>4034</v>
      </c>
      <c r="G138" s="14" t="s">
        <v>4035</v>
      </c>
    </row>
    <row r="139" spans="1:7" ht="24" customHeight="1" x14ac:dyDescent="0.35">
      <c r="A139" s="14" t="s">
        <v>1233</v>
      </c>
      <c r="B139" s="14"/>
      <c r="C139" s="14"/>
      <c r="D139" s="14" t="s">
        <v>1232</v>
      </c>
      <c r="E139" s="14" t="s">
        <v>2331</v>
      </c>
      <c r="F139" s="14" t="s">
        <v>2545</v>
      </c>
      <c r="G139" s="14" t="s">
        <v>4036</v>
      </c>
    </row>
    <row r="140" spans="1:7" ht="24" customHeight="1" x14ac:dyDescent="0.35">
      <c r="A140" s="14" t="s">
        <v>2409</v>
      </c>
      <c r="B140" s="14"/>
      <c r="C140" s="14"/>
      <c r="D140" s="14" t="s">
        <v>4037</v>
      </c>
      <c r="E140" s="14" t="s">
        <v>4038</v>
      </c>
      <c r="F140" s="14" t="s">
        <v>2408</v>
      </c>
      <c r="G140" s="14" t="s">
        <v>2408</v>
      </c>
    </row>
    <row r="141" spans="1:7" ht="24" customHeight="1" x14ac:dyDescent="0.35">
      <c r="A141" s="14" t="s">
        <v>1248</v>
      </c>
      <c r="B141" s="14"/>
      <c r="C141" s="14"/>
      <c r="D141" s="14" t="s">
        <v>1247</v>
      </c>
      <c r="E141" s="14" t="s">
        <v>2323</v>
      </c>
      <c r="F141" s="14" t="s">
        <v>2441</v>
      </c>
      <c r="G141" s="14" t="s">
        <v>4039</v>
      </c>
    </row>
    <row r="142" spans="1:7" ht="24" customHeight="1" x14ac:dyDescent="0.35">
      <c r="A142" s="14" t="s">
        <v>1251</v>
      </c>
      <c r="B142" s="14"/>
      <c r="C142" s="14"/>
      <c r="D142" s="14" t="s">
        <v>1250</v>
      </c>
      <c r="E142" s="14" t="s">
        <v>2118</v>
      </c>
      <c r="F142" s="14" t="s">
        <v>2442</v>
      </c>
      <c r="G142" s="14" t="s">
        <v>4040</v>
      </c>
    </row>
    <row r="143" spans="1:7" ht="24" customHeight="1" x14ac:dyDescent="0.35">
      <c r="A143" s="14" t="s">
        <v>1265</v>
      </c>
      <c r="B143" s="14"/>
      <c r="C143" s="14"/>
      <c r="D143" s="14" t="s">
        <v>1263</v>
      </c>
      <c r="E143" s="14" t="s">
        <v>2295</v>
      </c>
      <c r="F143" s="14" t="s">
        <v>2725</v>
      </c>
      <c r="G143" s="14" t="s">
        <v>4041</v>
      </c>
    </row>
    <row r="144" spans="1:7" ht="24" customHeight="1" x14ac:dyDescent="0.35">
      <c r="A144" s="14" t="s">
        <v>1369</v>
      </c>
      <c r="B144" s="14"/>
      <c r="C144" s="14"/>
      <c r="D144" s="14" t="s">
        <v>1368</v>
      </c>
      <c r="E144" s="14" t="s">
        <v>4042</v>
      </c>
      <c r="F144" s="14" t="s">
        <v>2444</v>
      </c>
      <c r="G144" s="14" t="s">
        <v>4043</v>
      </c>
    </row>
    <row r="145" spans="1:7" ht="24" customHeight="1" x14ac:dyDescent="0.35">
      <c r="A145" s="14" t="s">
        <v>1477</v>
      </c>
      <c r="B145" s="14"/>
      <c r="C145" s="14"/>
      <c r="D145" s="14" t="s">
        <v>1475</v>
      </c>
      <c r="E145" s="14" t="s">
        <v>2347</v>
      </c>
      <c r="F145" s="14" t="s">
        <v>2633</v>
      </c>
      <c r="G145" s="14" t="s">
        <v>4044</v>
      </c>
    </row>
    <row r="146" spans="1:7" ht="24" customHeight="1" x14ac:dyDescent="0.35">
      <c r="A146" s="14" t="s">
        <v>1500</v>
      </c>
      <c r="B146" s="14"/>
      <c r="C146" s="14"/>
      <c r="D146" s="14" t="s">
        <v>1496</v>
      </c>
      <c r="E146" s="14" t="s">
        <v>2066</v>
      </c>
      <c r="F146" s="14" t="s">
        <v>4045</v>
      </c>
      <c r="G146" s="14" t="s">
        <v>4046</v>
      </c>
    </row>
    <row r="147" spans="1:7" ht="24" customHeight="1" x14ac:dyDescent="0.35">
      <c r="A147" s="14" t="s">
        <v>1604</v>
      </c>
      <c r="B147" s="14"/>
      <c r="C147" s="14"/>
      <c r="D147" s="14" t="s">
        <v>1601</v>
      </c>
      <c r="E147" s="14" t="s">
        <v>2021</v>
      </c>
      <c r="F147" s="14" t="s">
        <v>2609</v>
      </c>
      <c r="G147" s="14" t="s">
        <v>4047</v>
      </c>
    </row>
    <row r="148" spans="1:7" ht="24" customHeight="1" x14ac:dyDescent="0.35">
      <c r="A148" s="14" t="s">
        <v>1614</v>
      </c>
      <c r="B148" s="14"/>
      <c r="C148" s="14"/>
      <c r="D148" s="14" t="s">
        <v>1612</v>
      </c>
      <c r="E148" s="14" t="s">
        <v>2250</v>
      </c>
      <c r="F148" s="14" t="s">
        <v>4048</v>
      </c>
      <c r="G148" s="14" t="s">
        <v>4049</v>
      </c>
    </row>
    <row r="149" spans="1:7" ht="24" customHeight="1" x14ac:dyDescent="0.35">
      <c r="A149" s="14" t="s">
        <v>1731</v>
      </c>
      <c r="B149" s="14"/>
      <c r="C149" s="14"/>
      <c r="D149" s="14" t="s">
        <v>1730</v>
      </c>
      <c r="E149" s="14" t="s">
        <v>2305</v>
      </c>
      <c r="F149" s="14" t="s">
        <v>2445</v>
      </c>
      <c r="G149" s="14" t="s">
        <v>4050</v>
      </c>
    </row>
    <row r="150" spans="1:7" ht="24" customHeight="1" x14ac:dyDescent="0.35">
      <c r="A150" s="14" t="s">
        <v>1805</v>
      </c>
      <c r="B150" s="14"/>
      <c r="C150" s="14"/>
      <c r="D150" s="14" t="s">
        <v>1804</v>
      </c>
      <c r="E150" s="14" t="s">
        <v>2333</v>
      </c>
      <c r="F150" s="14" t="s">
        <v>4051</v>
      </c>
      <c r="G150" s="14" t="s">
        <v>4052</v>
      </c>
    </row>
    <row r="151" spans="1:7" ht="24" customHeight="1" x14ac:dyDescent="0.35">
      <c r="A151" s="14" t="s">
        <v>1821</v>
      </c>
      <c r="B151" s="14"/>
      <c r="C151" s="14"/>
      <c r="D151" s="14" t="s">
        <v>1820</v>
      </c>
      <c r="E151" s="14" t="s">
        <v>2180</v>
      </c>
      <c r="F151" s="14" t="s">
        <v>2438</v>
      </c>
      <c r="G151" s="14" t="s">
        <v>4053</v>
      </c>
    </row>
    <row r="152" spans="1:7" ht="24" customHeight="1" x14ac:dyDescent="0.35">
      <c r="A152" s="14" t="s">
        <v>1825</v>
      </c>
      <c r="B152" s="14"/>
      <c r="C152" s="14"/>
      <c r="D152" s="14" t="s">
        <v>1823</v>
      </c>
      <c r="E152" s="14" t="s">
        <v>2129</v>
      </c>
      <c r="F152" s="14" t="s">
        <v>2614</v>
      </c>
      <c r="G152" s="14" t="s">
        <v>4054</v>
      </c>
    </row>
    <row r="153" spans="1:7" ht="24" customHeight="1" x14ac:dyDescent="0.35">
      <c r="A153" s="14" t="s">
        <v>1868</v>
      </c>
      <c r="B153" s="14"/>
      <c r="C153" s="14"/>
      <c r="D153" s="14" t="s">
        <v>1865</v>
      </c>
      <c r="E153" s="14" t="s">
        <v>1929</v>
      </c>
      <c r="F153" s="14" t="s">
        <v>2490</v>
      </c>
      <c r="G153" s="14" t="s">
        <v>4055</v>
      </c>
    </row>
    <row r="154" spans="1:7" ht="24" customHeight="1" x14ac:dyDescent="0.35">
      <c r="A154" s="14" t="s">
        <v>1889</v>
      </c>
      <c r="B154" s="14"/>
      <c r="C154" s="14"/>
      <c r="D154" s="14" t="s">
        <v>1888</v>
      </c>
      <c r="E154" s="14" t="s">
        <v>2085</v>
      </c>
      <c r="F154" s="14" t="s">
        <v>2399</v>
      </c>
      <c r="G154" s="14" t="s">
        <v>4056</v>
      </c>
    </row>
    <row r="155" spans="1:7" ht="24" customHeight="1" x14ac:dyDescent="0.35">
      <c r="A155" s="14" t="s">
        <v>1942</v>
      </c>
      <c r="B155" s="14"/>
      <c r="C155" s="14"/>
      <c r="D155" s="14"/>
      <c r="E155" s="14" t="s">
        <v>1941</v>
      </c>
      <c r="F155" s="14" t="s">
        <v>2534</v>
      </c>
      <c r="G155" s="14" t="s">
        <v>4057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3"/>
  <sheetViews>
    <sheetView topLeftCell="A3" workbookViewId="0"/>
  </sheetViews>
  <sheetFormatPr defaultRowHeight="14.5" x14ac:dyDescent="0.35"/>
  <cols>
    <col min="1" max="2" width="18" customWidth="1"/>
    <col min="3" max="3" width="42" customWidth="1"/>
    <col min="4" max="6" width="18" customWidth="1"/>
    <col min="7" max="7" width="42" customWidth="1"/>
  </cols>
  <sheetData>
    <row r="1" spans="1:7" x14ac:dyDescent="0.35">
      <c r="A1" s="16" t="s">
        <v>3747</v>
      </c>
      <c r="B1" s="16" t="s">
        <v>4058</v>
      </c>
      <c r="C1" s="16" t="s">
        <v>4059</v>
      </c>
      <c r="D1" s="16" t="s">
        <v>4060</v>
      </c>
      <c r="E1" s="16" t="s">
        <v>4061</v>
      </c>
      <c r="F1" s="16" t="s">
        <v>4062</v>
      </c>
      <c r="G1" s="16" t="s">
        <v>4063</v>
      </c>
    </row>
    <row r="2" spans="1:7" ht="29" x14ac:dyDescent="0.35">
      <c r="A2" s="14" t="s">
        <v>2087</v>
      </c>
      <c r="B2" s="14" t="s">
        <v>3767</v>
      </c>
      <c r="C2" s="14" t="s">
        <v>1723</v>
      </c>
      <c r="D2" s="14" t="s">
        <v>1025</v>
      </c>
      <c r="E2" s="14" t="s">
        <v>3765</v>
      </c>
      <c r="F2" s="14" t="s">
        <v>3611</v>
      </c>
      <c r="G2" s="14" t="s">
        <v>4064</v>
      </c>
    </row>
    <row r="3" spans="1:7" ht="319" x14ac:dyDescent="0.35">
      <c r="A3" s="14" t="s">
        <v>2265</v>
      </c>
      <c r="B3" s="14" t="s">
        <v>3767</v>
      </c>
      <c r="C3" s="14" t="s">
        <v>1244</v>
      </c>
      <c r="D3" s="14" t="s">
        <v>1023</v>
      </c>
      <c r="E3" s="14" t="s">
        <v>3760</v>
      </c>
      <c r="F3" s="14" t="s">
        <v>4065</v>
      </c>
      <c r="G3" s="14" t="s">
        <v>4064</v>
      </c>
    </row>
    <row r="4" spans="1:7" ht="58" x14ac:dyDescent="0.35">
      <c r="A4" s="14" t="s">
        <v>2206</v>
      </c>
      <c r="B4" s="14" t="s">
        <v>3767</v>
      </c>
      <c r="C4" s="14" t="s">
        <v>1374</v>
      </c>
      <c r="D4" s="14" t="s">
        <v>1023</v>
      </c>
      <c r="E4" s="14" t="s">
        <v>3589</v>
      </c>
      <c r="F4" s="14" t="s">
        <v>3589</v>
      </c>
      <c r="G4" s="14" t="s">
        <v>4064</v>
      </c>
    </row>
    <row r="5" spans="1:7" ht="58" x14ac:dyDescent="0.35">
      <c r="A5" s="14" t="s">
        <v>2114</v>
      </c>
      <c r="B5" s="14" t="s">
        <v>3767</v>
      </c>
      <c r="C5" s="14" t="s">
        <v>1374</v>
      </c>
      <c r="D5" s="14" t="s">
        <v>1023</v>
      </c>
      <c r="E5" s="14" t="s">
        <v>3589</v>
      </c>
      <c r="F5" s="14" t="s">
        <v>3589</v>
      </c>
      <c r="G5" s="14" t="s">
        <v>4064</v>
      </c>
    </row>
    <row r="6" spans="1:7" ht="58" x14ac:dyDescent="0.35">
      <c r="A6" s="14" t="s">
        <v>1997</v>
      </c>
      <c r="B6" s="14" t="s">
        <v>3767</v>
      </c>
      <c r="C6" s="14" t="s">
        <v>1374</v>
      </c>
      <c r="D6" s="14" t="s">
        <v>1023</v>
      </c>
      <c r="E6" s="14" t="s">
        <v>3589</v>
      </c>
      <c r="F6" s="14" t="s">
        <v>3589</v>
      </c>
      <c r="G6" s="14" t="s">
        <v>4064</v>
      </c>
    </row>
    <row r="7" spans="1:7" ht="58" x14ac:dyDescent="0.35">
      <c r="A7" s="14" t="s">
        <v>2112</v>
      </c>
      <c r="B7" s="14" t="s">
        <v>3767</v>
      </c>
      <c r="C7" s="14" t="s">
        <v>1374</v>
      </c>
      <c r="D7" s="14" t="s">
        <v>1023</v>
      </c>
      <c r="E7" s="14" t="s">
        <v>3589</v>
      </c>
      <c r="F7" s="14" t="s">
        <v>3589</v>
      </c>
      <c r="G7" s="14" t="s">
        <v>4064</v>
      </c>
    </row>
    <row r="8" spans="1:7" ht="29" x14ac:dyDescent="0.35">
      <c r="A8" s="14" t="s">
        <v>1954</v>
      </c>
      <c r="B8" s="14" t="s">
        <v>3767</v>
      </c>
      <c r="C8" s="14" t="s">
        <v>1061</v>
      </c>
      <c r="D8" s="14" t="s">
        <v>1023</v>
      </c>
      <c r="E8" s="14" t="s">
        <v>3589</v>
      </c>
      <c r="F8" s="14" t="s">
        <v>3760</v>
      </c>
      <c r="G8" s="14" t="s">
        <v>4064</v>
      </c>
    </row>
    <row r="9" spans="1:7" ht="29" x14ac:dyDescent="0.35">
      <c r="A9" s="14" t="s">
        <v>2152</v>
      </c>
      <c r="B9" s="14" t="s">
        <v>3767</v>
      </c>
      <c r="C9" s="14" t="s">
        <v>1061</v>
      </c>
      <c r="D9" s="14" t="s">
        <v>1023</v>
      </c>
      <c r="E9" s="14" t="s">
        <v>3589</v>
      </c>
      <c r="F9" s="14" t="s">
        <v>3760</v>
      </c>
      <c r="G9" s="14" t="s">
        <v>4064</v>
      </c>
    </row>
    <row r="10" spans="1:7" ht="29" x14ac:dyDescent="0.35">
      <c r="A10" s="14" t="s">
        <v>2154</v>
      </c>
      <c r="B10" s="14" t="s">
        <v>3767</v>
      </c>
      <c r="C10" s="14" t="s">
        <v>1061</v>
      </c>
      <c r="D10" s="14" t="s">
        <v>1023</v>
      </c>
      <c r="E10" s="14" t="s">
        <v>3589</v>
      </c>
      <c r="F10" s="14" t="s">
        <v>3760</v>
      </c>
      <c r="G10" s="14" t="s">
        <v>4064</v>
      </c>
    </row>
    <row r="11" spans="1:7" ht="29" x14ac:dyDescent="0.35">
      <c r="A11" s="14" t="s">
        <v>2148</v>
      </c>
      <c r="B11" s="14" t="s">
        <v>3767</v>
      </c>
      <c r="C11" s="14" t="s">
        <v>1061</v>
      </c>
      <c r="D11" s="14" t="s">
        <v>1023</v>
      </c>
      <c r="E11" s="14" t="s">
        <v>3589</v>
      </c>
      <c r="F11" s="14" t="s">
        <v>3760</v>
      </c>
      <c r="G11" s="14" t="s">
        <v>4064</v>
      </c>
    </row>
    <row r="12" spans="1:7" ht="29" x14ac:dyDescent="0.35">
      <c r="A12" s="14" t="s">
        <v>2243</v>
      </c>
      <c r="B12" s="14" t="s">
        <v>3767</v>
      </c>
      <c r="C12" s="14" t="s">
        <v>2248</v>
      </c>
      <c r="D12" s="14" t="s">
        <v>1025</v>
      </c>
      <c r="E12" s="14" t="s">
        <v>3760</v>
      </c>
      <c r="F12" s="14" t="s">
        <v>3611</v>
      </c>
      <c r="G12" s="14" t="s">
        <v>4064</v>
      </c>
    </row>
    <row r="13" spans="1:7" ht="29" x14ac:dyDescent="0.35">
      <c r="A13" s="14" t="s">
        <v>2205</v>
      </c>
      <c r="B13" s="14" t="s">
        <v>3767</v>
      </c>
      <c r="C13" s="14" t="s">
        <v>1188</v>
      </c>
      <c r="D13" s="14" t="s">
        <v>1025</v>
      </c>
      <c r="E13" s="14" t="s">
        <v>3589</v>
      </c>
      <c r="F13" s="14" t="s">
        <v>3611</v>
      </c>
      <c r="G13" s="14" t="s">
        <v>4064</v>
      </c>
    </row>
    <row r="14" spans="1:7" ht="29" x14ac:dyDescent="0.35">
      <c r="A14" s="14" t="s">
        <v>2224</v>
      </c>
      <c r="B14" s="14" t="s">
        <v>3767</v>
      </c>
      <c r="C14" s="14" t="s">
        <v>1188</v>
      </c>
      <c r="D14" s="14" t="s">
        <v>1025</v>
      </c>
      <c r="E14" s="14" t="s">
        <v>3589</v>
      </c>
      <c r="F14" s="14" t="s">
        <v>3611</v>
      </c>
      <c r="G14" s="14" t="s">
        <v>4064</v>
      </c>
    </row>
    <row r="15" spans="1:7" ht="29" x14ac:dyDescent="0.35">
      <c r="A15" s="14" t="s">
        <v>2090</v>
      </c>
      <c r="B15" s="14" t="s">
        <v>3767</v>
      </c>
      <c r="C15" s="14" t="s">
        <v>1188</v>
      </c>
      <c r="D15" s="14" t="s">
        <v>1025</v>
      </c>
      <c r="E15" s="14" t="s">
        <v>3589</v>
      </c>
      <c r="F15" s="14" t="s">
        <v>3611</v>
      </c>
      <c r="G15" s="14" t="s">
        <v>4064</v>
      </c>
    </row>
    <row r="16" spans="1:7" ht="29" x14ac:dyDescent="0.35">
      <c r="A16" s="14" t="s">
        <v>2292</v>
      </c>
      <c r="B16" s="14" t="s">
        <v>3767</v>
      </c>
      <c r="C16" s="14" t="s">
        <v>1188</v>
      </c>
      <c r="D16" s="14" t="s">
        <v>1025</v>
      </c>
      <c r="E16" s="14" t="s">
        <v>3589</v>
      </c>
      <c r="F16" s="14" t="s">
        <v>3611</v>
      </c>
      <c r="G16" s="14" t="s">
        <v>4064</v>
      </c>
    </row>
    <row r="17" spans="1:7" ht="29" x14ac:dyDescent="0.35">
      <c r="A17" s="14" t="s">
        <v>2163</v>
      </c>
      <c r="B17" s="14" t="s">
        <v>3767</v>
      </c>
      <c r="C17" s="14" t="s">
        <v>2166</v>
      </c>
      <c r="D17" s="14" t="s">
        <v>1025</v>
      </c>
      <c r="E17" s="14" t="s">
        <v>2832</v>
      </c>
      <c r="F17" s="14" t="s">
        <v>3611</v>
      </c>
      <c r="G17" s="14" t="s">
        <v>4064</v>
      </c>
    </row>
    <row r="18" spans="1:7" ht="29" x14ac:dyDescent="0.35">
      <c r="A18" s="14" t="s">
        <v>1931</v>
      </c>
      <c r="B18" s="14" t="s">
        <v>3767</v>
      </c>
      <c r="C18" s="14" t="s">
        <v>1358</v>
      </c>
      <c r="D18" s="14" t="s">
        <v>1025</v>
      </c>
      <c r="E18" s="14" t="s">
        <v>3589</v>
      </c>
      <c r="F18" s="14" t="s">
        <v>3611</v>
      </c>
      <c r="G18" s="14" t="s">
        <v>4064</v>
      </c>
    </row>
    <row r="19" spans="1:7" ht="29" x14ac:dyDescent="0.35">
      <c r="A19" s="14" t="s">
        <v>2178</v>
      </c>
      <c r="B19" s="14" t="s">
        <v>3767</v>
      </c>
      <c r="C19" s="14" t="s">
        <v>1690</v>
      </c>
      <c r="D19" s="14" t="s">
        <v>1025</v>
      </c>
      <c r="E19" s="14" t="s">
        <v>2911</v>
      </c>
      <c r="F19" s="14" t="s">
        <v>3611</v>
      </c>
      <c r="G19" s="14" t="s">
        <v>4064</v>
      </c>
    </row>
    <row r="20" spans="1:7" ht="29" x14ac:dyDescent="0.35">
      <c r="A20" s="14" t="s">
        <v>1934</v>
      </c>
      <c r="B20" s="14" t="s">
        <v>3767</v>
      </c>
      <c r="C20" s="14" t="s">
        <v>1261</v>
      </c>
      <c r="D20" s="14" t="s">
        <v>1025</v>
      </c>
      <c r="E20" s="14" t="s">
        <v>2911</v>
      </c>
      <c r="F20" s="14" t="s">
        <v>3611</v>
      </c>
      <c r="G20" s="14" t="s">
        <v>4064</v>
      </c>
    </row>
    <row r="21" spans="1:7" ht="29" x14ac:dyDescent="0.35">
      <c r="A21" s="14" t="s">
        <v>2008</v>
      </c>
      <c r="B21" s="14" t="s">
        <v>3767</v>
      </c>
      <c r="C21" s="14" t="s">
        <v>1261</v>
      </c>
      <c r="D21" s="14" t="s">
        <v>1025</v>
      </c>
      <c r="E21" s="14" t="s">
        <v>2911</v>
      </c>
      <c r="F21" s="14" t="s">
        <v>3611</v>
      </c>
      <c r="G21" s="14" t="s">
        <v>4064</v>
      </c>
    </row>
    <row r="22" spans="1:7" ht="29" x14ac:dyDescent="0.35">
      <c r="A22" s="14" t="s">
        <v>1943</v>
      </c>
      <c r="B22" s="14" t="s">
        <v>3767</v>
      </c>
      <c r="C22" s="14" t="s">
        <v>1261</v>
      </c>
      <c r="D22" s="14" t="s">
        <v>1025</v>
      </c>
      <c r="E22" s="14" t="s">
        <v>2911</v>
      </c>
      <c r="F22" s="14" t="s">
        <v>3611</v>
      </c>
      <c r="G22" s="14" t="s">
        <v>4064</v>
      </c>
    </row>
    <row r="23" spans="1:7" ht="29" x14ac:dyDescent="0.35">
      <c r="A23" s="14" t="s">
        <v>2107</v>
      </c>
      <c r="B23" s="14" t="s">
        <v>3767</v>
      </c>
      <c r="C23" s="14" t="s">
        <v>2110</v>
      </c>
      <c r="D23" s="14" t="s">
        <v>1025</v>
      </c>
      <c r="E23" s="14" t="s">
        <v>3760</v>
      </c>
      <c r="F23" s="14" t="s">
        <v>3611</v>
      </c>
      <c r="G23" s="14" t="s">
        <v>4064</v>
      </c>
    </row>
    <row r="24" spans="1:7" ht="29" x14ac:dyDescent="0.35">
      <c r="A24" s="14" t="s">
        <v>2098</v>
      </c>
      <c r="B24" s="14" t="s">
        <v>3767</v>
      </c>
      <c r="C24" s="14" t="s">
        <v>1786</v>
      </c>
      <c r="D24" s="14" t="s">
        <v>1025</v>
      </c>
      <c r="E24" s="14" t="s">
        <v>3760</v>
      </c>
      <c r="F24" s="14" t="s">
        <v>3611</v>
      </c>
      <c r="G24" s="14" t="s">
        <v>4064</v>
      </c>
    </row>
    <row r="25" spans="1:7" ht="29" x14ac:dyDescent="0.35">
      <c r="A25" s="14" t="s">
        <v>2213</v>
      </c>
      <c r="B25" s="14" t="s">
        <v>3767</v>
      </c>
      <c r="C25" s="14" t="s">
        <v>1786</v>
      </c>
      <c r="D25" s="14" t="s">
        <v>1025</v>
      </c>
      <c r="E25" s="14" t="s">
        <v>3760</v>
      </c>
      <c r="F25" s="14" t="s">
        <v>3611</v>
      </c>
      <c r="G25" s="14" t="s">
        <v>4064</v>
      </c>
    </row>
    <row r="26" spans="1:7" ht="29" x14ac:dyDescent="0.35">
      <c r="A26" s="14" t="s">
        <v>2053</v>
      </c>
      <c r="B26" s="14" t="s">
        <v>3767</v>
      </c>
      <c r="C26" s="14" t="s">
        <v>1353</v>
      </c>
      <c r="D26" s="14" t="s">
        <v>1025</v>
      </c>
      <c r="E26" s="14" t="s">
        <v>2911</v>
      </c>
      <c r="F26" s="14" t="s">
        <v>3611</v>
      </c>
      <c r="G26" s="14" t="s">
        <v>4064</v>
      </c>
    </row>
    <row r="27" spans="1:7" ht="29" x14ac:dyDescent="0.35">
      <c r="A27" s="14" t="s">
        <v>2284</v>
      </c>
      <c r="B27" s="14" t="s">
        <v>3767</v>
      </c>
      <c r="C27" s="14" t="s">
        <v>1353</v>
      </c>
      <c r="D27" s="14" t="s">
        <v>1025</v>
      </c>
      <c r="E27" s="14" t="s">
        <v>2911</v>
      </c>
      <c r="F27" s="14" t="s">
        <v>3611</v>
      </c>
      <c r="G27" s="14" t="s">
        <v>4064</v>
      </c>
    </row>
    <row r="28" spans="1:7" ht="29" x14ac:dyDescent="0.35">
      <c r="A28" s="14" t="s">
        <v>2268</v>
      </c>
      <c r="B28" s="14" t="s">
        <v>3767</v>
      </c>
      <c r="C28" s="14" t="s">
        <v>2271</v>
      </c>
      <c r="D28" s="14" t="s">
        <v>1025</v>
      </c>
      <c r="E28" s="14" t="s">
        <v>3760</v>
      </c>
      <c r="F28" s="14" t="s">
        <v>3611</v>
      </c>
      <c r="G28" s="14" t="s">
        <v>4064</v>
      </c>
    </row>
    <row r="29" spans="1:7" ht="29" x14ac:dyDescent="0.35">
      <c r="A29" s="14" t="s">
        <v>2288</v>
      </c>
      <c r="B29" s="14" t="s">
        <v>3767</v>
      </c>
      <c r="C29" s="14" t="s">
        <v>2271</v>
      </c>
      <c r="D29" s="14" t="s">
        <v>1025</v>
      </c>
      <c r="E29" s="14" t="s">
        <v>3760</v>
      </c>
      <c r="F29" s="14" t="s">
        <v>3611</v>
      </c>
      <c r="G29" s="14" t="s">
        <v>4064</v>
      </c>
    </row>
    <row r="30" spans="1:7" ht="29" x14ac:dyDescent="0.35">
      <c r="A30" s="14" t="s">
        <v>2168</v>
      </c>
      <c r="B30" s="14" t="s">
        <v>3767</v>
      </c>
      <c r="C30" s="14" t="s">
        <v>1222</v>
      </c>
      <c r="D30" s="14" t="s">
        <v>1025</v>
      </c>
      <c r="E30" s="14" t="s">
        <v>2911</v>
      </c>
      <c r="F30" s="14" t="s">
        <v>3611</v>
      </c>
      <c r="G30" s="14" t="s">
        <v>4064</v>
      </c>
    </row>
    <row r="31" spans="1:7" ht="29" x14ac:dyDescent="0.35">
      <c r="A31" s="14" t="s">
        <v>2370</v>
      </c>
      <c r="B31" s="14" t="s">
        <v>3767</v>
      </c>
      <c r="C31" s="14" t="s">
        <v>1432</v>
      </c>
      <c r="D31" s="14" t="s">
        <v>1025</v>
      </c>
      <c r="E31" s="14" t="s">
        <v>3760</v>
      </c>
      <c r="F31" s="14" t="s">
        <v>3611</v>
      </c>
      <c r="G31" s="14" t="s">
        <v>4064</v>
      </c>
    </row>
    <row r="32" spans="1:7" ht="29" x14ac:dyDescent="0.35">
      <c r="A32" s="14" t="s">
        <v>2351</v>
      </c>
      <c r="B32" s="14" t="s">
        <v>3767</v>
      </c>
      <c r="C32" s="14" t="s">
        <v>1565</v>
      </c>
      <c r="D32" s="14" t="s">
        <v>1025</v>
      </c>
      <c r="E32" s="14" t="s">
        <v>3760</v>
      </c>
      <c r="F32" s="14" t="s">
        <v>3611</v>
      </c>
      <c r="G32" s="14" t="s">
        <v>4064</v>
      </c>
    </row>
    <row r="33" spans="1:7" ht="29" x14ac:dyDescent="0.35">
      <c r="A33" s="14" t="s">
        <v>2142</v>
      </c>
      <c r="B33" s="14" t="s">
        <v>3767</v>
      </c>
      <c r="C33" s="14" t="s">
        <v>1565</v>
      </c>
      <c r="D33" s="14" t="s">
        <v>1025</v>
      </c>
      <c r="E33" s="14" t="s">
        <v>3760</v>
      </c>
      <c r="F33" s="14" t="s">
        <v>3611</v>
      </c>
      <c r="G33" s="14" t="s">
        <v>4064</v>
      </c>
    </row>
    <row r="34" spans="1:7" ht="29" x14ac:dyDescent="0.35">
      <c r="A34" s="14" t="s">
        <v>2015</v>
      </c>
      <c r="B34" s="14" t="s">
        <v>3767</v>
      </c>
      <c r="C34" s="14" t="s">
        <v>1853</v>
      </c>
      <c r="D34" s="14" t="s">
        <v>1050</v>
      </c>
      <c r="E34" s="14" t="s">
        <v>3611</v>
      </c>
      <c r="F34" s="14" t="s">
        <v>3611</v>
      </c>
      <c r="G34" s="14" t="s">
        <v>4064</v>
      </c>
    </row>
    <row r="35" spans="1:7" ht="29" x14ac:dyDescent="0.35">
      <c r="A35" s="14" t="s">
        <v>2124</v>
      </c>
      <c r="B35" s="14" t="s">
        <v>3767</v>
      </c>
      <c r="C35" s="14" t="s">
        <v>1582</v>
      </c>
      <c r="D35" s="14" t="s">
        <v>1025</v>
      </c>
      <c r="E35" s="14" t="s">
        <v>3760</v>
      </c>
      <c r="F35" s="14" t="s">
        <v>3611</v>
      </c>
      <c r="G35" s="14" t="s">
        <v>4064</v>
      </c>
    </row>
    <row r="36" spans="1:7" ht="29" x14ac:dyDescent="0.35">
      <c r="A36" s="14" t="s">
        <v>2253</v>
      </c>
      <c r="B36" s="14" t="s">
        <v>3767</v>
      </c>
      <c r="C36" s="14" t="s">
        <v>1917</v>
      </c>
      <c r="D36" s="14" t="s">
        <v>1025</v>
      </c>
      <c r="E36" s="14" t="s">
        <v>3760</v>
      </c>
      <c r="F36" s="14" t="s">
        <v>3611</v>
      </c>
      <c r="G36" s="14" t="s">
        <v>4064</v>
      </c>
    </row>
    <row r="37" spans="1:7" ht="29" x14ac:dyDescent="0.35">
      <c r="A37" s="14" t="s">
        <v>2089</v>
      </c>
      <c r="B37" s="14" t="s">
        <v>3767</v>
      </c>
      <c r="C37" s="14" t="s">
        <v>1307</v>
      </c>
      <c r="D37" s="14" t="s">
        <v>1025</v>
      </c>
      <c r="E37" s="14" t="s">
        <v>3760</v>
      </c>
      <c r="F37" s="14" t="s">
        <v>3611</v>
      </c>
      <c r="G37" s="14" t="s">
        <v>4064</v>
      </c>
    </row>
    <row r="38" spans="1:7" ht="43.5" x14ac:dyDescent="0.35">
      <c r="A38" s="14" t="s">
        <v>2077</v>
      </c>
      <c r="B38" s="14" t="s">
        <v>3767</v>
      </c>
      <c r="C38" s="14" t="s">
        <v>1839</v>
      </c>
      <c r="D38" s="14" t="s">
        <v>1048</v>
      </c>
      <c r="E38" s="14" t="s">
        <v>3611</v>
      </c>
      <c r="F38" s="14" t="s">
        <v>2911</v>
      </c>
      <c r="G38" s="14" t="s">
        <v>4064</v>
      </c>
    </row>
    <row r="39" spans="1:7" ht="29" x14ac:dyDescent="0.35">
      <c r="A39" s="14" t="s">
        <v>2274</v>
      </c>
      <c r="B39" s="14" t="s">
        <v>3767</v>
      </c>
      <c r="C39" s="14" t="s">
        <v>1514</v>
      </c>
      <c r="D39" s="14" t="s">
        <v>1025</v>
      </c>
      <c r="E39" s="14" t="s">
        <v>3760</v>
      </c>
      <c r="F39" s="14" t="s">
        <v>3611</v>
      </c>
      <c r="G39" s="14" t="s">
        <v>4064</v>
      </c>
    </row>
    <row r="40" spans="1:7" ht="29" x14ac:dyDescent="0.35">
      <c r="A40" s="14" t="s">
        <v>2234</v>
      </c>
      <c r="B40" s="14" t="s">
        <v>3767</v>
      </c>
      <c r="C40" s="14" t="s">
        <v>1410</v>
      </c>
      <c r="D40" s="14" t="s">
        <v>1025</v>
      </c>
      <c r="E40" s="14" t="s">
        <v>3760</v>
      </c>
      <c r="F40" s="14" t="s">
        <v>3611</v>
      </c>
      <c r="G40" s="14" t="s">
        <v>4064</v>
      </c>
    </row>
    <row r="41" spans="1:7" ht="29" x14ac:dyDescent="0.35">
      <c r="A41" s="14" t="s">
        <v>2170</v>
      </c>
      <c r="B41" s="14" t="s">
        <v>3767</v>
      </c>
      <c r="C41" s="14" t="s">
        <v>1024</v>
      </c>
      <c r="D41" s="14" t="s">
        <v>1025</v>
      </c>
      <c r="E41" s="14" t="s">
        <v>3760</v>
      </c>
      <c r="F41" s="14" t="s">
        <v>3611</v>
      </c>
      <c r="G41" s="14" t="s">
        <v>4064</v>
      </c>
    </row>
    <row r="42" spans="1:7" ht="29" x14ac:dyDescent="0.35">
      <c r="A42" s="14" t="s">
        <v>2049</v>
      </c>
      <c r="B42" s="14" t="s">
        <v>3767</v>
      </c>
      <c r="C42" s="14" t="s">
        <v>1024</v>
      </c>
      <c r="D42" s="14" t="s">
        <v>1025</v>
      </c>
      <c r="E42" s="14" t="s">
        <v>3760</v>
      </c>
      <c r="F42" s="14" t="s">
        <v>3611</v>
      </c>
      <c r="G42" s="14" t="s">
        <v>4064</v>
      </c>
    </row>
    <row r="43" spans="1:7" ht="29" x14ac:dyDescent="0.35">
      <c r="A43" s="14" t="s">
        <v>2116</v>
      </c>
      <c r="B43" s="14" t="s">
        <v>3767</v>
      </c>
      <c r="C43" s="14" t="s">
        <v>1741</v>
      </c>
      <c r="D43" s="14" t="s">
        <v>1050</v>
      </c>
      <c r="E43" s="14" t="s">
        <v>3611</v>
      </c>
      <c r="F43" s="14" t="s">
        <v>3611</v>
      </c>
      <c r="G43" s="14" t="s">
        <v>4064</v>
      </c>
    </row>
    <row r="44" spans="1:7" ht="29" x14ac:dyDescent="0.35">
      <c r="A44" s="14" t="s">
        <v>2006</v>
      </c>
      <c r="B44" s="14" t="s">
        <v>3767</v>
      </c>
      <c r="C44" s="14" t="s">
        <v>1492</v>
      </c>
      <c r="D44" s="14" t="s">
        <v>1025</v>
      </c>
      <c r="E44" s="14" t="s">
        <v>3760</v>
      </c>
      <c r="F44" s="14" t="s">
        <v>3611</v>
      </c>
      <c r="G44" s="14" t="s">
        <v>4064</v>
      </c>
    </row>
    <row r="45" spans="1:7" ht="29" x14ac:dyDescent="0.35">
      <c r="A45" s="14" t="s">
        <v>2161</v>
      </c>
      <c r="B45" s="14" t="s">
        <v>3767</v>
      </c>
      <c r="C45" s="14" t="s">
        <v>1492</v>
      </c>
      <c r="D45" s="14" t="s">
        <v>1025</v>
      </c>
      <c r="E45" s="14" t="s">
        <v>3760</v>
      </c>
      <c r="F45" s="14" t="s">
        <v>3611</v>
      </c>
      <c r="G45" s="14" t="s">
        <v>4064</v>
      </c>
    </row>
    <row r="46" spans="1:7" ht="43.5" x14ac:dyDescent="0.35">
      <c r="A46" s="14" t="s">
        <v>2368</v>
      </c>
      <c r="B46" s="14" t="s">
        <v>3767</v>
      </c>
      <c r="C46" s="14" t="s">
        <v>1415</v>
      </c>
      <c r="D46" s="14" t="s">
        <v>1048</v>
      </c>
      <c r="E46" s="14" t="s">
        <v>3611</v>
      </c>
      <c r="F46" s="14" t="s">
        <v>2911</v>
      </c>
      <c r="G46" s="14" t="s">
        <v>4064</v>
      </c>
    </row>
    <row r="47" spans="1:7" ht="29" x14ac:dyDescent="0.35">
      <c r="A47" s="14" t="s">
        <v>2360</v>
      </c>
      <c r="B47" s="14" t="s">
        <v>3767</v>
      </c>
      <c r="C47" s="14" t="s">
        <v>1685</v>
      </c>
      <c r="D47" s="14" t="s">
        <v>1050</v>
      </c>
      <c r="E47" s="14" t="s">
        <v>3611</v>
      </c>
      <c r="F47" s="14" t="s">
        <v>3611</v>
      </c>
      <c r="G47" s="14" t="s">
        <v>4064</v>
      </c>
    </row>
    <row r="48" spans="1:7" ht="29" x14ac:dyDescent="0.35">
      <c r="A48" s="14" t="s">
        <v>2120</v>
      </c>
      <c r="B48" s="14" t="s">
        <v>3767</v>
      </c>
      <c r="C48" s="14" t="s">
        <v>1597</v>
      </c>
      <c r="D48" s="14" t="s">
        <v>1048</v>
      </c>
      <c r="E48" s="14" t="s">
        <v>3611</v>
      </c>
      <c r="F48" s="14" t="s">
        <v>3760</v>
      </c>
      <c r="G48" s="14" t="s">
        <v>4064</v>
      </c>
    </row>
    <row r="49" spans="1:7" ht="29" x14ac:dyDescent="0.35">
      <c r="A49" s="14" t="s">
        <v>2319</v>
      </c>
      <c r="B49" s="14" t="s">
        <v>3767</v>
      </c>
      <c r="C49" s="14" t="s">
        <v>1276</v>
      </c>
      <c r="D49" s="14" t="s">
        <v>1050</v>
      </c>
      <c r="E49" s="14" t="s">
        <v>3611</v>
      </c>
      <c r="F49" s="14" t="s">
        <v>3611</v>
      </c>
      <c r="G49" s="14" t="s">
        <v>4064</v>
      </c>
    </row>
    <row r="50" spans="1:7" ht="29" x14ac:dyDescent="0.35">
      <c r="A50" s="14" t="s">
        <v>2353</v>
      </c>
      <c r="B50" s="14" t="s">
        <v>3767</v>
      </c>
      <c r="C50" s="14" t="s">
        <v>1575</v>
      </c>
      <c r="D50" s="14" t="s">
        <v>1025</v>
      </c>
      <c r="E50" s="14" t="s">
        <v>3760</v>
      </c>
      <c r="F50" s="14" t="s">
        <v>3611</v>
      </c>
      <c r="G50" s="14" t="s">
        <v>4064</v>
      </c>
    </row>
    <row r="51" spans="1:7" ht="43.5" x14ac:dyDescent="0.35">
      <c r="A51" s="14" t="s">
        <v>2276</v>
      </c>
      <c r="B51" s="14" t="s">
        <v>3767</v>
      </c>
      <c r="C51" s="14" t="s">
        <v>1529</v>
      </c>
      <c r="D51" s="14" t="s">
        <v>1048</v>
      </c>
      <c r="E51" s="14" t="s">
        <v>3611</v>
      </c>
      <c r="F51" s="14" t="s">
        <v>2911</v>
      </c>
      <c r="G51" s="14" t="s">
        <v>4064</v>
      </c>
    </row>
    <row r="52" spans="1:7" ht="29" x14ac:dyDescent="0.35">
      <c r="A52" s="14" t="s">
        <v>2280</v>
      </c>
      <c r="B52" s="14" t="s">
        <v>3767</v>
      </c>
      <c r="C52" s="14" t="s">
        <v>1537</v>
      </c>
      <c r="D52" s="14" t="s">
        <v>1048</v>
      </c>
      <c r="E52" s="14" t="s">
        <v>3611</v>
      </c>
      <c r="F52" s="14" t="s">
        <v>3760</v>
      </c>
      <c r="G52" s="14" t="s">
        <v>4064</v>
      </c>
    </row>
    <row r="53" spans="1:7" ht="29" x14ac:dyDescent="0.35">
      <c r="A53" s="14" t="s">
        <v>2045</v>
      </c>
      <c r="B53" s="14" t="s">
        <v>3767</v>
      </c>
      <c r="C53" s="14" t="s">
        <v>1315</v>
      </c>
      <c r="D53" s="14" t="s">
        <v>1025</v>
      </c>
      <c r="E53" s="14" t="s">
        <v>3760</v>
      </c>
      <c r="F53" s="14" t="s">
        <v>3611</v>
      </c>
      <c r="G53" s="14" t="s">
        <v>4064</v>
      </c>
    </row>
    <row r="54" spans="1:7" ht="29" x14ac:dyDescent="0.35">
      <c r="A54" s="14" t="s">
        <v>1992</v>
      </c>
      <c r="B54" s="14" t="s">
        <v>3767</v>
      </c>
      <c r="C54" s="14" t="s">
        <v>1315</v>
      </c>
      <c r="D54" s="14" t="s">
        <v>1025</v>
      </c>
      <c r="E54" s="14" t="s">
        <v>3760</v>
      </c>
      <c r="F54" s="14" t="s">
        <v>3611</v>
      </c>
      <c r="G54" s="14" t="s">
        <v>4064</v>
      </c>
    </row>
    <row r="55" spans="1:7" ht="29" x14ac:dyDescent="0.35">
      <c r="A55" s="14" t="s">
        <v>2091</v>
      </c>
      <c r="B55" s="14" t="s">
        <v>3767</v>
      </c>
      <c r="C55" s="14" t="s">
        <v>1168</v>
      </c>
      <c r="D55" s="14" t="s">
        <v>1025</v>
      </c>
      <c r="E55" s="14" t="s">
        <v>3760</v>
      </c>
      <c r="F55" s="14" t="s">
        <v>3611</v>
      </c>
      <c r="G55" s="14" t="s">
        <v>4064</v>
      </c>
    </row>
    <row r="56" spans="1:7" ht="29" x14ac:dyDescent="0.35">
      <c r="A56" s="14" t="s">
        <v>2011</v>
      </c>
      <c r="B56" s="14" t="s">
        <v>3767</v>
      </c>
      <c r="C56" s="14" t="s">
        <v>1163</v>
      </c>
      <c r="D56" s="14" t="s">
        <v>1050</v>
      </c>
      <c r="E56" s="14" t="s">
        <v>3611</v>
      </c>
      <c r="F56" s="14" t="s">
        <v>3611</v>
      </c>
      <c r="G56" s="14" t="s">
        <v>4064</v>
      </c>
    </row>
    <row r="57" spans="1:7" ht="29" x14ac:dyDescent="0.35">
      <c r="A57" s="14" t="s">
        <v>1958</v>
      </c>
      <c r="B57" s="14" t="s">
        <v>3767</v>
      </c>
      <c r="C57" s="14" t="s">
        <v>1623</v>
      </c>
      <c r="D57" s="14" t="s">
        <v>1050</v>
      </c>
      <c r="E57" s="14" t="s">
        <v>3611</v>
      </c>
      <c r="F57" s="14" t="s">
        <v>3611</v>
      </c>
      <c r="G57" s="14" t="s">
        <v>4064</v>
      </c>
    </row>
    <row r="58" spans="1:7" ht="29" x14ac:dyDescent="0.35">
      <c r="A58" s="14" t="s">
        <v>2079</v>
      </c>
      <c r="B58" s="14" t="s">
        <v>3767</v>
      </c>
      <c r="C58" s="14" t="s">
        <v>1900</v>
      </c>
      <c r="D58" s="14" t="s">
        <v>1050</v>
      </c>
      <c r="E58" s="14" t="s">
        <v>3611</v>
      </c>
      <c r="F58" s="14" t="s">
        <v>3611</v>
      </c>
      <c r="G58" s="14" t="s">
        <v>4064</v>
      </c>
    </row>
    <row r="59" spans="1:7" ht="29" x14ac:dyDescent="0.35">
      <c r="A59" s="14" t="s">
        <v>2027</v>
      </c>
      <c r="B59" s="14" t="s">
        <v>3767</v>
      </c>
      <c r="C59" s="14" t="s">
        <v>1861</v>
      </c>
      <c r="D59" s="14" t="s">
        <v>1050</v>
      </c>
      <c r="E59" s="14" t="s">
        <v>3611</v>
      </c>
      <c r="F59" s="14" t="s">
        <v>3611</v>
      </c>
      <c r="G59" s="14" t="s">
        <v>4064</v>
      </c>
    </row>
    <row r="60" spans="1:7" ht="29" x14ac:dyDescent="0.35">
      <c r="A60" s="14" t="s">
        <v>2215</v>
      </c>
      <c r="B60" s="14" t="s">
        <v>3767</v>
      </c>
      <c r="C60" s="14" t="s">
        <v>2220</v>
      </c>
      <c r="D60" s="14" t="s">
        <v>1050</v>
      </c>
      <c r="E60" s="14" t="s">
        <v>3611</v>
      </c>
      <c r="F60" s="14" t="s">
        <v>3611</v>
      </c>
      <c r="G60" s="14" t="s">
        <v>4064</v>
      </c>
    </row>
    <row r="61" spans="1:7" ht="29" x14ac:dyDescent="0.35">
      <c r="A61" s="14" t="s">
        <v>2339</v>
      </c>
      <c r="B61" s="14" t="s">
        <v>3767</v>
      </c>
      <c r="C61" s="14" t="s">
        <v>1178</v>
      </c>
      <c r="D61" s="14" t="s">
        <v>1025</v>
      </c>
      <c r="E61" s="14" t="s">
        <v>3760</v>
      </c>
      <c r="F61" s="14" t="s">
        <v>3611</v>
      </c>
      <c r="G61" s="14" t="s">
        <v>4064</v>
      </c>
    </row>
    <row r="62" spans="1:7" ht="29" x14ac:dyDescent="0.35">
      <c r="A62" s="14" t="s">
        <v>2327</v>
      </c>
      <c r="B62" s="14" t="s">
        <v>3767</v>
      </c>
      <c r="C62" s="14" t="s">
        <v>1178</v>
      </c>
      <c r="D62" s="14" t="s">
        <v>1025</v>
      </c>
      <c r="E62" s="14" t="s">
        <v>3760</v>
      </c>
      <c r="F62" s="14" t="s">
        <v>3611</v>
      </c>
      <c r="G62" s="14" t="s">
        <v>4064</v>
      </c>
    </row>
    <row r="63" spans="1:7" ht="29" x14ac:dyDescent="0.35">
      <c r="A63" s="14" t="s">
        <v>2096</v>
      </c>
      <c r="B63" s="14" t="s">
        <v>3767</v>
      </c>
      <c r="C63" s="14" t="s">
        <v>1108</v>
      </c>
      <c r="D63" s="14" t="s">
        <v>1050</v>
      </c>
      <c r="E63" s="14" t="s">
        <v>3611</v>
      </c>
      <c r="F63" s="14" t="s">
        <v>3611</v>
      </c>
      <c r="G63" s="14" t="s">
        <v>4064</v>
      </c>
    </row>
    <row r="64" spans="1:7" ht="29" x14ac:dyDescent="0.35">
      <c r="A64" s="14" t="s">
        <v>1963</v>
      </c>
      <c r="B64" s="14" t="s">
        <v>3767</v>
      </c>
      <c r="C64" s="14" t="s">
        <v>1797</v>
      </c>
      <c r="D64" s="14" t="s">
        <v>1050</v>
      </c>
      <c r="E64" s="14" t="s">
        <v>3611</v>
      </c>
      <c r="F64" s="14" t="s">
        <v>3611</v>
      </c>
      <c r="G64" s="14" t="s">
        <v>4064</v>
      </c>
    </row>
    <row r="65" spans="1:7" ht="29" x14ac:dyDescent="0.35">
      <c r="A65" s="14" t="s">
        <v>2304</v>
      </c>
      <c r="B65" s="14" t="s">
        <v>3767</v>
      </c>
      <c r="C65" s="14" t="s">
        <v>1554</v>
      </c>
      <c r="D65" s="14" t="s">
        <v>1048</v>
      </c>
      <c r="E65" s="14" t="s">
        <v>3611</v>
      </c>
      <c r="F65" s="14" t="s">
        <v>3760</v>
      </c>
      <c r="G65" s="14" t="s">
        <v>4064</v>
      </c>
    </row>
    <row r="66" spans="1:7" ht="29" x14ac:dyDescent="0.35">
      <c r="A66" s="14" t="s">
        <v>2062</v>
      </c>
      <c r="B66" s="14" t="s">
        <v>3767</v>
      </c>
      <c r="C66" s="14" t="s">
        <v>1183</v>
      </c>
      <c r="D66" s="14" t="s">
        <v>1025</v>
      </c>
      <c r="E66" s="14" t="s">
        <v>3760</v>
      </c>
      <c r="F66" s="14" t="s">
        <v>3611</v>
      </c>
      <c r="G66" s="14" t="s">
        <v>4064</v>
      </c>
    </row>
    <row r="67" spans="1:7" ht="29" x14ac:dyDescent="0.35">
      <c r="A67" s="14" t="s">
        <v>2321</v>
      </c>
      <c r="B67" s="14" t="s">
        <v>3767</v>
      </c>
      <c r="C67" s="14" t="s">
        <v>1183</v>
      </c>
      <c r="D67" s="14" t="s">
        <v>1025</v>
      </c>
      <c r="E67" s="14" t="s">
        <v>3760</v>
      </c>
      <c r="F67" s="14" t="s">
        <v>3611</v>
      </c>
      <c r="G67" s="14" t="s">
        <v>4064</v>
      </c>
    </row>
    <row r="68" spans="1:7" ht="29" x14ac:dyDescent="0.35">
      <c r="A68" s="14" t="s">
        <v>2034</v>
      </c>
      <c r="B68" s="14" t="s">
        <v>3767</v>
      </c>
      <c r="C68" s="14" t="s">
        <v>1270</v>
      </c>
      <c r="D68" s="14" t="s">
        <v>1050</v>
      </c>
      <c r="E68" s="14" t="s">
        <v>3611</v>
      </c>
      <c r="F68" s="14" t="s">
        <v>3611</v>
      </c>
      <c r="G68" s="14" t="s">
        <v>4064</v>
      </c>
    </row>
    <row r="69" spans="1:7" ht="29" x14ac:dyDescent="0.35">
      <c r="A69" s="14" t="s">
        <v>2191</v>
      </c>
      <c r="B69" s="14" t="s">
        <v>3767</v>
      </c>
      <c r="C69" s="14" t="s">
        <v>1658</v>
      </c>
      <c r="D69" s="14" t="s">
        <v>1025</v>
      </c>
      <c r="E69" s="14" t="s">
        <v>3760</v>
      </c>
      <c r="F69" s="14" t="s">
        <v>3611</v>
      </c>
      <c r="G69" s="14" t="s">
        <v>4064</v>
      </c>
    </row>
    <row r="70" spans="1:7" ht="29" x14ac:dyDescent="0.35">
      <c r="A70" s="14" t="s">
        <v>2102</v>
      </c>
      <c r="B70" s="14" t="s">
        <v>3767</v>
      </c>
      <c r="C70" s="14" t="s">
        <v>1194</v>
      </c>
      <c r="D70" s="14" t="s">
        <v>1048</v>
      </c>
      <c r="E70" s="14" t="s">
        <v>3611</v>
      </c>
      <c r="F70" s="14" t="s">
        <v>3760</v>
      </c>
      <c r="G70" s="14" t="s">
        <v>4064</v>
      </c>
    </row>
    <row r="71" spans="1:7" ht="29" x14ac:dyDescent="0.35">
      <c r="A71" s="14" t="s">
        <v>2222</v>
      </c>
      <c r="B71" s="14" t="s">
        <v>3767</v>
      </c>
      <c r="C71" s="14" t="s">
        <v>1343</v>
      </c>
      <c r="D71" s="14" t="s">
        <v>1050</v>
      </c>
      <c r="E71" s="14" t="s">
        <v>3611</v>
      </c>
      <c r="F71" s="14" t="s">
        <v>3611</v>
      </c>
      <c r="G71" s="14" t="s">
        <v>4064</v>
      </c>
    </row>
    <row r="72" spans="1:7" ht="29" x14ac:dyDescent="0.35">
      <c r="A72" s="14" t="s">
        <v>1996</v>
      </c>
      <c r="B72" s="14" t="s">
        <v>3767</v>
      </c>
      <c r="C72" s="14" t="s">
        <v>1380</v>
      </c>
      <c r="D72" s="14" t="s">
        <v>1048</v>
      </c>
      <c r="E72" s="14" t="s">
        <v>3611</v>
      </c>
      <c r="F72" s="14" t="s">
        <v>3760</v>
      </c>
      <c r="G72" s="14" t="s">
        <v>4064</v>
      </c>
    </row>
    <row r="73" spans="1:7" ht="29" x14ac:dyDescent="0.35">
      <c r="A73" s="14" t="s">
        <v>2313</v>
      </c>
      <c r="B73" s="14" t="s">
        <v>3767</v>
      </c>
      <c r="C73" s="14" t="s">
        <v>1758</v>
      </c>
      <c r="D73" s="14" t="s">
        <v>1050</v>
      </c>
      <c r="E73" s="14" t="s">
        <v>3611</v>
      </c>
      <c r="F73" s="14" t="s">
        <v>3611</v>
      </c>
      <c r="G73" s="14" t="s">
        <v>4064</v>
      </c>
    </row>
    <row r="74" spans="1:7" ht="29" x14ac:dyDescent="0.35">
      <c r="A74" s="14" t="s">
        <v>2100</v>
      </c>
      <c r="B74" s="14" t="s">
        <v>3767</v>
      </c>
      <c r="C74" s="14" t="s">
        <v>1746</v>
      </c>
      <c r="D74" s="14" t="s">
        <v>1050</v>
      </c>
      <c r="E74" s="14" t="s">
        <v>3611</v>
      </c>
      <c r="F74" s="14" t="s">
        <v>3611</v>
      </c>
      <c r="G74" s="14" t="s">
        <v>4064</v>
      </c>
    </row>
    <row r="75" spans="1:7" ht="29" x14ac:dyDescent="0.35">
      <c r="A75" s="14" t="s">
        <v>2105</v>
      </c>
      <c r="B75" s="14" t="s">
        <v>3767</v>
      </c>
      <c r="C75" s="14" t="s">
        <v>1320</v>
      </c>
      <c r="D75" s="14" t="s">
        <v>1050</v>
      </c>
      <c r="E75" s="14" t="s">
        <v>3611</v>
      </c>
      <c r="F75" s="14" t="s">
        <v>3611</v>
      </c>
      <c r="G75" s="14" t="s">
        <v>4064</v>
      </c>
    </row>
    <row r="76" spans="1:7" ht="29" x14ac:dyDescent="0.35">
      <c r="A76" s="14" t="s">
        <v>2069</v>
      </c>
      <c r="B76" s="14" t="s">
        <v>3767</v>
      </c>
      <c r="C76" s="14" t="s">
        <v>2075</v>
      </c>
      <c r="D76" s="14" t="s">
        <v>1048</v>
      </c>
      <c r="E76" s="14" t="s">
        <v>3611</v>
      </c>
      <c r="F76" s="14" t="s">
        <v>3760</v>
      </c>
      <c r="G76" s="14" t="s">
        <v>4064</v>
      </c>
    </row>
    <row r="77" spans="1:7" ht="29" x14ac:dyDescent="0.35">
      <c r="A77" s="14" t="s">
        <v>1956</v>
      </c>
      <c r="B77" s="14" t="s">
        <v>3767</v>
      </c>
      <c r="C77" s="14" t="s">
        <v>1632</v>
      </c>
      <c r="D77" s="14" t="s">
        <v>1050</v>
      </c>
      <c r="E77" s="14" t="s">
        <v>3611</v>
      </c>
      <c r="F77" s="14" t="s">
        <v>3611</v>
      </c>
      <c r="G77" s="14" t="s">
        <v>4064</v>
      </c>
    </row>
    <row r="78" spans="1:7" ht="29" x14ac:dyDescent="0.35">
      <c r="A78" s="14" t="s">
        <v>2309</v>
      </c>
      <c r="B78" s="14" t="s">
        <v>3767</v>
      </c>
      <c r="C78" s="14" t="s">
        <v>1449</v>
      </c>
      <c r="D78" s="14" t="s">
        <v>1050</v>
      </c>
      <c r="E78" s="14" t="s">
        <v>3611</v>
      </c>
      <c r="F78" s="14" t="s">
        <v>3611</v>
      </c>
      <c r="G78" s="14" t="s">
        <v>4064</v>
      </c>
    </row>
    <row r="79" spans="1:7" ht="29" x14ac:dyDescent="0.35">
      <c r="A79" s="14" t="s">
        <v>2193</v>
      </c>
      <c r="B79" s="14" t="s">
        <v>3767</v>
      </c>
      <c r="C79" s="14" t="s">
        <v>1217</v>
      </c>
      <c r="D79" s="14" t="s">
        <v>1050</v>
      </c>
      <c r="E79" s="14" t="s">
        <v>3611</v>
      </c>
      <c r="F79" s="14" t="s">
        <v>3611</v>
      </c>
      <c r="G79" s="14" t="s">
        <v>4064</v>
      </c>
    </row>
    <row r="80" spans="1:7" ht="29" x14ac:dyDescent="0.35">
      <c r="A80" s="14" t="s">
        <v>2138</v>
      </c>
      <c r="B80" s="14" t="s">
        <v>3767</v>
      </c>
      <c r="C80" s="14" t="s">
        <v>1439</v>
      </c>
      <c r="D80" s="14" t="s">
        <v>1048</v>
      </c>
      <c r="E80" s="14" t="s">
        <v>3611</v>
      </c>
      <c r="F80" s="14" t="s">
        <v>3760</v>
      </c>
      <c r="G80" s="14" t="s">
        <v>4064</v>
      </c>
    </row>
    <row r="81" spans="1:7" ht="29" x14ac:dyDescent="0.35">
      <c r="A81" s="14" t="s">
        <v>1985</v>
      </c>
      <c r="B81" s="14" t="s">
        <v>3767</v>
      </c>
      <c r="C81" s="14" t="s">
        <v>1256</v>
      </c>
      <c r="D81" s="14" t="s">
        <v>1050</v>
      </c>
      <c r="E81" s="14" t="s">
        <v>3611</v>
      </c>
      <c r="F81" s="14" t="s">
        <v>3611</v>
      </c>
      <c r="G81" s="14" t="s">
        <v>4064</v>
      </c>
    </row>
    <row r="82" spans="1:7" ht="29" x14ac:dyDescent="0.35">
      <c r="A82" s="14" t="s">
        <v>1945</v>
      </c>
      <c r="B82" s="14" t="s">
        <v>3767</v>
      </c>
      <c r="C82" s="14" t="s">
        <v>1949</v>
      </c>
      <c r="D82" s="14" t="s">
        <v>1050</v>
      </c>
      <c r="E82" s="14" t="s">
        <v>3611</v>
      </c>
      <c r="F82" s="14" t="s">
        <v>3611</v>
      </c>
      <c r="G82" s="14" t="s">
        <v>4064</v>
      </c>
    </row>
    <row r="83" spans="1:7" ht="29" x14ac:dyDescent="0.35">
      <c r="A83" s="14" t="s">
        <v>1951</v>
      </c>
      <c r="B83" s="14" t="s">
        <v>3767</v>
      </c>
      <c r="C83" s="14" t="s">
        <v>1132</v>
      </c>
      <c r="D83" s="14" t="s">
        <v>1050</v>
      </c>
      <c r="E83" s="14" t="s">
        <v>3611</v>
      </c>
      <c r="F83" s="14" t="s">
        <v>3611</v>
      </c>
      <c r="G83" s="14" t="s">
        <v>4064</v>
      </c>
    </row>
    <row r="84" spans="1:7" ht="29" x14ac:dyDescent="0.35">
      <c r="A84" s="14" t="s">
        <v>2286</v>
      </c>
      <c r="B84" s="14" t="s">
        <v>3767</v>
      </c>
      <c r="C84" s="14" t="s">
        <v>1391</v>
      </c>
      <c r="D84" s="14" t="s">
        <v>1050</v>
      </c>
      <c r="E84" s="14" t="s">
        <v>3611</v>
      </c>
      <c r="F84" s="14" t="s">
        <v>3611</v>
      </c>
      <c r="G84" s="14" t="s">
        <v>4064</v>
      </c>
    </row>
    <row r="85" spans="1:7" ht="29" x14ac:dyDescent="0.35">
      <c r="A85" s="14" t="s">
        <v>2306</v>
      </c>
      <c r="B85" s="14" t="s">
        <v>3767</v>
      </c>
      <c r="C85" s="14" t="s">
        <v>1728</v>
      </c>
      <c r="D85" s="14" t="s">
        <v>1050</v>
      </c>
      <c r="E85" s="14" t="s">
        <v>3611</v>
      </c>
      <c r="F85" s="14" t="s">
        <v>3611</v>
      </c>
      <c r="G85" s="14" t="s">
        <v>4064</v>
      </c>
    </row>
    <row r="86" spans="1:7" ht="29" x14ac:dyDescent="0.35">
      <c r="A86" s="14" t="s">
        <v>2083</v>
      </c>
      <c r="B86" s="14" t="s">
        <v>3767</v>
      </c>
      <c r="C86" s="14" t="s">
        <v>1906</v>
      </c>
      <c r="D86" s="14" t="s">
        <v>1050</v>
      </c>
      <c r="E86" s="14" t="s">
        <v>3611</v>
      </c>
      <c r="F86" s="14" t="s">
        <v>3611</v>
      </c>
      <c r="G86" s="14" t="s">
        <v>4064</v>
      </c>
    </row>
    <row r="87" spans="1:7" ht="29" x14ac:dyDescent="0.35">
      <c r="A87" s="14" t="s">
        <v>2273</v>
      </c>
      <c r="B87" s="14" t="s">
        <v>3767</v>
      </c>
      <c r="C87" s="14" t="s">
        <v>1718</v>
      </c>
      <c r="D87" s="14" t="s">
        <v>1048</v>
      </c>
      <c r="E87" s="14" t="s">
        <v>3611</v>
      </c>
      <c r="F87" s="14" t="s">
        <v>3760</v>
      </c>
      <c r="G87" s="14" t="s">
        <v>4064</v>
      </c>
    </row>
    <row r="88" spans="1:7" ht="29" x14ac:dyDescent="0.35">
      <c r="A88" s="14" t="s">
        <v>2036</v>
      </c>
      <c r="B88" s="14" t="s">
        <v>3767</v>
      </c>
      <c r="C88" s="14" t="s">
        <v>1327</v>
      </c>
      <c r="D88" s="14" t="s">
        <v>1050</v>
      </c>
      <c r="E88" s="14" t="s">
        <v>3611</v>
      </c>
      <c r="F88" s="14" t="s">
        <v>3611</v>
      </c>
      <c r="G88" s="14" t="s">
        <v>4064</v>
      </c>
    </row>
    <row r="89" spans="1:7" ht="29" x14ac:dyDescent="0.35">
      <c r="A89" s="14" t="s">
        <v>2239</v>
      </c>
      <c r="B89" s="14" t="s">
        <v>3767</v>
      </c>
      <c r="C89" s="14" t="s">
        <v>1298</v>
      </c>
      <c r="D89" s="14" t="s">
        <v>1050</v>
      </c>
      <c r="E89" s="14" t="s">
        <v>3611</v>
      </c>
      <c r="F89" s="14" t="s">
        <v>3611</v>
      </c>
      <c r="G89" s="14" t="s">
        <v>4064</v>
      </c>
    </row>
    <row r="90" spans="1:7" ht="29" x14ac:dyDescent="0.35">
      <c r="A90" s="14" t="s">
        <v>1966</v>
      </c>
      <c r="B90" s="14" t="s">
        <v>3767</v>
      </c>
      <c r="C90" s="14" t="s">
        <v>1802</v>
      </c>
      <c r="D90" s="14" t="s">
        <v>1048</v>
      </c>
      <c r="E90" s="14" t="s">
        <v>3611</v>
      </c>
      <c r="F90" s="14" t="s">
        <v>3760</v>
      </c>
      <c r="G90" s="14" t="s">
        <v>4064</v>
      </c>
    </row>
    <row r="91" spans="1:7" ht="29" x14ac:dyDescent="0.35">
      <c r="A91" s="14" t="s">
        <v>2203</v>
      </c>
      <c r="B91" s="14" t="s">
        <v>3767</v>
      </c>
      <c r="C91" s="14" t="s">
        <v>1925</v>
      </c>
      <c r="D91" s="14" t="s">
        <v>1050</v>
      </c>
      <c r="E91" s="14" t="s">
        <v>3611</v>
      </c>
      <c r="F91" s="14" t="s">
        <v>3611</v>
      </c>
      <c r="G91" s="14" t="s">
        <v>4064</v>
      </c>
    </row>
    <row r="92" spans="1:7" ht="29" x14ac:dyDescent="0.35">
      <c r="A92" s="14" t="s">
        <v>2051</v>
      </c>
      <c r="B92" s="14" t="s">
        <v>3767</v>
      </c>
      <c r="C92" s="14" t="s">
        <v>1773</v>
      </c>
      <c r="D92" s="14" t="s">
        <v>1050</v>
      </c>
      <c r="E92" s="14" t="s">
        <v>3611</v>
      </c>
      <c r="F92" s="14" t="s">
        <v>3611</v>
      </c>
      <c r="G92" s="14" t="s">
        <v>4064</v>
      </c>
    </row>
    <row r="93" spans="1:7" ht="29" x14ac:dyDescent="0.35">
      <c r="A93" s="14" t="s">
        <v>2131</v>
      </c>
      <c r="B93" s="14" t="s">
        <v>3767</v>
      </c>
      <c r="C93" s="14" t="s">
        <v>2134</v>
      </c>
      <c r="D93" s="14" t="s">
        <v>1050</v>
      </c>
      <c r="E93" s="14" t="s">
        <v>3611</v>
      </c>
      <c r="F93" s="14" t="s">
        <v>3611</v>
      </c>
      <c r="G93" s="14" t="s">
        <v>4064</v>
      </c>
    </row>
    <row r="94" spans="1:7" ht="29" x14ac:dyDescent="0.35">
      <c r="A94" s="14" t="s">
        <v>2058</v>
      </c>
      <c r="B94" s="14" t="s">
        <v>3767</v>
      </c>
      <c r="C94" s="14" t="s">
        <v>1610</v>
      </c>
      <c r="D94" s="14" t="s">
        <v>1048</v>
      </c>
      <c r="E94" s="14" t="s">
        <v>3611</v>
      </c>
      <c r="F94" s="14" t="s">
        <v>3760</v>
      </c>
      <c r="G94" s="14" t="s">
        <v>4064</v>
      </c>
    </row>
    <row r="95" spans="1:7" ht="29" x14ac:dyDescent="0.35">
      <c r="A95" s="14" t="s">
        <v>2136</v>
      </c>
      <c r="B95" s="14" t="s">
        <v>3767</v>
      </c>
      <c r="C95" s="14" t="s">
        <v>1830</v>
      </c>
      <c r="D95" s="14" t="s">
        <v>1050</v>
      </c>
      <c r="E95" s="14" t="s">
        <v>3611</v>
      </c>
      <c r="F95" s="14" t="s">
        <v>3611</v>
      </c>
      <c r="G95" s="14" t="s">
        <v>4064</v>
      </c>
    </row>
    <row r="96" spans="1:7" ht="29" x14ac:dyDescent="0.35">
      <c r="A96" s="14" t="s">
        <v>2325</v>
      </c>
      <c r="B96" s="14" t="s">
        <v>3767</v>
      </c>
      <c r="C96" s="14" t="s">
        <v>1283</v>
      </c>
      <c r="D96" s="14" t="s">
        <v>1050</v>
      </c>
      <c r="E96" s="14" t="s">
        <v>3611</v>
      </c>
      <c r="F96" s="14" t="s">
        <v>3611</v>
      </c>
      <c r="G96" s="14" t="s">
        <v>4064</v>
      </c>
    </row>
    <row r="97" spans="1:7" ht="29" x14ac:dyDescent="0.35">
      <c r="A97" s="14" t="s">
        <v>2208</v>
      </c>
      <c r="B97" s="14" t="s">
        <v>3767</v>
      </c>
      <c r="C97" s="14" t="s">
        <v>2211</v>
      </c>
      <c r="D97" s="14" t="s">
        <v>1050</v>
      </c>
      <c r="E97" s="14" t="s">
        <v>3611</v>
      </c>
      <c r="F97" s="14" t="s">
        <v>3611</v>
      </c>
      <c r="G97" s="14" t="s">
        <v>4064</v>
      </c>
    </row>
    <row r="98" spans="1:7" ht="29" x14ac:dyDescent="0.35">
      <c r="A98" s="14" t="s">
        <v>2003</v>
      </c>
      <c r="B98" s="14" t="s">
        <v>3767</v>
      </c>
      <c r="C98" s="14" t="s">
        <v>1049</v>
      </c>
      <c r="D98" s="14" t="s">
        <v>1050</v>
      </c>
      <c r="E98" s="14" t="s">
        <v>3611</v>
      </c>
      <c r="F98" s="14" t="s">
        <v>3611</v>
      </c>
      <c r="G98" s="14" t="s">
        <v>4064</v>
      </c>
    </row>
    <row r="99" spans="1:7" ht="29" x14ac:dyDescent="0.35">
      <c r="A99" s="14" t="s">
        <v>1993</v>
      </c>
      <c r="B99" s="14" t="s">
        <v>3767</v>
      </c>
      <c r="C99" s="14" t="s">
        <v>1386</v>
      </c>
      <c r="D99" s="14" t="s">
        <v>1050</v>
      </c>
      <c r="E99" s="14" t="s">
        <v>3611</v>
      </c>
      <c r="F99" s="14" t="s">
        <v>3611</v>
      </c>
      <c r="G99" s="14" t="s">
        <v>4064</v>
      </c>
    </row>
    <row r="100" spans="1:7" ht="29" x14ac:dyDescent="0.35">
      <c r="A100" s="14" t="s">
        <v>2126</v>
      </c>
      <c r="B100" s="14" t="s">
        <v>3767</v>
      </c>
      <c r="C100" s="14" t="s">
        <v>1348</v>
      </c>
      <c r="D100" s="14" t="s">
        <v>1050</v>
      </c>
      <c r="E100" s="14" t="s">
        <v>3611</v>
      </c>
      <c r="F100" s="14" t="s">
        <v>3611</v>
      </c>
      <c r="G100" s="14" t="s">
        <v>4064</v>
      </c>
    </row>
    <row r="101" spans="1:7" ht="29" x14ac:dyDescent="0.35">
      <c r="A101" s="14" t="s">
        <v>2262</v>
      </c>
      <c r="B101" s="14" t="s">
        <v>3767</v>
      </c>
      <c r="C101" s="14" t="s">
        <v>1083</v>
      </c>
      <c r="D101" s="14" t="s">
        <v>1048</v>
      </c>
      <c r="E101" s="14" t="s">
        <v>3611</v>
      </c>
      <c r="F101" s="14" t="s">
        <v>3760</v>
      </c>
      <c r="G101" s="14" t="s">
        <v>4064</v>
      </c>
    </row>
    <row r="102" spans="1:7" ht="29" x14ac:dyDescent="0.35">
      <c r="A102" s="14" t="s">
        <v>1982</v>
      </c>
      <c r="B102" s="14" t="s">
        <v>3767</v>
      </c>
      <c r="C102" s="14" t="s">
        <v>1753</v>
      </c>
      <c r="D102" s="14" t="s">
        <v>1050</v>
      </c>
      <c r="E102" s="14" t="s">
        <v>3611</v>
      </c>
      <c r="F102" s="14" t="s">
        <v>3611</v>
      </c>
      <c r="G102" s="14" t="s">
        <v>4064</v>
      </c>
    </row>
    <row r="103" spans="1:7" ht="29" x14ac:dyDescent="0.35">
      <c r="A103" s="14" t="s">
        <v>2184</v>
      </c>
      <c r="B103" s="14" t="s">
        <v>3767</v>
      </c>
      <c r="C103" s="14" t="s">
        <v>1664</v>
      </c>
      <c r="D103" s="14" t="s">
        <v>1050</v>
      </c>
      <c r="E103" s="14" t="s">
        <v>3611</v>
      </c>
      <c r="F103" s="14" t="s">
        <v>3611</v>
      </c>
      <c r="G103" s="14" t="s">
        <v>4064</v>
      </c>
    </row>
    <row r="104" spans="1:7" ht="29" x14ac:dyDescent="0.35">
      <c r="A104" s="14" t="s">
        <v>2260</v>
      </c>
      <c r="B104" s="14" t="s">
        <v>3767</v>
      </c>
      <c r="C104" s="14" t="s">
        <v>1173</v>
      </c>
      <c r="D104" s="14" t="s">
        <v>1050</v>
      </c>
      <c r="E104" s="14" t="s">
        <v>3611</v>
      </c>
      <c r="F104" s="14" t="s">
        <v>3611</v>
      </c>
      <c r="G104" s="14" t="s">
        <v>4064</v>
      </c>
    </row>
    <row r="105" spans="1:7" ht="29" x14ac:dyDescent="0.35">
      <c r="A105" s="14" t="s">
        <v>2055</v>
      </c>
      <c r="B105" s="14" t="s">
        <v>3767</v>
      </c>
      <c r="C105" s="14" t="s">
        <v>1072</v>
      </c>
      <c r="D105" s="14" t="s">
        <v>1050</v>
      </c>
      <c r="E105" s="14" t="s">
        <v>3611</v>
      </c>
      <c r="F105" s="14" t="s">
        <v>3611</v>
      </c>
      <c r="G105" s="14" t="s">
        <v>4064</v>
      </c>
    </row>
    <row r="106" spans="1:7" ht="29" x14ac:dyDescent="0.35">
      <c r="A106" s="14" t="s">
        <v>2145</v>
      </c>
      <c r="B106" s="14" t="s">
        <v>3767</v>
      </c>
      <c r="C106" s="14" t="s">
        <v>1365</v>
      </c>
      <c r="D106" s="14" t="s">
        <v>1050</v>
      </c>
      <c r="E106" s="14" t="s">
        <v>3611</v>
      </c>
      <c r="F106" s="14" t="s">
        <v>3611</v>
      </c>
      <c r="G106" s="14" t="s">
        <v>4064</v>
      </c>
    </row>
    <row r="107" spans="1:7" ht="29" x14ac:dyDescent="0.35">
      <c r="A107" s="14" t="s">
        <v>2226</v>
      </c>
      <c r="B107" s="14" t="s">
        <v>3767</v>
      </c>
      <c r="C107" s="14" t="s">
        <v>1427</v>
      </c>
      <c r="D107" s="14" t="s">
        <v>1050</v>
      </c>
      <c r="E107" s="14" t="s">
        <v>3611</v>
      </c>
      <c r="F107" s="14" t="s">
        <v>3611</v>
      </c>
      <c r="G107" s="14" t="s">
        <v>4064</v>
      </c>
    </row>
    <row r="108" spans="1:7" ht="29" x14ac:dyDescent="0.35">
      <c r="A108" s="14" t="s">
        <v>1981</v>
      </c>
      <c r="B108" s="14" t="s">
        <v>3767</v>
      </c>
      <c r="C108" s="14" t="s">
        <v>1713</v>
      </c>
      <c r="D108" s="14" t="s">
        <v>1050</v>
      </c>
      <c r="E108" s="14" t="s">
        <v>3611</v>
      </c>
      <c r="F108" s="14" t="s">
        <v>3611</v>
      </c>
      <c r="G108" s="14" t="s">
        <v>4064</v>
      </c>
    </row>
    <row r="109" spans="1:7" ht="29" x14ac:dyDescent="0.35">
      <c r="A109" s="14" t="s">
        <v>2349</v>
      </c>
      <c r="B109" s="14" t="s">
        <v>3767</v>
      </c>
      <c r="C109" s="14" t="s">
        <v>1911</v>
      </c>
      <c r="D109" s="14" t="s">
        <v>1050</v>
      </c>
      <c r="E109" s="14" t="s">
        <v>3611</v>
      </c>
      <c r="F109" s="14" t="s">
        <v>3611</v>
      </c>
      <c r="G109" s="14" t="s">
        <v>4064</v>
      </c>
    </row>
    <row r="110" spans="1:7" ht="29" x14ac:dyDescent="0.35">
      <c r="A110" s="14" t="s">
        <v>2060</v>
      </c>
      <c r="B110" s="14" t="s">
        <v>3767</v>
      </c>
      <c r="C110" s="14" t="s">
        <v>1591</v>
      </c>
      <c r="D110" s="14" t="s">
        <v>1050</v>
      </c>
      <c r="E110" s="14" t="s">
        <v>3611</v>
      </c>
      <c r="F110" s="14" t="s">
        <v>3611</v>
      </c>
      <c r="G110" s="14" t="s">
        <v>4064</v>
      </c>
    </row>
    <row r="111" spans="1:7" ht="29" x14ac:dyDescent="0.35">
      <c r="A111" s="14" t="s">
        <v>2188</v>
      </c>
      <c r="B111" s="14" t="s">
        <v>3767</v>
      </c>
      <c r="C111" s="14" t="s">
        <v>1549</v>
      </c>
      <c r="D111" s="14" t="s">
        <v>1050</v>
      </c>
      <c r="E111" s="14" t="s">
        <v>3611</v>
      </c>
      <c r="F111" s="14" t="s">
        <v>3611</v>
      </c>
      <c r="G111" s="14" t="s">
        <v>4064</v>
      </c>
    </row>
    <row r="112" spans="1:7" ht="29" x14ac:dyDescent="0.35">
      <c r="A112" s="14" t="s">
        <v>2230</v>
      </c>
      <c r="B112" s="14" t="s">
        <v>3767</v>
      </c>
      <c r="C112" s="14" t="s">
        <v>1401</v>
      </c>
      <c r="D112" s="14" t="s">
        <v>1050</v>
      </c>
      <c r="E112" s="14" t="s">
        <v>3611</v>
      </c>
      <c r="F112" s="14" t="s">
        <v>3611</v>
      </c>
      <c r="G112" s="14" t="s">
        <v>4064</v>
      </c>
    </row>
    <row r="113" spans="1:7" ht="29" x14ac:dyDescent="0.35">
      <c r="A113" s="14" t="s">
        <v>2183</v>
      </c>
      <c r="B113" s="14" t="s">
        <v>3767</v>
      </c>
      <c r="C113" s="14" t="s">
        <v>1544</v>
      </c>
      <c r="D113" s="14" t="s">
        <v>1050</v>
      </c>
      <c r="E113" s="14" t="s">
        <v>3611</v>
      </c>
      <c r="F113" s="14" t="s">
        <v>3611</v>
      </c>
      <c r="G113" s="14" t="s">
        <v>4064</v>
      </c>
    </row>
    <row r="114" spans="1:7" ht="29" x14ac:dyDescent="0.35">
      <c r="A114" s="14" t="s">
        <v>2340</v>
      </c>
      <c r="B114" s="14" t="s">
        <v>3767</v>
      </c>
      <c r="C114" s="14" t="s">
        <v>1486</v>
      </c>
      <c r="D114" s="14" t="s">
        <v>1050</v>
      </c>
      <c r="E114" s="14" t="s">
        <v>3611</v>
      </c>
      <c r="F114" s="14" t="s">
        <v>3611</v>
      </c>
      <c r="G114" s="14" t="s">
        <v>4064</v>
      </c>
    </row>
    <row r="115" spans="1:7" ht="29" x14ac:dyDescent="0.35">
      <c r="A115" s="14" t="s">
        <v>2329</v>
      </c>
      <c r="B115" s="14" t="s">
        <v>3767</v>
      </c>
      <c r="C115" s="14" t="s">
        <v>1137</v>
      </c>
      <c r="D115" s="14" t="s">
        <v>1050</v>
      </c>
      <c r="E115" s="14" t="s">
        <v>3611</v>
      </c>
      <c r="F115" s="14" t="s">
        <v>3611</v>
      </c>
      <c r="G115" s="14" t="s">
        <v>4064</v>
      </c>
    </row>
    <row r="116" spans="1:7" ht="29" x14ac:dyDescent="0.35">
      <c r="A116" s="14" t="s">
        <v>1970</v>
      </c>
      <c r="B116" s="14" t="s">
        <v>3767</v>
      </c>
      <c r="C116" s="14" t="s">
        <v>1673</v>
      </c>
      <c r="D116" s="14" t="s">
        <v>1050</v>
      </c>
      <c r="E116" s="14" t="s">
        <v>3611</v>
      </c>
      <c r="F116" s="14" t="s">
        <v>3611</v>
      </c>
      <c r="G116" s="14" t="s">
        <v>4064</v>
      </c>
    </row>
    <row r="117" spans="1:7" ht="29" x14ac:dyDescent="0.35">
      <c r="A117" s="14" t="s">
        <v>2047</v>
      </c>
      <c r="B117" s="14" t="s">
        <v>3767</v>
      </c>
      <c r="C117" s="14" t="s">
        <v>1337</v>
      </c>
      <c r="D117" s="14" t="s">
        <v>1050</v>
      </c>
      <c r="E117" s="14" t="s">
        <v>3611</v>
      </c>
      <c r="F117" s="14" t="s">
        <v>3611</v>
      </c>
      <c r="G117" s="14" t="s">
        <v>4064</v>
      </c>
    </row>
    <row r="118" spans="1:7" ht="29" x14ac:dyDescent="0.35">
      <c r="A118" s="14" t="s">
        <v>2140</v>
      </c>
      <c r="B118" s="14" t="s">
        <v>3767</v>
      </c>
      <c r="C118" s="14" t="s">
        <v>1647</v>
      </c>
      <c r="D118" s="14" t="s">
        <v>1050</v>
      </c>
      <c r="E118" s="14" t="s">
        <v>3611</v>
      </c>
      <c r="F118" s="14" t="s">
        <v>3611</v>
      </c>
      <c r="G118" s="14" t="s">
        <v>4064</v>
      </c>
    </row>
    <row r="119" spans="1:7" ht="29" x14ac:dyDescent="0.35">
      <c r="A119" s="14" t="s">
        <v>1987</v>
      </c>
      <c r="B119" s="14" t="s">
        <v>3767</v>
      </c>
      <c r="C119" s="14" t="s">
        <v>1811</v>
      </c>
      <c r="D119" s="14" t="s">
        <v>1050</v>
      </c>
      <c r="E119" s="14" t="s">
        <v>3611</v>
      </c>
      <c r="F119" s="14" t="s">
        <v>3611</v>
      </c>
      <c r="G119" s="14" t="s">
        <v>4064</v>
      </c>
    </row>
    <row r="120" spans="1:7" ht="29" x14ac:dyDescent="0.35">
      <c r="A120" s="14" t="s">
        <v>1975</v>
      </c>
      <c r="B120" s="14" t="s">
        <v>3767</v>
      </c>
      <c r="C120" s="14" t="s">
        <v>1702</v>
      </c>
      <c r="D120" s="14" t="s">
        <v>1050</v>
      </c>
      <c r="E120" s="14" t="s">
        <v>3611</v>
      </c>
      <c r="F120" s="14" t="s">
        <v>3611</v>
      </c>
      <c r="G120" s="14" t="s">
        <v>4064</v>
      </c>
    </row>
    <row r="121" spans="1:7" ht="29" x14ac:dyDescent="0.35">
      <c r="A121" s="14" t="s">
        <v>2366</v>
      </c>
      <c r="B121" s="14" t="s">
        <v>3767</v>
      </c>
      <c r="C121" s="14" t="s">
        <v>1422</v>
      </c>
      <c r="D121" s="14" t="s">
        <v>1050</v>
      </c>
      <c r="E121" s="14" t="s">
        <v>3611</v>
      </c>
      <c r="F121" s="14" t="s">
        <v>3611</v>
      </c>
      <c r="G121" s="14" t="s">
        <v>4064</v>
      </c>
    </row>
    <row r="122" spans="1:7" ht="29" x14ac:dyDescent="0.35">
      <c r="A122" s="14" t="s">
        <v>2173</v>
      </c>
      <c r="B122" s="14" t="s">
        <v>3767</v>
      </c>
      <c r="C122" s="14" t="s">
        <v>2176</v>
      </c>
      <c r="D122" s="14" t="s">
        <v>1050</v>
      </c>
      <c r="E122" s="14" t="s">
        <v>3611</v>
      </c>
      <c r="F122" s="14" t="s">
        <v>3611</v>
      </c>
      <c r="G122" s="14" t="s">
        <v>4064</v>
      </c>
    </row>
    <row r="123" spans="1:7" ht="29" x14ac:dyDescent="0.35">
      <c r="A123" s="14" t="s">
        <v>1936</v>
      </c>
      <c r="B123" s="14" t="s">
        <v>3767</v>
      </c>
      <c r="C123" s="14" t="s">
        <v>1939</v>
      </c>
      <c r="D123" s="14" t="s">
        <v>1050</v>
      </c>
      <c r="E123" s="14" t="s">
        <v>3611</v>
      </c>
      <c r="F123" s="14" t="s">
        <v>3611</v>
      </c>
      <c r="G123" s="14" t="s">
        <v>4064</v>
      </c>
    </row>
    <row r="124" spans="1:7" ht="29" x14ac:dyDescent="0.35">
      <c r="A124" s="14" t="s">
        <v>1720</v>
      </c>
      <c r="B124" s="14" t="s">
        <v>3767</v>
      </c>
      <c r="C124" s="14" t="s">
        <v>1723</v>
      </c>
      <c r="D124" s="14" t="s">
        <v>1025</v>
      </c>
      <c r="E124" s="14" t="s">
        <v>3766</v>
      </c>
      <c r="F124" s="14" t="s">
        <v>3611</v>
      </c>
      <c r="G124" s="14" t="s">
        <v>4064</v>
      </c>
    </row>
    <row r="125" spans="1:7" ht="29" x14ac:dyDescent="0.35">
      <c r="A125" s="14" t="s">
        <v>1030</v>
      </c>
      <c r="B125" s="14" t="s">
        <v>3767</v>
      </c>
      <c r="C125" s="14" t="s">
        <v>1035</v>
      </c>
      <c r="D125" s="14" t="s">
        <v>1025</v>
      </c>
      <c r="E125" s="14" t="s">
        <v>3761</v>
      </c>
      <c r="F125" s="14" t="s">
        <v>3611</v>
      </c>
      <c r="G125" s="14" t="s">
        <v>4064</v>
      </c>
    </row>
    <row r="126" spans="1:7" ht="29" x14ac:dyDescent="0.35">
      <c r="A126" s="14" t="s">
        <v>1053</v>
      </c>
      <c r="B126" s="14" t="s">
        <v>3767</v>
      </c>
      <c r="C126" s="14" t="s">
        <v>1035</v>
      </c>
      <c r="D126" s="14" t="s">
        <v>1025</v>
      </c>
      <c r="E126" s="14" t="s">
        <v>3761</v>
      </c>
      <c r="F126" s="14" t="s">
        <v>3611</v>
      </c>
      <c r="G126" s="14" t="s">
        <v>4064</v>
      </c>
    </row>
    <row r="127" spans="1:7" ht="319" x14ac:dyDescent="0.35">
      <c r="A127" s="14" t="s">
        <v>1236</v>
      </c>
      <c r="B127" s="14" t="s">
        <v>3767</v>
      </c>
      <c r="C127" s="14" t="s">
        <v>1244</v>
      </c>
      <c r="D127" s="14" t="s">
        <v>1023</v>
      </c>
      <c r="E127" s="14" t="s">
        <v>2911</v>
      </c>
      <c r="F127" s="14" t="s">
        <v>4065</v>
      </c>
      <c r="G127" s="14" t="s">
        <v>4064</v>
      </c>
    </row>
    <row r="128" spans="1:7" ht="319" x14ac:dyDescent="0.35">
      <c r="A128" s="14" t="s">
        <v>1919</v>
      </c>
      <c r="B128" s="14" t="s">
        <v>3767</v>
      </c>
      <c r="C128" s="14" t="s">
        <v>1244</v>
      </c>
      <c r="D128" s="14" t="s">
        <v>1023</v>
      </c>
      <c r="E128" s="14" t="s">
        <v>2911</v>
      </c>
      <c r="F128" s="14" t="s">
        <v>4065</v>
      </c>
      <c r="G128" s="14" t="s">
        <v>4064</v>
      </c>
    </row>
    <row r="129" spans="1:7" ht="58" x14ac:dyDescent="0.35">
      <c r="A129" s="14" t="s">
        <v>1760</v>
      </c>
      <c r="B129" s="14" t="s">
        <v>3767</v>
      </c>
      <c r="C129" s="14" t="s">
        <v>1374</v>
      </c>
      <c r="D129" s="14" t="s">
        <v>1023</v>
      </c>
      <c r="E129" s="14" t="s">
        <v>2832</v>
      </c>
      <c r="F129" s="14" t="s">
        <v>3589</v>
      </c>
      <c r="G129" s="14" t="s">
        <v>4064</v>
      </c>
    </row>
    <row r="130" spans="1:7" ht="58" x14ac:dyDescent="0.35">
      <c r="A130" s="14" t="s">
        <v>1787</v>
      </c>
      <c r="B130" s="14" t="s">
        <v>3767</v>
      </c>
      <c r="C130" s="14" t="s">
        <v>1374</v>
      </c>
      <c r="D130" s="14" t="s">
        <v>1023</v>
      </c>
      <c r="E130" s="14" t="s">
        <v>2832</v>
      </c>
      <c r="F130" s="14" t="s">
        <v>3589</v>
      </c>
      <c r="G130" s="14" t="s">
        <v>4064</v>
      </c>
    </row>
    <row r="131" spans="1:7" ht="58" x14ac:dyDescent="0.35">
      <c r="A131" s="14" t="s">
        <v>1761</v>
      </c>
      <c r="B131" s="14" t="s">
        <v>3767</v>
      </c>
      <c r="C131" s="14" t="s">
        <v>1374</v>
      </c>
      <c r="D131" s="14" t="s">
        <v>1023</v>
      </c>
      <c r="E131" s="14" t="s">
        <v>2832</v>
      </c>
      <c r="F131" s="14" t="s">
        <v>3589</v>
      </c>
      <c r="G131" s="14" t="s">
        <v>4064</v>
      </c>
    </row>
    <row r="132" spans="1:7" ht="58" x14ac:dyDescent="0.35">
      <c r="A132" s="14" t="s">
        <v>1371</v>
      </c>
      <c r="B132" s="14" t="s">
        <v>3767</v>
      </c>
      <c r="C132" s="14" t="s">
        <v>1374</v>
      </c>
      <c r="D132" s="14" t="s">
        <v>1023</v>
      </c>
      <c r="E132" s="14" t="s">
        <v>2832</v>
      </c>
      <c r="F132" s="14" t="s">
        <v>3589</v>
      </c>
      <c r="G132" s="14" t="s">
        <v>4064</v>
      </c>
    </row>
    <row r="133" spans="1:7" ht="58" x14ac:dyDescent="0.35">
      <c r="A133" s="14" t="s">
        <v>1789</v>
      </c>
      <c r="B133" s="14" t="s">
        <v>3767</v>
      </c>
      <c r="C133" s="14" t="s">
        <v>1374</v>
      </c>
      <c r="D133" s="14" t="s">
        <v>1023</v>
      </c>
      <c r="E133" s="14" t="s">
        <v>2832</v>
      </c>
      <c r="F133" s="14" t="s">
        <v>3589</v>
      </c>
      <c r="G133" s="14" t="s">
        <v>4064</v>
      </c>
    </row>
    <row r="134" spans="1:7" ht="29" x14ac:dyDescent="0.35">
      <c r="A134" s="14" t="s">
        <v>1146</v>
      </c>
      <c r="B134" s="14" t="s">
        <v>3767</v>
      </c>
      <c r="C134" s="14" t="s">
        <v>1061</v>
      </c>
      <c r="D134" s="14" t="s">
        <v>1023</v>
      </c>
      <c r="E134" s="14" t="s">
        <v>2911</v>
      </c>
      <c r="F134" s="14" t="s">
        <v>3760</v>
      </c>
      <c r="G134" s="14" t="s">
        <v>4064</v>
      </c>
    </row>
    <row r="135" spans="1:7" ht="29" x14ac:dyDescent="0.35">
      <c r="A135" s="14" t="s">
        <v>1871</v>
      </c>
      <c r="B135" s="14" t="s">
        <v>3767</v>
      </c>
      <c r="C135" s="14" t="s">
        <v>1061</v>
      </c>
      <c r="D135" s="14" t="s">
        <v>1023</v>
      </c>
      <c r="E135" s="14" t="s">
        <v>2911</v>
      </c>
      <c r="F135" s="14" t="s">
        <v>3760</v>
      </c>
      <c r="G135" s="14" t="s">
        <v>4064</v>
      </c>
    </row>
    <row r="136" spans="1:7" ht="29" x14ac:dyDescent="0.35">
      <c r="A136" s="14" t="s">
        <v>1057</v>
      </c>
      <c r="B136" s="14" t="s">
        <v>3767</v>
      </c>
      <c r="C136" s="14" t="s">
        <v>1061</v>
      </c>
      <c r="D136" s="14" t="s">
        <v>1023</v>
      </c>
      <c r="E136" s="14" t="s">
        <v>2911</v>
      </c>
      <c r="F136" s="14" t="s">
        <v>3760</v>
      </c>
      <c r="G136" s="14" t="s">
        <v>4064</v>
      </c>
    </row>
    <row r="137" spans="1:7" ht="29" x14ac:dyDescent="0.35">
      <c r="A137" s="14" t="s">
        <v>1185</v>
      </c>
      <c r="B137" s="14" t="s">
        <v>3767</v>
      </c>
      <c r="C137" s="14" t="s">
        <v>1188</v>
      </c>
      <c r="D137" s="14" t="s">
        <v>1025</v>
      </c>
      <c r="E137" s="14" t="s">
        <v>3589</v>
      </c>
      <c r="F137" s="14" t="s">
        <v>3611</v>
      </c>
      <c r="G137" s="14" t="s">
        <v>4064</v>
      </c>
    </row>
    <row r="138" spans="1:7" ht="29" x14ac:dyDescent="0.35">
      <c r="A138" s="14" t="s">
        <v>1290</v>
      </c>
      <c r="B138" s="14" t="s">
        <v>3767</v>
      </c>
      <c r="C138" s="14" t="s">
        <v>1188</v>
      </c>
      <c r="D138" s="14" t="s">
        <v>1025</v>
      </c>
      <c r="E138" s="14" t="s">
        <v>3589</v>
      </c>
      <c r="F138" s="14" t="s">
        <v>3611</v>
      </c>
      <c r="G138" s="14" t="s">
        <v>4064</v>
      </c>
    </row>
    <row r="139" spans="1:7" ht="29" x14ac:dyDescent="0.35">
      <c r="A139" s="14" t="s">
        <v>1768</v>
      </c>
      <c r="B139" s="14" t="s">
        <v>3767</v>
      </c>
      <c r="C139" s="14" t="s">
        <v>1188</v>
      </c>
      <c r="D139" s="14" t="s">
        <v>1025</v>
      </c>
      <c r="E139" s="14" t="s">
        <v>3589</v>
      </c>
      <c r="F139" s="14" t="s">
        <v>3611</v>
      </c>
      <c r="G139" s="14" t="s">
        <v>4064</v>
      </c>
    </row>
    <row r="140" spans="1:7" ht="29" x14ac:dyDescent="0.35">
      <c r="A140" s="14" t="s">
        <v>1775</v>
      </c>
      <c r="B140" s="14" t="s">
        <v>3767</v>
      </c>
      <c r="C140" s="14" t="s">
        <v>1188</v>
      </c>
      <c r="D140" s="14" t="s">
        <v>1025</v>
      </c>
      <c r="E140" s="14" t="s">
        <v>3589</v>
      </c>
      <c r="F140" s="14" t="s">
        <v>3611</v>
      </c>
      <c r="G140" s="14" t="s">
        <v>4064</v>
      </c>
    </row>
    <row r="141" spans="1:7" ht="101.5" x14ac:dyDescent="0.35">
      <c r="A141" s="14" t="s">
        <v>1763</v>
      </c>
      <c r="B141" s="14" t="s">
        <v>3767</v>
      </c>
      <c r="C141" s="14" t="s">
        <v>1766</v>
      </c>
      <c r="D141" s="14" t="s">
        <v>1023</v>
      </c>
      <c r="E141" s="14" t="s">
        <v>3760</v>
      </c>
      <c r="F141" s="14" t="s">
        <v>2955</v>
      </c>
      <c r="G141" s="14" t="s">
        <v>4064</v>
      </c>
    </row>
    <row r="142" spans="1:7" ht="29" x14ac:dyDescent="0.35">
      <c r="A142" s="14" t="s">
        <v>1355</v>
      </c>
      <c r="B142" s="14" t="s">
        <v>3767</v>
      </c>
      <c r="C142" s="14" t="s">
        <v>1358</v>
      </c>
      <c r="D142" s="14" t="s">
        <v>1025</v>
      </c>
      <c r="E142" s="14" t="s">
        <v>3589</v>
      </c>
      <c r="F142" s="14" t="s">
        <v>3611</v>
      </c>
      <c r="G142" s="14" t="s">
        <v>4064</v>
      </c>
    </row>
    <row r="143" spans="1:7" ht="29" x14ac:dyDescent="0.35">
      <c r="A143" s="14" t="s">
        <v>1777</v>
      </c>
      <c r="B143" s="14" t="s">
        <v>3767</v>
      </c>
      <c r="C143" s="14" t="s">
        <v>1358</v>
      </c>
      <c r="D143" s="14" t="s">
        <v>1025</v>
      </c>
      <c r="E143" s="14" t="s">
        <v>3589</v>
      </c>
      <c r="F143" s="14" t="s">
        <v>3611</v>
      </c>
      <c r="G143" s="14" t="s">
        <v>4064</v>
      </c>
    </row>
    <row r="144" spans="1:7" ht="72.5" x14ac:dyDescent="0.35">
      <c r="A144" s="14" t="s">
        <v>1891</v>
      </c>
      <c r="B144" s="14" t="s">
        <v>3767</v>
      </c>
      <c r="C144" s="14" t="s">
        <v>1895</v>
      </c>
      <c r="D144" s="14" t="s">
        <v>1048</v>
      </c>
      <c r="E144" s="14" t="s">
        <v>3611</v>
      </c>
      <c r="F144" s="14" t="s">
        <v>2832</v>
      </c>
      <c r="G144" s="14" t="s">
        <v>4064</v>
      </c>
    </row>
    <row r="145" spans="1:7" ht="29" x14ac:dyDescent="0.35">
      <c r="A145" s="14" t="s">
        <v>1687</v>
      </c>
      <c r="B145" s="14" t="s">
        <v>3767</v>
      </c>
      <c r="C145" s="14" t="s">
        <v>1690</v>
      </c>
      <c r="D145" s="14" t="s">
        <v>1025</v>
      </c>
      <c r="E145" s="14" t="s">
        <v>3760</v>
      </c>
      <c r="F145" s="14" t="s">
        <v>3611</v>
      </c>
      <c r="G145" s="14" t="s">
        <v>4064</v>
      </c>
    </row>
    <row r="146" spans="1:7" ht="29" x14ac:dyDescent="0.35">
      <c r="A146" s="14" t="s">
        <v>1258</v>
      </c>
      <c r="B146" s="14" t="s">
        <v>3767</v>
      </c>
      <c r="C146" s="14" t="s">
        <v>1261</v>
      </c>
      <c r="D146" s="14" t="s">
        <v>1025</v>
      </c>
      <c r="E146" s="14" t="s">
        <v>2911</v>
      </c>
      <c r="F146" s="14" t="s">
        <v>3611</v>
      </c>
      <c r="G146" s="14" t="s">
        <v>4064</v>
      </c>
    </row>
    <row r="147" spans="1:7" ht="29" x14ac:dyDescent="0.35">
      <c r="A147" s="14" t="s">
        <v>1818</v>
      </c>
      <c r="B147" s="14" t="s">
        <v>3767</v>
      </c>
      <c r="C147" s="14" t="s">
        <v>1786</v>
      </c>
      <c r="D147" s="14" t="s">
        <v>1025</v>
      </c>
      <c r="E147" s="14" t="s">
        <v>3760</v>
      </c>
      <c r="F147" s="14" t="s">
        <v>3611</v>
      </c>
      <c r="G147" s="14" t="s">
        <v>4064</v>
      </c>
    </row>
    <row r="148" spans="1:7" ht="29" x14ac:dyDescent="0.35">
      <c r="A148" s="14" t="s">
        <v>1782</v>
      </c>
      <c r="B148" s="14" t="s">
        <v>3767</v>
      </c>
      <c r="C148" s="14" t="s">
        <v>1786</v>
      </c>
      <c r="D148" s="14" t="s">
        <v>1025</v>
      </c>
      <c r="E148" s="14" t="s">
        <v>3760</v>
      </c>
      <c r="F148" s="14" t="s">
        <v>3611</v>
      </c>
      <c r="G148" s="14" t="s">
        <v>4064</v>
      </c>
    </row>
    <row r="149" spans="1:7" ht="29" x14ac:dyDescent="0.35">
      <c r="A149" s="14" t="s">
        <v>1350</v>
      </c>
      <c r="B149" s="14" t="s">
        <v>3767</v>
      </c>
      <c r="C149" s="14" t="s">
        <v>1353</v>
      </c>
      <c r="D149" s="14" t="s">
        <v>1050</v>
      </c>
      <c r="E149" s="14" t="s">
        <v>3611</v>
      </c>
      <c r="F149" s="14" t="s">
        <v>3611</v>
      </c>
      <c r="G149" s="14" t="s">
        <v>4064</v>
      </c>
    </row>
    <row r="150" spans="1:7" ht="29" x14ac:dyDescent="0.35">
      <c r="A150" s="14" t="s">
        <v>1460</v>
      </c>
      <c r="B150" s="14" t="s">
        <v>3767</v>
      </c>
      <c r="C150" s="14" t="s">
        <v>1464</v>
      </c>
      <c r="D150" s="14" t="s">
        <v>1025</v>
      </c>
      <c r="E150" s="14" t="s">
        <v>2911</v>
      </c>
      <c r="F150" s="14" t="s">
        <v>3611</v>
      </c>
      <c r="G150" s="14" t="s">
        <v>4064</v>
      </c>
    </row>
    <row r="151" spans="1:7" ht="29" x14ac:dyDescent="0.35">
      <c r="A151" s="14" t="s">
        <v>1219</v>
      </c>
      <c r="B151" s="14" t="s">
        <v>3767</v>
      </c>
      <c r="C151" s="14" t="s">
        <v>1222</v>
      </c>
      <c r="D151" s="14" t="s">
        <v>1025</v>
      </c>
      <c r="E151" s="14" t="s">
        <v>2911</v>
      </c>
      <c r="F151" s="14" t="s">
        <v>3611</v>
      </c>
      <c r="G151" s="14" t="s">
        <v>4064</v>
      </c>
    </row>
    <row r="152" spans="1:7" ht="29" x14ac:dyDescent="0.35">
      <c r="A152" s="14" t="s">
        <v>1429</v>
      </c>
      <c r="B152" s="14" t="s">
        <v>3767</v>
      </c>
      <c r="C152" s="14" t="s">
        <v>1432</v>
      </c>
      <c r="D152" s="14" t="s">
        <v>1050</v>
      </c>
      <c r="E152" s="14" t="s">
        <v>3611</v>
      </c>
      <c r="F152" s="14" t="s">
        <v>3611</v>
      </c>
      <c r="G152" s="14" t="s">
        <v>4064</v>
      </c>
    </row>
    <row r="153" spans="1:7" ht="29" x14ac:dyDescent="0.35">
      <c r="A153" s="14" t="s">
        <v>1561</v>
      </c>
      <c r="B153" s="14" t="s">
        <v>3767</v>
      </c>
      <c r="C153" s="14" t="s">
        <v>1565</v>
      </c>
      <c r="D153" s="14" t="s">
        <v>1025</v>
      </c>
      <c r="E153" s="14" t="s">
        <v>3760</v>
      </c>
      <c r="F153" s="14" t="s">
        <v>3611</v>
      </c>
      <c r="G153" s="14" t="s">
        <v>4064</v>
      </c>
    </row>
    <row r="154" spans="1:7" ht="29" x14ac:dyDescent="0.35">
      <c r="A154" s="14" t="s">
        <v>1586</v>
      </c>
      <c r="B154" s="14" t="s">
        <v>3767</v>
      </c>
      <c r="C154" s="14" t="s">
        <v>1565</v>
      </c>
      <c r="D154" s="14" t="s">
        <v>1025</v>
      </c>
      <c r="E154" s="14" t="s">
        <v>3760</v>
      </c>
      <c r="F154" s="14" t="s">
        <v>3611</v>
      </c>
      <c r="G154" s="14" t="s">
        <v>4064</v>
      </c>
    </row>
    <row r="155" spans="1:7" ht="29" x14ac:dyDescent="0.35">
      <c r="A155" s="14" t="s">
        <v>1843</v>
      </c>
      <c r="B155" s="14" t="s">
        <v>3767</v>
      </c>
      <c r="C155" s="14" t="s">
        <v>1853</v>
      </c>
      <c r="D155" s="14" t="s">
        <v>1050</v>
      </c>
      <c r="E155" s="14" t="s">
        <v>3611</v>
      </c>
      <c r="F155" s="14" t="s">
        <v>3611</v>
      </c>
      <c r="G155" s="14" t="s">
        <v>4064</v>
      </c>
    </row>
    <row r="156" spans="1:7" ht="29" x14ac:dyDescent="0.35">
      <c r="A156" s="14" t="s">
        <v>1577</v>
      </c>
      <c r="B156" s="14" t="s">
        <v>3767</v>
      </c>
      <c r="C156" s="14" t="s">
        <v>1582</v>
      </c>
      <c r="D156" s="14" t="s">
        <v>1025</v>
      </c>
      <c r="E156" s="14" t="s">
        <v>3760</v>
      </c>
      <c r="F156" s="14" t="s">
        <v>3611</v>
      </c>
      <c r="G156" s="14" t="s">
        <v>4064</v>
      </c>
    </row>
    <row r="157" spans="1:7" ht="29" x14ac:dyDescent="0.35">
      <c r="A157" s="14" t="s">
        <v>1207</v>
      </c>
      <c r="B157" s="14" t="s">
        <v>3767</v>
      </c>
      <c r="C157" s="14" t="s">
        <v>1210</v>
      </c>
      <c r="D157" s="14" t="s">
        <v>1050</v>
      </c>
      <c r="E157" s="14" t="s">
        <v>3611</v>
      </c>
      <c r="F157" s="14" t="s">
        <v>3611</v>
      </c>
      <c r="G157" s="14" t="s">
        <v>4064</v>
      </c>
    </row>
    <row r="158" spans="1:7" ht="29" x14ac:dyDescent="0.35">
      <c r="A158" s="14" t="s">
        <v>1913</v>
      </c>
      <c r="B158" s="14" t="s">
        <v>3767</v>
      </c>
      <c r="C158" s="14" t="s">
        <v>1917</v>
      </c>
      <c r="D158" s="14" t="s">
        <v>1025</v>
      </c>
      <c r="E158" s="14" t="s">
        <v>3760</v>
      </c>
      <c r="F158" s="14" t="s">
        <v>3611</v>
      </c>
      <c r="G158" s="14" t="s">
        <v>4064</v>
      </c>
    </row>
    <row r="159" spans="1:7" ht="29" x14ac:dyDescent="0.35">
      <c r="A159" s="14" t="s">
        <v>1304</v>
      </c>
      <c r="B159" s="14" t="s">
        <v>3767</v>
      </c>
      <c r="C159" s="14" t="s">
        <v>1307</v>
      </c>
      <c r="D159" s="14" t="s">
        <v>1025</v>
      </c>
      <c r="E159" s="14" t="s">
        <v>3760</v>
      </c>
      <c r="F159" s="14" t="s">
        <v>3611</v>
      </c>
      <c r="G159" s="14" t="s">
        <v>4064</v>
      </c>
    </row>
    <row r="160" spans="1:7" ht="43.5" x14ac:dyDescent="0.35">
      <c r="A160" s="14" t="s">
        <v>1835</v>
      </c>
      <c r="B160" s="14" t="s">
        <v>3767</v>
      </c>
      <c r="C160" s="14" t="s">
        <v>1839</v>
      </c>
      <c r="D160" s="14" t="s">
        <v>1048</v>
      </c>
      <c r="E160" s="14" t="s">
        <v>3611</v>
      </c>
      <c r="F160" s="14" t="s">
        <v>2911</v>
      </c>
      <c r="G160" s="14" t="s">
        <v>4064</v>
      </c>
    </row>
    <row r="161" spans="1:7" ht="29" x14ac:dyDescent="0.35">
      <c r="A161" s="14" t="s">
        <v>1511</v>
      </c>
      <c r="B161" s="14" t="s">
        <v>3767</v>
      </c>
      <c r="C161" s="14" t="s">
        <v>1514</v>
      </c>
      <c r="D161" s="14" t="s">
        <v>1025</v>
      </c>
      <c r="E161" s="14" t="s">
        <v>3760</v>
      </c>
      <c r="F161" s="14" t="s">
        <v>3611</v>
      </c>
      <c r="G161" s="14" t="s">
        <v>4064</v>
      </c>
    </row>
    <row r="162" spans="1:7" ht="29" x14ac:dyDescent="0.35">
      <c r="A162" s="14" t="s">
        <v>1405</v>
      </c>
      <c r="B162" s="14" t="s">
        <v>3767</v>
      </c>
      <c r="C162" s="14" t="s">
        <v>1410</v>
      </c>
      <c r="D162" s="14" t="s">
        <v>1025</v>
      </c>
      <c r="E162" s="14" t="s">
        <v>3760</v>
      </c>
      <c r="F162" s="14" t="s">
        <v>3611</v>
      </c>
      <c r="G162" s="14" t="s">
        <v>4064</v>
      </c>
    </row>
    <row r="163" spans="1:7" ht="29" x14ac:dyDescent="0.35">
      <c r="A163" s="14" t="s">
        <v>1008</v>
      </c>
      <c r="B163" s="14" t="s">
        <v>3767</v>
      </c>
      <c r="C163" s="14" t="s">
        <v>1024</v>
      </c>
      <c r="D163" s="14" t="s">
        <v>1025</v>
      </c>
      <c r="E163" s="14" t="s">
        <v>3760</v>
      </c>
      <c r="F163" s="14" t="s">
        <v>3611</v>
      </c>
      <c r="G163" s="14" t="s">
        <v>4064</v>
      </c>
    </row>
    <row r="164" spans="1:7" ht="29" x14ac:dyDescent="0.35">
      <c r="A164" s="14" t="s">
        <v>1118</v>
      </c>
      <c r="B164" s="14" t="s">
        <v>3767</v>
      </c>
      <c r="C164" s="14" t="s">
        <v>1024</v>
      </c>
      <c r="D164" s="14" t="s">
        <v>1025</v>
      </c>
      <c r="E164" s="14" t="s">
        <v>3760</v>
      </c>
      <c r="F164" s="14" t="s">
        <v>3611</v>
      </c>
      <c r="G164" s="14" t="s">
        <v>4064</v>
      </c>
    </row>
    <row r="165" spans="1:7" ht="29" x14ac:dyDescent="0.35">
      <c r="A165" s="14" t="s">
        <v>1738</v>
      </c>
      <c r="B165" s="14" t="s">
        <v>3767</v>
      </c>
      <c r="C165" s="14" t="s">
        <v>1741</v>
      </c>
      <c r="D165" s="14" t="s">
        <v>1050</v>
      </c>
      <c r="E165" s="14" t="s">
        <v>3611</v>
      </c>
      <c r="F165" s="14" t="s">
        <v>3611</v>
      </c>
      <c r="G165" s="14" t="s">
        <v>4064</v>
      </c>
    </row>
    <row r="166" spans="1:7" ht="29" x14ac:dyDescent="0.35">
      <c r="A166" s="14" t="s">
        <v>1488</v>
      </c>
      <c r="B166" s="14" t="s">
        <v>3767</v>
      </c>
      <c r="C166" s="14" t="s">
        <v>1492</v>
      </c>
      <c r="D166" s="14" t="s">
        <v>1025</v>
      </c>
      <c r="E166" s="14" t="s">
        <v>3760</v>
      </c>
      <c r="F166" s="14" t="s">
        <v>3611</v>
      </c>
      <c r="G166" s="14" t="s">
        <v>4064</v>
      </c>
    </row>
    <row r="167" spans="1:7" ht="29" x14ac:dyDescent="0.35">
      <c r="A167" s="14" t="s">
        <v>1693</v>
      </c>
      <c r="B167" s="14" t="s">
        <v>3767</v>
      </c>
      <c r="C167" s="14" t="s">
        <v>1492</v>
      </c>
      <c r="D167" s="14" t="s">
        <v>1025</v>
      </c>
      <c r="E167" s="14" t="s">
        <v>3760</v>
      </c>
      <c r="F167" s="14" t="s">
        <v>3611</v>
      </c>
      <c r="G167" s="14" t="s">
        <v>4064</v>
      </c>
    </row>
    <row r="168" spans="1:7" ht="43.5" x14ac:dyDescent="0.35">
      <c r="A168" s="14" t="s">
        <v>1412</v>
      </c>
      <c r="B168" s="14" t="s">
        <v>3767</v>
      </c>
      <c r="C168" s="14" t="s">
        <v>1415</v>
      </c>
      <c r="D168" s="14" t="s">
        <v>1048</v>
      </c>
      <c r="E168" s="14" t="s">
        <v>3611</v>
      </c>
      <c r="F168" s="14" t="s">
        <v>2911</v>
      </c>
      <c r="G168" s="14" t="s">
        <v>4064</v>
      </c>
    </row>
    <row r="169" spans="1:7" ht="29" x14ac:dyDescent="0.35">
      <c r="A169" s="14" t="s">
        <v>1681</v>
      </c>
      <c r="B169" s="14" t="s">
        <v>3767</v>
      </c>
      <c r="C169" s="14" t="s">
        <v>1685</v>
      </c>
      <c r="D169" s="14" t="s">
        <v>1050</v>
      </c>
      <c r="E169" s="14" t="s">
        <v>3611</v>
      </c>
      <c r="F169" s="14" t="s">
        <v>3611</v>
      </c>
      <c r="G169" s="14" t="s">
        <v>4064</v>
      </c>
    </row>
    <row r="170" spans="1:7" ht="29" x14ac:dyDescent="0.35">
      <c r="A170" s="14" t="s">
        <v>1593</v>
      </c>
      <c r="B170" s="14" t="s">
        <v>3767</v>
      </c>
      <c r="C170" s="14" t="s">
        <v>1597</v>
      </c>
      <c r="D170" s="14" t="s">
        <v>1023</v>
      </c>
      <c r="E170" s="14" t="s">
        <v>3760</v>
      </c>
      <c r="F170" s="14" t="s">
        <v>3760</v>
      </c>
      <c r="G170" s="14" t="s">
        <v>4064</v>
      </c>
    </row>
    <row r="171" spans="1:7" ht="29" x14ac:dyDescent="0.35">
      <c r="A171" s="14" t="s">
        <v>1272</v>
      </c>
      <c r="B171" s="14" t="s">
        <v>3767</v>
      </c>
      <c r="C171" s="14" t="s">
        <v>1276</v>
      </c>
      <c r="D171" s="14" t="s">
        <v>1025</v>
      </c>
      <c r="E171" s="14" t="s">
        <v>3760</v>
      </c>
      <c r="F171" s="14" t="s">
        <v>3611</v>
      </c>
      <c r="G171" s="14" t="s">
        <v>4064</v>
      </c>
    </row>
    <row r="172" spans="1:7" ht="29" x14ac:dyDescent="0.35">
      <c r="A172" s="14" t="s">
        <v>1300</v>
      </c>
      <c r="B172" s="14" t="s">
        <v>3767</v>
      </c>
      <c r="C172" s="14" t="s">
        <v>1276</v>
      </c>
      <c r="D172" s="14" t="s">
        <v>1025</v>
      </c>
      <c r="E172" s="14" t="s">
        <v>3760</v>
      </c>
      <c r="F172" s="14" t="s">
        <v>3611</v>
      </c>
      <c r="G172" s="14" t="s">
        <v>4064</v>
      </c>
    </row>
    <row r="173" spans="1:7" ht="29" x14ac:dyDescent="0.35">
      <c r="A173" s="14" t="s">
        <v>1567</v>
      </c>
      <c r="B173" s="14" t="s">
        <v>3767</v>
      </c>
      <c r="C173" s="14" t="s">
        <v>1575</v>
      </c>
      <c r="D173" s="14" t="s">
        <v>1025</v>
      </c>
      <c r="E173" s="14" t="s">
        <v>3760</v>
      </c>
      <c r="F173" s="14" t="s">
        <v>3611</v>
      </c>
      <c r="G173" s="14" t="s">
        <v>4064</v>
      </c>
    </row>
    <row r="174" spans="1:7" ht="29" x14ac:dyDescent="0.35">
      <c r="A174" s="14" t="s">
        <v>1704</v>
      </c>
      <c r="B174" s="14" t="s">
        <v>3767</v>
      </c>
      <c r="C174" s="14" t="s">
        <v>1708</v>
      </c>
      <c r="D174" s="14" t="s">
        <v>1050</v>
      </c>
      <c r="E174" s="14" t="s">
        <v>3611</v>
      </c>
      <c r="F174" s="14" t="s">
        <v>3611</v>
      </c>
      <c r="G174" s="14" t="s">
        <v>4064</v>
      </c>
    </row>
    <row r="175" spans="1:7" ht="43.5" x14ac:dyDescent="0.35">
      <c r="A175" s="14" t="s">
        <v>1526</v>
      </c>
      <c r="B175" s="14" t="s">
        <v>3767</v>
      </c>
      <c r="C175" s="14" t="s">
        <v>1529</v>
      </c>
      <c r="D175" s="14" t="s">
        <v>1048</v>
      </c>
      <c r="E175" s="14" t="s">
        <v>3611</v>
      </c>
      <c r="F175" s="14" t="s">
        <v>2911</v>
      </c>
      <c r="G175" s="14" t="s">
        <v>4064</v>
      </c>
    </row>
    <row r="176" spans="1:7" ht="29" x14ac:dyDescent="0.35">
      <c r="A176" s="14" t="s">
        <v>1532</v>
      </c>
      <c r="B176" s="14" t="s">
        <v>3767</v>
      </c>
      <c r="C176" s="14" t="s">
        <v>1537</v>
      </c>
      <c r="D176" s="14" t="s">
        <v>1048</v>
      </c>
      <c r="E176" s="14" t="s">
        <v>3611</v>
      </c>
      <c r="F176" s="14" t="s">
        <v>3760</v>
      </c>
      <c r="G176" s="14" t="s">
        <v>4064</v>
      </c>
    </row>
    <row r="177" spans="1:7" ht="29" x14ac:dyDescent="0.35">
      <c r="A177" s="14" t="s">
        <v>1331</v>
      </c>
      <c r="B177" s="14" t="s">
        <v>3767</v>
      </c>
      <c r="C177" s="14" t="s">
        <v>1315</v>
      </c>
      <c r="D177" s="14" t="s">
        <v>1025</v>
      </c>
      <c r="E177" s="14" t="s">
        <v>3760</v>
      </c>
      <c r="F177" s="14" t="s">
        <v>3611</v>
      </c>
      <c r="G177" s="14" t="s">
        <v>4064</v>
      </c>
    </row>
    <row r="178" spans="1:7" ht="29" x14ac:dyDescent="0.35">
      <c r="A178" s="14" t="s">
        <v>1311</v>
      </c>
      <c r="B178" s="14" t="s">
        <v>3767</v>
      </c>
      <c r="C178" s="14" t="s">
        <v>1315</v>
      </c>
      <c r="D178" s="14" t="s">
        <v>1025</v>
      </c>
      <c r="E178" s="14" t="s">
        <v>3760</v>
      </c>
      <c r="F178" s="14" t="s">
        <v>3611</v>
      </c>
      <c r="G178" s="14" t="s">
        <v>4064</v>
      </c>
    </row>
    <row r="179" spans="1:7" ht="29" x14ac:dyDescent="0.35">
      <c r="A179" s="14" t="s">
        <v>1165</v>
      </c>
      <c r="B179" s="14" t="s">
        <v>3767</v>
      </c>
      <c r="C179" s="14" t="s">
        <v>1168</v>
      </c>
      <c r="D179" s="14" t="s">
        <v>1025</v>
      </c>
      <c r="E179" s="14" t="s">
        <v>3760</v>
      </c>
      <c r="F179" s="14" t="s">
        <v>3611</v>
      </c>
      <c r="G179" s="14" t="s">
        <v>4064</v>
      </c>
    </row>
    <row r="180" spans="1:7" ht="29" x14ac:dyDescent="0.35">
      <c r="A180" s="14" t="s">
        <v>1159</v>
      </c>
      <c r="B180" s="14" t="s">
        <v>3767</v>
      </c>
      <c r="C180" s="14" t="s">
        <v>1163</v>
      </c>
      <c r="D180" s="14" t="s">
        <v>1050</v>
      </c>
      <c r="E180" s="14" t="s">
        <v>3611</v>
      </c>
      <c r="F180" s="14" t="s">
        <v>3611</v>
      </c>
      <c r="G180" s="14" t="s">
        <v>4064</v>
      </c>
    </row>
    <row r="181" spans="1:7" ht="29" x14ac:dyDescent="0.35">
      <c r="A181" s="14" t="s">
        <v>1618</v>
      </c>
      <c r="B181" s="14" t="s">
        <v>3767</v>
      </c>
      <c r="C181" s="14" t="s">
        <v>1623</v>
      </c>
      <c r="D181" s="14" t="s">
        <v>1050</v>
      </c>
      <c r="E181" s="14" t="s">
        <v>3611</v>
      </c>
      <c r="F181" s="14" t="s">
        <v>3611</v>
      </c>
      <c r="G181" s="14" t="s">
        <v>4064</v>
      </c>
    </row>
    <row r="182" spans="1:7" ht="29" x14ac:dyDescent="0.35">
      <c r="A182" s="14" t="s">
        <v>1897</v>
      </c>
      <c r="B182" s="14" t="s">
        <v>3767</v>
      </c>
      <c r="C182" s="14" t="s">
        <v>1900</v>
      </c>
      <c r="D182" s="14" t="s">
        <v>1050</v>
      </c>
      <c r="E182" s="14" t="s">
        <v>3611</v>
      </c>
      <c r="F182" s="14" t="s">
        <v>3611</v>
      </c>
      <c r="G182" s="14" t="s">
        <v>4064</v>
      </c>
    </row>
    <row r="183" spans="1:7" ht="29" x14ac:dyDescent="0.35">
      <c r="A183" s="14" t="s">
        <v>1857</v>
      </c>
      <c r="B183" s="14" t="s">
        <v>3767</v>
      </c>
      <c r="C183" s="14" t="s">
        <v>1861</v>
      </c>
      <c r="D183" s="14" t="s">
        <v>1050</v>
      </c>
      <c r="E183" s="14" t="s">
        <v>3611</v>
      </c>
      <c r="F183" s="14" t="s">
        <v>3611</v>
      </c>
      <c r="G183" s="14" t="s">
        <v>4064</v>
      </c>
    </row>
    <row r="184" spans="1:7" ht="29" x14ac:dyDescent="0.35">
      <c r="A184" s="14" t="s">
        <v>1285</v>
      </c>
      <c r="B184" s="14" t="s">
        <v>3767</v>
      </c>
      <c r="C184" s="14" t="s">
        <v>1178</v>
      </c>
      <c r="D184" s="14" t="s">
        <v>1025</v>
      </c>
      <c r="E184" s="14" t="s">
        <v>3760</v>
      </c>
      <c r="F184" s="14" t="s">
        <v>3611</v>
      </c>
      <c r="G184" s="14" t="s">
        <v>4064</v>
      </c>
    </row>
    <row r="185" spans="1:7" ht="29" x14ac:dyDescent="0.35">
      <c r="A185" s="14" t="s">
        <v>1175</v>
      </c>
      <c r="B185" s="14" t="s">
        <v>3767</v>
      </c>
      <c r="C185" s="14" t="s">
        <v>1178</v>
      </c>
      <c r="D185" s="14" t="s">
        <v>1025</v>
      </c>
      <c r="E185" s="14" t="s">
        <v>3760</v>
      </c>
      <c r="F185" s="14" t="s">
        <v>3611</v>
      </c>
      <c r="G185" s="14" t="s">
        <v>4064</v>
      </c>
    </row>
    <row r="186" spans="1:7" ht="29" x14ac:dyDescent="0.35">
      <c r="A186" s="14" t="s">
        <v>1832</v>
      </c>
      <c r="B186" s="14" t="s">
        <v>3767</v>
      </c>
      <c r="C186" s="14" t="s">
        <v>1108</v>
      </c>
      <c r="D186" s="14" t="s">
        <v>1025</v>
      </c>
      <c r="E186" s="14" t="s">
        <v>3760</v>
      </c>
      <c r="F186" s="14" t="s">
        <v>3611</v>
      </c>
      <c r="G186" s="14" t="s">
        <v>4064</v>
      </c>
    </row>
    <row r="187" spans="1:7" ht="29" x14ac:dyDescent="0.35">
      <c r="A187" s="14" t="s">
        <v>1105</v>
      </c>
      <c r="B187" s="14" t="s">
        <v>3767</v>
      </c>
      <c r="C187" s="14" t="s">
        <v>1108</v>
      </c>
      <c r="D187" s="14" t="s">
        <v>1025</v>
      </c>
      <c r="E187" s="14" t="s">
        <v>3760</v>
      </c>
      <c r="F187" s="14" t="s">
        <v>3611</v>
      </c>
      <c r="G187" s="14" t="s">
        <v>4064</v>
      </c>
    </row>
    <row r="188" spans="1:7" ht="29" x14ac:dyDescent="0.35">
      <c r="A188" s="14" t="s">
        <v>1793</v>
      </c>
      <c r="B188" s="14" t="s">
        <v>3767</v>
      </c>
      <c r="C188" s="14" t="s">
        <v>1797</v>
      </c>
      <c r="D188" s="14" t="s">
        <v>1025</v>
      </c>
      <c r="E188" s="14" t="s">
        <v>2911</v>
      </c>
      <c r="F188" s="14" t="s">
        <v>3611</v>
      </c>
      <c r="G188" s="14" t="s">
        <v>4064</v>
      </c>
    </row>
    <row r="189" spans="1:7" ht="29" x14ac:dyDescent="0.35">
      <c r="A189" s="14" t="s">
        <v>1551</v>
      </c>
      <c r="B189" s="14" t="s">
        <v>3767</v>
      </c>
      <c r="C189" s="14" t="s">
        <v>1554</v>
      </c>
      <c r="D189" s="14" t="s">
        <v>1048</v>
      </c>
      <c r="E189" s="14" t="s">
        <v>3611</v>
      </c>
      <c r="F189" s="14" t="s">
        <v>3760</v>
      </c>
      <c r="G189" s="14" t="s">
        <v>4064</v>
      </c>
    </row>
    <row r="190" spans="1:7" ht="29" x14ac:dyDescent="0.35">
      <c r="A190" s="14" t="s">
        <v>1180</v>
      </c>
      <c r="B190" s="14" t="s">
        <v>3767</v>
      </c>
      <c r="C190" s="14" t="s">
        <v>1183</v>
      </c>
      <c r="D190" s="14" t="s">
        <v>1025</v>
      </c>
      <c r="E190" s="14" t="s">
        <v>3760</v>
      </c>
      <c r="F190" s="14" t="s">
        <v>3611</v>
      </c>
      <c r="G190" s="14" t="s">
        <v>4064</v>
      </c>
    </row>
    <row r="191" spans="1:7" ht="29" x14ac:dyDescent="0.35">
      <c r="A191" s="14" t="s">
        <v>1288</v>
      </c>
      <c r="B191" s="14" t="s">
        <v>3767</v>
      </c>
      <c r="C191" s="14" t="s">
        <v>1183</v>
      </c>
      <c r="D191" s="14" t="s">
        <v>1025</v>
      </c>
      <c r="E191" s="14" t="s">
        <v>3760</v>
      </c>
      <c r="F191" s="14" t="s">
        <v>3611</v>
      </c>
      <c r="G191" s="14" t="s">
        <v>4064</v>
      </c>
    </row>
    <row r="192" spans="1:7" ht="29" x14ac:dyDescent="0.35">
      <c r="A192" s="14" t="s">
        <v>1267</v>
      </c>
      <c r="B192" s="14" t="s">
        <v>3767</v>
      </c>
      <c r="C192" s="14" t="s">
        <v>1270</v>
      </c>
      <c r="D192" s="14" t="s">
        <v>1050</v>
      </c>
      <c r="E192" s="14" t="s">
        <v>3611</v>
      </c>
      <c r="F192" s="14" t="s">
        <v>3611</v>
      </c>
      <c r="G192" s="14" t="s">
        <v>4064</v>
      </c>
    </row>
    <row r="193" spans="1:7" ht="29" x14ac:dyDescent="0.35">
      <c r="A193" s="14" t="s">
        <v>1655</v>
      </c>
      <c r="B193" s="14" t="s">
        <v>3767</v>
      </c>
      <c r="C193" s="14" t="s">
        <v>1658</v>
      </c>
      <c r="D193" s="14" t="s">
        <v>1050</v>
      </c>
      <c r="E193" s="14" t="s">
        <v>3611</v>
      </c>
      <c r="F193" s="14" t="s">
        <v>3611</v>
      </c>
      <c r="G193" s="14" t="s">
        <v>4064</v>
      </c>
    </row>
    <row r="194" spans="1:7" ht="29" x14ac:dyDescent="0.35">
      <c r="A194" s="14" t="s">
        <v>1190</v>
      </c>
      <c r="B194" s="14" t="s">
        <v>3767</v>
      </c>
      <c r="C194" s="14" t="s">
        <v>1194</v>
      </c>
      <c r="D194" s="14" t="s">
        <v>1048</v>
      </c>
      <c r="E194" s="14" t="s">
        <v>3611</v>
      </c>
      <c r="F194" s="14" t="s">
        <v>3760</v>
      </c>
      <c r="G194" s="14" t="s">
        <v>4064</v>
      </c>
    </row>
    <row r="195" spans="1:7" ht="29" x14ac:dyDescent="0.35">
      <c r="A195" s="14" t="s">
        <v>1339</v>
      </c>
      <c r="B195" s="14" t="s">
        <v>3767</v>
      </c>
      <c r="C195" s="14" t="s">
        <v>1343</v>
      </c>
      <c r="D195" s="14" t="s">
        <v>1050</v>
      </c>
      <c r="E195" s="14" t="s">
        <v>3611</v>
      </c>
      <c r="F195" s="14" t="s">
        <v>3611</v>
      </c>
      <c r="G195" s="14" t="s">
        <v>4064</v>
      </c>
    </row>
    <row r="196" spans="1:7" ht="29" x14ac:dyDescent="0.35">
      <c r="A196" s="14" t="s">
        <v>1376</v>
      </c>
      <c r="B196" s="14" t="s">
        <v>3767</v>
      </c>
      <c r="C196" s="14" t="s">
        <v>1380</v>
      </c>
      <c r="D196" s="14" t="s">
        <v>1048</v>
      </c>
      <c r="E196" s="14" t="s">
        <v>3611</v>
      </c>
      <c r="F196" s="14" t="s">
        <v>3760</v>
      </c>
      <c r="G196" s="14" t="s">
        <v>4064</v>
      </c>
    </row>
    <row r="197" spans="1:7" ht="29" x14ac:dyDescent="0.35">
      <c r="A197" s="14" t="s">
        <v>1755</v>
      </c>
      <c r="B197" s="14" t="s">
        <v>3767</v>
      </c>
      <c r="C197" s="14" t="s">
        <v>1758</v>
      </c>
      <c r="D197" s="14" t="s">
        <v>1050</v>
      </c>
      <c r="E197" s="14" t="s">
        <v>3611</v>
      </c>
      <c r="F197" s="14" t="s">
        <v>3611</v>
      </c>
      <c r="G197" s="14" t="s">
        <v>4064</v>
      </c>
    </row>
    <row r="198" spans="1:7" ht="29" x14ac:dyDescent="0.35">
      <c r="A198" s="14" t="s">
        <v>1743</v>
      </c>
      <c r="B198" s="14" t="s">
        <v>3767</v>
      </c>
      <c r="C198" s="14" t="s">
        <v>1746</v>
      </c>
      <c r="D198" s="14" t="s">
        <v>1050</v>
      </c>
      <c r="E198" s="14" t="s">
        <v>3611</v>
      </c>
      <c r="F198" s="14" t="s">
        <v>3611</v>
      </c>
      <c r="G198" s="14" t="s">
        <v>4064</v>
      </c>
    </row>
    <row r="199" spans="1:7" ht="29" x14ac:dyDescent="0.35">
      <c r="A199" s="14" t="s">
        <v>1317</v>
      </c>
      <c r="B199" s="14" t="s">
        <v>3767</v>
      </c>
      <c r="C199" s="14" t="s">
        <v>1320</v>
      </c>
      <c r="D199" s="14" t="s">
        <v>1050</v>
      </c>
      <c r="E199" s="14" t="s">
        <v>3611</v>
      </c>
      <c r="F199" s="14" t="s">
        <v>3611</v>
      </c>
      <c r="G199" s="14" t="s">
        <v>4064</v>
      </c>
    </row>
    <row r="200" spans="1:7" ht="29" x14ac:dyDescent="0.35">
      <c r="A200" s="14" t="s">
        <v>1733</v>
      </c>
      <c r="B200" s="14" t="s">
        <v>3767</v>
      </c>
      <c r="C200" s="14" t="s">
        <v>1736</v>
      </c>
      <c r="D200" s="14" t="s">
        <v>1050</v>
      </c>
      <c r="E200" s="14" t="s">
        <v>3611</v>
      </c>
      <c r="F200" s="14" t="s">
        <v>3611</v>
      </c>
      <c r="G200" s="14" t="s">
        <v>4064</v>
      </c>
    </row>
    <row r="201" spans="1:7" ht="29" x14ac:dyDescent="0.35">
      <c r="A201" s="14" t="s">
        <v>1468</v>
      </c>
      <c r="B201" s="14" t="s">
        <v>3767</v>
      </c>
      <c r="C201" s="14" t="s">
        <v>1471</v>
      </c>
      <c r="D201" s="14" t="s">
        <v>1050</v>
      </c>
      <c r="E201" s="14" t="s">
        <v>3611</v>
      </c>
      <c r="F201" s="14" t="s">
        <v>3611</v>
      </c>
      <c r="G201" s="14" t="s">
        <v>4064</v>
      </c>
    </row>
    <row r="202" spans="1:7" ht="29" x14ac:dyDescent="0.35">
      <c r="A202" s="14" t="s">
        <v>1625</v>
      </c>
      <c r="B202" s="14" t="s">
        <v>3767</v>
      </c>
      <c r="C202" s="14" t="s">
        <v>1632</v>
      </c>
      <c r="D202" s="14" t="s">
        <v>1050</v>
      </c>
      <c r="E202" s="14" t="s">
        <v>3611</v>
      </c>
      <c r="F202" s="14" t="s">
        <v>3611</v>
      </c>
      <c r="G202" s="14" t="s">
        <v>4064</v>
      </c>
    </row>
    <row r="203" spans="1:7" ht="29" x14ac:dyDescent="0.35">
      <c r="A203" s="14" t="s">
        <v>1444</v>
      </c>
      <c r="B203" s="14" t="s">
        <v>3767</v>
      </c>
      <c r="C203" s="14" t="s">
        <v>1449</v>
      </c>
      <c r="D203" s="14" t="s">
        <v>1050</v>
      </c>
      <c r="E203" s="14" t="s">
        <v>3611</v>
      </c>
      <c r="F203" s="14" t="s">
        <v>3611</v>
      </c>
      <c r="G203" s="14" t="s">
        <v>4064</v>
      </c>
    </row>
    <row r="204" spans="1:7" ht="29" x14ac:dyDescent="0.35">
      <c r="A204" s="14" t="s">
        <v>1212</v>
      </c>
      <c r="B204" s="14" t="s">
        <v>3767</v>
      </c>
      <c r="C204" s="14" t="s">
        <v>1217</v>
      </c>
      <c r="D204" s="14" t="s">
        <v>1050</v>
      </c>
      <c r="E204" s="14" t="s">
        <v>3611</v>
      </c>
      <c r="F204" s="14" t="s">
        <v>3611</v>
      </c>
      <c r="G204" s="14" t="s">
        <v>4064</v>
      </c>
    </row>
    <row r="205" spans="1:7" ht="29" x14ac:dyDescent="0.35">
      <c r="A205" s="14" t="s">
        <v>1436</v>
      </c>
      <c r="B205" s="14" t="s">
        <v>3767</v>
      </c>
      <c r="C205" s="14" t="s">
        <v>1439</v>
      </c>
      <c r="D205" s="14" t="s">
        <v>1048</v>
      </c>
      <c r="E205" s="14" t="s">
        <v>3611</v>
      </c>
      <c r="F205" s="14" t="s">
        <v>3760</v>
      </c>
      <c r="G205" s="14" t="s">
        <v>4064</v>
      </c>
    </row>
    <row r="206" spans="1:7" ht="29" x14ac:dyDescent="0.35">
      <c r="A206" s="14" t="s">
        <v>1253</v>
      </c>
      <c r="B206" s="14" t="s">
        <v>3767</v>
      </c>
      <c r="C206" s="14" t="s">
        <v>1256</v>
      </c>
      <c r="D206" s="14" t="s">
        <v>1050</v>
      </c>
      <c r="E206" s="14" t="s">
        <v>3611</v>
      </c>
      <c r="F206" s="14" t="s">
        <v>3611</v>
      </c>
      <c r="G206" s="14" t="s">
        <v>4064</v>
      </c>
    </row>
    <row r="207" spans="1:7" ht="29" x14ac:dyDescent="0.35">
      <c r="A207" s="14" t="s">
        <v>1126</v>
      </c>
      <c r="B207" s="14" t="s">
        <v>3767</v>
      </c>
      <c r="C207" s="14" t="s">
        <v>1132</v>
      </c>
      <c r="D207" s="14" t="s">
        <v>1050</v>
      </c>
      <c r="E207" s="14" t="s">
        <v>3611</v>
      </c>
      <c r="F207" s="14" t="s">
        <v>3611</v>
      </c>
      <c r="G207" s="14" t="s">
        <v>4064</v>
      </c>
    </row>
    <row r="208" spans="1:7" ht="29" x14ac:dyDescent="0.35">
      <c r="A208" s="14" t="s">
        <v>1388</v>
      </c>
      <c r="B208" s="14" t="s">
        <v>3767</v>
      </c>
      <c r="C208" s="14" t="s">
        <v>1391</v>
      </c>
      <c r="D208" s="14" t="s">
        <v>1050</v>
      </c>
      <c r="E208" s="14" t="s">
        <v>3611</v>
      </c>
      <c r="F208" s="14" t="s">
        <v>3611</v>
      </c>
      <c r="G208" s="14" t="s">
        <v>4064</v>
      </c>
    </row>
    <row r="209" spans="1:7" ht="29" x14ac:dyDescent="0.35">
      <c r="A209" s="14" t="s">
        <v>1725</v>
      </c>
      <c r="B209" s="14" t="s">
        <v>3767</v>
      </c>
      <c r="C209" s="14" t="s">
        <v>1728</v>
      </c>
      <c r="D209" s="14" t="s">
        <v>1050</v>
      </c>
      <c r="E209" s="14" t="s">
        <v>3611</v>
      </c>
      <c r="F209" s="14" t="s">
        <v>3611</v>
      </c>
      <c r="G209" s="14" t="s">
        <v>4064</v>
      </c>
    </row>
    <row r="210" spans="1:7" ht="29" x14ac:dyDescent="0.35">
      <c r="A210" s="14" t="s">
        <v>1902</v>
      </c>
      <c r="B210" s="14" t="s">
        <v>3767</v>
      </c>
      <c r="C210" s="14" t="s">
        <v>1906</v>
      </c>
      <c r="D210" s="14" t="s">
        <v>1050</v>
      </c>
      <c r="E210" s="14" t="s">
        <v>3611</v>
      </c>
      <c r="F210" s="14" t="s">
        <v>3611</v>
      </c>
      <c r="G210" s="14" t="s">
        <v>4064</v>
      </c>
    </row>
    <row r="211" spans="1:7" ht="29" x14ac:dyDescent="0.35">
      <c r="A211" s="14" t="s">
        <v>1715</v>
      </c>
      <c r="B211" s="14" t="s">
        <v>3767</v>
      </c>
      <c r="C211" s="14" t="s">
        <v>1718</v>
      </c>
      <c r="D211" s="14" t="s">
        <v>1048</v>
      </c>
      <c r="E211" s="14" t="s">
        <v>3611</v>
      </c>
      <c r="F211" s="14" t="s">
        <v>3760</v>
      </c>
      <c r="G211" s="14" t="s">
        <v>4064</v>
      </c>
    </row>
    <row r="212" spans="1:7" ht="29" x14ac:dyDescent="0.35">
      <c r="A212" s="14" t="s">
        <v>1322</v>
      </c>
      <c r="B212" s="14" t="s">
        <v>3767</v>
      </c>
      <c r="C212" s="14" t="s">
        <v>1327</v>
      </c>
      <c r="D212" s="14" t="s">
        <v>1025</v>
      </c>
      <c r="E212" s="14" t="s">
        <v>3760</v>
      </c>
      <c r="F212" s="14" t="s">
        <v>3611</v>
      </c>
      <c r="G212" s="14" t="s">
        <v>4064</v>
      </c>
    </row>
    <row r="213" spans="1:7" ht="29" x14ac:dyDescent="0.35">
      <c r="A213" s="14" t="s">
        <v>1294</v>
      </c>
      <c r="B213" s="14" t="s">
        <v>3767</v>
      </c>
      <c r="C213" s="14" t="s">
        <v>1298</v>
      </c>
      <c r="D213" s="14" t="s">
        <v>1050</v>
      </c>
      <c r="E213" s="14" t="s">
        <v>3611</v>
      </c>
      <c r="F213" s="14" t="s">
        <v>3611</v>
      </c>
      <c r="G213" s="14" t="s">
        <v>4064</v>
      </c>
    </row>
    <row r="214" spans="1:7" ht="29" x14ac:dyDescent="0.35">
      <c r="A214" s="14" t="s">
        <v>1799</v>
      </c>
      <c r="B214" s="14" t="s">
        <v>3767</v>
      </c>
      <c r="C214" s="14" t="s">
        <v>1802</v>
      </c>
      <c r="D214" s="14" t="s">
        <v>1048</v>
      </c>
      <c r="E214" s="14" t="s">
        <v>3611</v>
      </c>
      <c r="F214" s="14" t="s">
        <v>3760</v>
      </c>
      <c r="G214" s="14" t="s">
        <v>4064</v>
      </c>
    </row>
    <row r="215" spans="1:7" ht="29" x14ac:dyDescent="0.35">
      <c r="A215" s="14" t="s">
        <v>1922</v>
      </c>
      <c r="B215" s="14" t="s">
        <v>3767</v>
      </c>
      <c r="C215" s="14" t="s">
        <v>1925</v>
      </c>
      <c r="D215" s="14" t="s">
        <v>1050</v>
      </c>
      <c r="E215" s="14" t="s">
        <v>3611</v>
      </c>
      <c r="F215" s="14" t="s">
        <v>3611</v>
      </c>
      <c r="G215" s="14" t="s">
        <v>4064</v>
      </c>
    </row>
    <row r="216" spans="1:7" ht="29" x14ac:dyDescent="0.35">
      <c r="A216" s="14" t="s">
        <v>1770</v>
      </c>
      <c r="B216" s="14" t="s">
        <v>3767</v>
      </c>
      <c r="C216" s="14" t="s">
        <v>1773</v>
      </c>
      <c r="D216" s="14" t="s">
        <v>1050</v>
      </c>
      <c r="E216" s="14" t="s">
        <v>3611</v>
      </c>
      <c r="F216" s="14" t="s">
        <v>3611</v>
      </c>
      <c r="G216" s="14" t="s">
        <v>4064</v>
      </c>
    </row>
    <row r="217" spans="1:7" ht="29" x14ac:dyDescent="0.35">
      <c r="A217" s="14" t="s">
        <v>1607</v>
      </c>
      <c r="B217" s="14" t="s">
        <v>3767</v>
      </c>
      <c r="C217" s="14" t="s">
        <v>1610</v>
      </c>
      <c r="D217" s="14" t="s">
        <v>1048</v>
      </c>
      <c r="E217" s="14" t="s">
        <v>3611</v>
      </c>
      <c r="F217" s="14" t="s">
        <v>3760</v>
      </c>
      <c r="G217" s="14" t="s">
        <v>4064</v>
      </c>
    </row>
    <row r="218" spans="1:7" ht="29" x14ac:dyDescent="0.35">
      <c r="A218" s="14" t="s">
        <v>1827</v>
      </c>
      <c r="B218" s="14" t="s">
        <v>3767</v>
      </c>
      <c r="C218" s="14" t="s">
        <v>1830</v>
      </c>
      <c r="D218" s="14" t="s">
        <v>1050</v>
      </c>
      <c r="E218" s="14" t="s">
        <v>3611</v>
      </c>
      <c r="F218" s="14" t="s">
        <v>3611</v>
      </c>
      <c r="G218" s="14" t="s">
        <v>4064</v>
      </c>
    </row>
    <row r="219" spans="1:7" ht="29" x14ac:dyDescent="0.35">
      <c r="A219" s="14" t="s">
        <v>1278</v>
      </c>
      <c r="B219" s="14" t="s">
        <v>3767</v>
      </c>
      <c r="C219" s="14" t="s">
        <v>1283</v>
      </c>
      <c r="D219" s="14" t="s">
        <v>1050</v>
      </c>
      <c r="E219" s="14" t="s">
        <v>3611</v>
      </c>
      <c r="F219" s="14" t="s">
        <v>3611</v>
      </c>
      <c r="G219" s="14" t="s">
        <v>4064</v>
      </c>
    </row>
    <row r="220" spans="1:7" ht="29" x14ac:dyDescent="0.35">
      <c r="A220" s="14" t="s">
        <v>1042</v>
      </c>
      <c r="B220" s="14" t="s">
        <v>3767</v>
      </c>
      <c r="C220" s="14" t="s">
        <v>1049</v>
      </c>
      <c r="D220" s="14" t="s">
        <v>1050</v>
      </c>
      <c r="E220" s="14" t="s">
        <v>3611</v>
      </c>
      <c r="F220" s="14" t="s">
        <v>3611</v>
      </c>
      <c r="G220" s="14" t="s">
        <v>4064</v>
      </c>
    </row>
    <row r="221" spans="1:7" ht="29" x14ac:dyDescent="0.35">
      <c r="A221" s="14" t="s">
        <v>1382</v>
      </c>
      <c r="B221" s="14" t="s">
        <v>3767</v>
      </c>
      <c r="C221" s="14" t="s">
        <v>1386</v>
      </c>
      <c r="D221" s="14" t="s">
        <v>1050</v>
      </c>
      <c r="E221" s="14" t="s">
        <v>3611</v>
      </c>
      <c r="F221" s="14" t="s">
        <v>3611</v>
      </c>
      <c r="G221" s="14" t="s">
        <v>4064</v>
      </c>
    </row>
    <row r="222" spans="1:7" ht="29" x14ac:dyDescent="0.35">
      <c r="A222" s="14" t="s">
        <v>1345</v>
      </c>
      <c r="B222" s="14" t="s">
        <v>3767</v>
      </c>
      <c r="C222" s="14" t="s">
        <v>1348</v>
      </c>
      <c r="D222" s="14" t="s">
        <v>1050</v>
      </c>
      <c r="E222" s="14" t="s">
        <v>3611</v>
      </c>
      <c r="F222" s="14" t="s">
        <v>3611</v>
      </c>
      <c r="G222" s="14" t="s">
        <v>4064</v>
      </c>
    </row>
    <row r="223" spans="1:7" ht="29" x14ac:dyDescent="0.35">
      <c r="A223" s="14" t="s">
        <v>1075</v>
      </c>
      <c r="B223" s="14" t="s">
        <v>3767</v>
      </c>
      <c r="C223" s="14" t="s">
        <v>1083</v>
      </c>
      <c r="D223" s="14" t="s">
        <v>1048</v>
      </c>
      <c r="E223" s="14" t="s">
        <v>3611</v>
      </c>
      <c r="F223" s="14" t="s">
        <v>3760</v>
      </c>
      <c r="G223" s="14" t="s">
        <v>4064</v>
      </c>
    </row>
    <row r="224" spans="1:7" ht="29" x14ac:dyDescent="0.35">
      <c r="A224" s="14" t="s">
        <v>1748</v>
      </c>
      <c r="B224" s="14" t="s">
        <v>3767</v>
      </c>
      <c r="C224" s="14" t="s">
        <v>1753</v>
      </c>
      <c r="D224" s="14" t="s">
        <v>1050</v>
      </c>
      <c r="E224" s="14" t="s">
        <v>3611</v>
      </c>
      <c r="F224" s="14" t="s">
        <v>3611</v>
      </c>
      <c r="G224" s="14" t="s">
        <v>4064</v>
      </c>
    </row>
    <row r="225" spans="1:7" ht="29" x14ac:dyDescent="0.35">
      <c r="A225" s="14" t="s">
        <v>1517</v>
      </c>
      <c r="B225" s="14" t="s">
        <v>3767</v>
      </c>
      <c r="C225" s="14" t="s">
        <v>1524</v>
      </c>
      <c r="D225" s="14" t="s">
        <v>1050</v>
      </c>
      <c r="E225" s="14" t="s">
        <v>3611</v>
      </c>
      <c r="F225" s="14" t="s">
        <v>3611</v>
      </c>
      <c r="G225" s="14" t="s">
        <v>4064</v>
      </c>
    </row>
    <row r="226" spans="1:7" ht="29" x14ac:dyDescent="0.35">
      <c r="A226" s="14" t="s">
        <v>1661</v>
      </c>
      <c r="B226" s="14" t="s">
        <v>3767</v>
      </c>
      <c r="C226" s="14" t="s">
        <v>1664</v>
      </c>
      <c r="D226" s="14" t="s">
        <v>1050</v>
      </c>
      <c r="E226" s="14" t="s">
        <v>3611</v>
      </c>
      <c r="F226" s="14" t="s">
        <v>3611</v>
      </c>
      <c r="G226" s="14" t="s">
        <v>4064</v>
      </c>
    </row>
    <row r="227" spans="1:7" ht="29" x14ac:dyDescent="0.35">
      <c r="A227" s="14" t="s">
        <v>1451</v>
      </c>
      <c r="B227" s="14" t="s">
        <v>3767</v>
      </c>
      <c r="C227" s="14" t="s">
        <v>1458</v>
      </c>
      <c r="D227" s="14" t="s">
        <v>1050</v>
      </c>
      <c r="E227" s="14" t="s">
        <v>3611</v>
      </c>
      <c r="F227" s="14" t="s">
        <v>3611</v>
      </c>
      <c r="G227" s="14" t="s">
        <v>4064</v>
      </c>
    </row>
    <row r="228" spans="1:7" ht="29" x14ac:dyDescent="0.35">
      <c r="A228" s="14" t="s">
        <v>1813</v>
      </c>
      <c r="B228" s="14" t="s">
        <v>3767</v>
      </c>
      <c r="C228" s="14" t="s">
        <v>1816</v>
      </c>
      <c r="D228" s="14" t="s">
        <v>1048</v>
      </c>
      <c r="E228" s="14" t="s">
        <v>3611</v>
      </c>
      <c r="F228" s="14" t="s">
        <v>3760</v>
      </c>
      <c r="G228" s="14" t="s">
        <v>4064</v>
      </c>
    </row>
    <row r="229" spans="1:7" ht="29" x14ac:dyDescent="0.35">
      <c r="A229" s="14" t="s">
        <v>1170</v>
      </c>
      <c r="B229" s="14" t="s">
        <v>3767</v>
      </c>
      <c r="C229" s="14" t="s">
        <v>1173</v>
      </c>
      <c r="D229" s="14" t="s">
        <v>1050</v>
      </c>
      <c r="E229" s="14" t="s">
        <v>3611</v>
      </c>
      <c r="F229" s="14" t="s">
        <v>3611</v>
      </c>
      <c r="G229" s="14" t="s">
        <v>4064</v>
      </c>
    </row>
    <row r="230" spans="1:7" ht="29" x14ac:dyDescent="0.35">
      <c r="A230" s="14" t="s">
        <v>1063</v>
      </c>
      <c r="B230" s="14" t="s">
        <v>3767</v>
      </c>
      <c r="C230" s="14" t="s">
        <v>1072</v>
      </c>
      <c r="D230" s="14" t="s">
        <v>1050</v>
      </c>
      <c r="E230" s="14" t="s">
        <v>3611</v>
      </c>
      <c r="F230" s="14" t="s">
        <v>3611</v>
      </c>
      <c r="G230" s="14" t="s">
        <v>4064</v>
      </c>
    </row>
    <row r="231" spans="1:7" ht="29" x14ac:dyDescent="0.35">
      <c r="A231" s="14" t="s">
        <v>1362</v>
      </c>
      <c r="B231" s="14" t="s">
        <v>3767</v>
      </c>
      <c r="C231" s="14" t="s">
        <v>1365</v>
      </c>
      <c r="D231" s="14" t="s">
        <v>1050</v>
      </c>
      <c r="E231" s="14" t="s">
        <v>3611</v>
      </c>
      <c r="F231" s="14" t="s">
        <v>3611</v>
      </c>
      <c r="G231" s="14" t="s">
        <v>4064</v>
      </c>
    </row>
    <row r="232" spans="1:7" ht="29" x14ac:dyDescent="0.35">
      <c r="A232" s="14" t="s">
        <v>1424</v>
      </c>
      <c r="B232" s="14" t="s">
        <v>3767</v>
      </c>
      <c r="C232" s="14" t="s">
        <v>1427</v>
      </c>
      <c r="D232" s="14" t="s">
        <v>1050</v>
      </c>
      <c r="E232" s="14" t="s">
        <v>3611</v>
      </c>
      <c r="F232" s="14" t="s">
        <v>3611</v>
      </c>
      <c r="G232" s="14" t="s">
        <v>4064</v>
      </c>
    </row>
    <row r="233" spans="1:7" ht="29" x14ac:dyDescent="0.35">
      <c r="A233" s="14" t="s">
        <v>1710</v>
      </c>
      <c r="B233" s="14" t="s">
        <v>3767</v>
      </c>
      <c r="C233" s="14" t="s">
        <v>1713</v>
      </c>
      <c r="D233" s="14" t="s">
        <v>1050</v>
      </c>
      <c r="E233" s="14" t="s">
        <v>3611</v>
      </c>
      <c r="F233" s="14" t="s">
        <v>3611</v>
      </c>
      <c r="G233" s="14" t="s">
        <v>4064</v>
      </c>
    </row>
    <row r="234" spans="1:7" ht="29" x14ac:dyDescent="0.35">
      <c r="A234" s="14" t="s">
        <v>1908</v>
      </c>
      <c r="B234" s="14" t="s">
        <v>3767</v>
      </c>
      <c r="C234" s="14" t="s">
        <v>1911</v>
      </c>
      <c r="D234" s="14" t="s">
        <v>1050</v>
      </c>
      <c r="E234" s="14" t="s">
        <v>3611</v>
      </c>
      <c r="F234" s="14" t="s">
        <v>3611</v>
      </c>
      <c r="G234" s="14" t="s">
        <v>4064</v>
      </c>
    </row>
    <row r="235" spans="1:7" ht="29" x14ac:dyDescent="0.35">
      <c r="A235" s="14" t="s">
        <v>1588</v>
      </c>
      <c r="B235" s="14" t="s">
        <v>3767</v>
      </c>
      <c r="C235" s="14" t="s">
        <v>1591</v>
      </c>
      <c r="D235" s="14" t="s">
        <v>1050</v>
      </c>
      <c r="E235" s="14" t="s">
        <v>3611</v>
      </c>
      <c r="F235" s="14" t="s">
        <v>3611</v>
      </c>
      <c r="G235" s="14" t="s">
        <v>4064</v>
      </c>
    </row>
    <row r="236" spans="1:7" ht="29" x14ac:dyDescent="0.35">
      <c r="A236" s="14" t="s">
        <v>1546</v>
      </c>
      <c r="B236" s="14" t="s">
        <v>3767</v>
      </c>
      <c r="C236" s="14" t="s">
        <v>1549</v>
      </c>
      <c r="D236" s="14" t="s">
        <v>1050</v>
      </c>
      <c r="E236" s="14" t="s">
        <v>3611</v>
      </c>
      <c r="F236" s="14" t="s">
        <v>3611</v>
      </c>
      <c r="G236" s="14" t="s">
        <v>4064</v>
      </c>
    </row>
    <row r="237" spans="1:7" ht="29" x14ac:dyDescent="0.35">
      <c r="A237" s="14" t="s">
        <v>1394</v>
      </c>
      <c r="B237" s="14" t="s">
        <v>3767</v>
      </c>
      <c r="C237" s="14" t="s">
        <v>1401</v>
      </c>
      <c r="D237" s="14" t="s">
        <v>1050</v>
      </c>
      <c r="E237" s="14" t="s">
        <v>3611</v>
      </c>
      <c r="F237" s="14" t="s">
        <v>3611</v>
      </c>
      <c r="G237" s="14" t="s">
        <v>4064</v>
      </c>
    </row>
    <row r="238" spans="1:7" ht="29" x14ac:dyDescent="0.35">
      <c r="A238" s="14" t="s">
        <v>1541</v>
      </c>
      <c r="B238" s="14" t="s">
        <v>3767</v>
      </c>
      <c r="C238" s="14" t="s">
        <v>1544</v>
      </c>
      <c r="D238" s="14" t="s">
        <v>1050</v>
      </c>
      <c r="E238" s="14" t="s">
        <v>3611</v>
      </c>
      <c r="F238" s="14" t="s">
        <v>3611</v>
      </c>
      <c r="G238" s="14" t="s">
        <v>4064</v>
      </c>
    </row>
    <row r="239" spans="1:7" ht="29" x14ac:dyDescent="0.35">
      <c r="A239" s="14" t="s">
        <v>1483</v>
      </c>
      <c r="B239" s="14" t="s">
        <v>3767</v>
      </c>
      <c r="C239" s="14" t="s">
        <v>1486</v>
      </c>
      <c r="D239" s="14" t="s">
        <v>1050</v>
      </c>
      <c r="E239" s="14" t="s">
        <v>3611</v>
      </c>
      <c r="F239" s="14" t="s">
        <v>3611</v>
      </c>
      <c r="G239" s="14" t="s">
        <v>4064</v>
      </c>
    </row>
    <row r="240" spans="1:7" ht="29" x14ac:dyDescent="0.35">
      <c r="A240" s="14" t="s">
        <v>1134</v>
      </c>
      <c r="B240" s="14" t="s">
        <v>3767</v>
      </c>
      <c r="C240" s="14" t="s">
        <v>1137</v>
      </c>
      <c r="D240" s="14" t="s">
        <v>1050</v>
      </c>
      <c r="E240" s="14" t="s">
        <v>3611</v>
      </c>
      <c r="F240" s="14" t="s">
        <v>3611</v>
      </c>
      <c r="G240" s="14" t="s">
        <v>4064</v>
      </c>
    </row>
    <row r="241" spans="1:7" ht="29" x14ac:dyDescent="0.35">
      <c r="A241" s="14" t="s">
        <v>1670</v>
      </c>
      <c r="B241" s="14" t="s">
        <v>3767</v>
      </c>
      <c r="C241" s="14" t="s">
        <v>1673</v>
      </c>
      <c r="D241" s="14" t="s">
        <v>1050</v>
      </c>
      <c r="E241" s="14" t="s">
        <v>3611</v>
      </c>
      <c r="F241" s="14" t="s">
        <v>3611</v>
      </c>
      <c r="G241" s="14" t="s">
        <v>4064</v>
      </c>
    </row>
    <row r="242" spans="1:7" ht="29" x14ac:dyDescent="0.35">
      <c r="A242" s="14" t="s">
        <v>1334</v>
      </c>
      <c r="B242" s="14" t="s">
        <v>3767</v>
      </c>
      <c r="C242" s="14" t="s">
        <v>1337</v>
      </c>
      <c r="D242" s="14" t="s">
        <v>1050</v>
      </c>
      <c r="E242" s="14" t="s">
        <v>3611</v>
      </c>
      <c r="F242" s="14" t="s">
        <v>3611</v>
      </c>
      <c r="G242" s="14" t="s">
        <v>4064</v>
      </c>
    </row>
    <row r="243" spans="1:7" ht="29" x14ac:dyDescent="0.35">
      <c r="A243" s="14" t="s">
        <v>1644</v>
      </c>
      <c r="B243" s="14" t="s">
        <v>3767</v>
      </c>
      <c r="C243" s="14" t="s">
        <v>1647</v>
      </c>
      <c r="D243" s="14" t="s">
        <v>1050</v>
      </c>
      <c r="E243" s="14" t="s">
        <v>3611</v>
      </c>
      <c r="F243" s="14" t="s">
        <v>3611</v>
      </c>
      <c r="G243" s="14" t="s">
        <v>4064</v>
      </c>
    </row>
    <row r="244" spans="1:7" ht="29" x14ac:dyDescent="0.35">
      <c r="A244" s="14" t="s">
        <v>1649</v>
      </c>
      <c r="B244" s="14" t="s">
        <v>3767</v>
      </c>
      <c r="C244" s="14" t="s">
        <v>1653</v>
      </c>
      <c r="D244" s="14" t="s">
        <v>1050</v>
      </c>
      <c r="E244" s="14" t="s">
        <v>3611</v>
      </c>
      <c r="F244" s="14" t="s">
        <v>3611</v>
      </c>
      <c r="G244" s="14" t="s">
        <v>4064</v>
      </c>
    </row>
    <row r="245" spans="1:7" ht="29" x14ac:dyDescent="0.35">
      <c r="A245" s="14" t="s">
        <v>1808</v>
      </c>
      <c r="B245" s="14" t="s">
        <v>3767</v>
      </c>
      <c r="C245" s="14" t="s">
        <v>1811</v>
      </c>
      <c r="D245" s="14" t="s">
        <v>1050</v>
      </c>
      <c r="E245" s="14" t="s">
        <v>3611</v>
      </c>
      <c r="F245" s="14" t="s">
        <v>3611</v>
      </c>
      <c r="G245" s="14" t="s">
        <v>4064</v>
      </c>
    </row>
    <row r="246" spans="1:7" ht="29" x14ac:dyDescent="0.35">
      <c r="A246" s="14" t="s">
        <v>1556</v>
      </c>
      <c r="B246" s="14" t="s">
        <v>3767</v>
      </c>
      <c r="C246" s="14" t="s">
        <v>1559</v>
      </c>
      <c r="D246" s="14" t="s">
        <v>1050</v>
      </c>
      <c r="E246" s="14" t="s">
        <v>3611</v>
      </c>
      <c r="F246" s="14" t="s">
        <v>3611</v>
      </c>
      <c r="G246" s="14" t="s">
        <v>4064</v>
      </c>
    </row>
    <row r="247" spans="1:7" ht="29" x14ac:dyDescent="0.35">
      <c r="A247" s="14" t="s">
        <v>1698</v>
      </c>
      <c r="B247" s="14" t="s">
        <v>3767</v>
      </c>
      <c r="C247" s="14" t="s">
        <v>1702</v>
      </c>
      <c r="D247" s="14" t="s">
        <v>1050</v>
      </c>
      <c r="E247" s="14" t="s">
        <v>3611</v>
      </c>
      <c r="F247" s="14" t="s">
        <v>3611</v>
      </c>
      <c r="G247" s="14" t="s">
        <v>4064</v>
      </c>
    </row>
    <row r="248" spans="1:7" ht="29" x14ac:dyDescent="0.35">
      <c r="A248" s="14" t="s">
        <v>1420</v>
      </c>
      <c r="B248" s="14" t="s">
        <v>3767</v>
      </c>
      <c r="C248" s="14" t="s">
        <v>1422</v>
      </c>
      <c r="D248" s="14" t="s">
        <v>1050</v>
      </c>
      <c r="E248" s="14" t="s">
        <v>3611</v>
      </c>
      <c r="F248" s="14" t="s">
        <v>3611</v>
      </c>
      <c r="G248" s="14" t="s">
        <v>4064</v>
      </c>
    </row>
    <row r="249" spans="1:7" ht="29" x14ac:dyDescent="0.35">
      <c r="A249" s="14" t="s">
        <v>1095</v>
      </c>
      <c r="B249" s="14" t="s">
        <v>3767</v>
      </c>
      <c r="C249" s="14" t="s">
        <v>1102</v>
      </c>
      <c r="D249" s="14" t="s">
        <v>1050</v>
      </c>
      <c r="E249" s="14" t="s">
        <v>3611</v>
      </c>
      <c r="F249" s="14" t="s">
        <v>3611</v>
      </c>
      <c r="G249" s="14" t="s">
        <v>4064</v>
      </c>
    </row>
    <row r="250" spans="1:7" x14ac:dyDescent="0.35">
      <c r="A250" s="14" t="s">
        <v>2509</v>
      </c>
      <c r="B250" s="14" t="s">
        <v>3767</v>
      </c>
      <c r="C250" s="14" t="s">
        <v>1723</v>
      </c>
      <c r="D250" s="14" t="s">
        <v>1025</v>
      </c>
      <c r="E250" s="14" t="s">
        <v>3765</v>
      </c>
      <c r="F250" s="14" t="s">
        <v>3611</v>
      </c>
      <c r="G250" s="14" t="s">
        <v>4064</v>
      </c>
    </row>
    <row r="251" spans="1:7" ht="319" x14ac:dyDescent="0.35">
      <c r="A251" s="14" t="s">
        <v>2531</v>
      </c>
      <c r="B251" s="14" t="s">
        <v>3767</v>
      </c>
      <c r="C251" s="14" t="s">
        <v>1244</v>
      </c>
      <c r="D251" s="14" t="s">
        <v>1023</v>
      </c>
      <c r="E251" s="14" t="s">
        <v>3760</v>
      </c>
      <c r="F251" s="14" t="s">
        <v>4065</v>
      </c>
      <c r="G251" s="14" t="s">
        <v>4064</v>
      </c>
    </row>
    <row r="252" spans="1:7" ht="58" x14ac:dyDescent="0.35">
      <c r="A252" s="14" t="s">
        <v>2681</v>
      </c>
      <c r="B252" s="14" t="s">
        <v>3767</v>
      </c>
      <c r="C252" s="14" t="s">
        <v>1374</v>
      </c>
      <c r="D252" s="14" t="s">
        <v>1023</v>
      </c>
      <c r="E252" s="14" t="s">
        <v>3765</v>
      </c>
      <c r="F252" s="14" t="s">
        <v>3589</v>
      </c>
      <c r="G252" s="14" t="s">
        <v>4064</v>
      </c>
    </row>
    <row r="253" spans="1:7" ht="58" x14ac:dyDescent="0.35">
      <c r="A253" s="14" t="s">
        <v>2635</v>
      </c>
      <c r="B253" s="14" t="s">
        <v>3767</v>
      </c>
      <c r="C253" s="14" t="s">
        <v>1374</v>
      </c>
      <c r="D253" s="14" t="s">
        <v>1023</v>
      </c>
      <c r="E253" s="14" t="s">
        <v>3765</v>
      </c>
      <c r="F253" s="14" t="s">
        <v>3589</v>
      </c>
      <c r="G253" s="14" t="s">
        <v>4064</v>
      </c>
    </row>
    <row r="254" spans="1:7" ht="58" x14ac:dyDescent="0.35">
      <c r="A254" s="14" t="s">
        <v>2620</v>
      </c>
      <c r="B254" s="14" t="s">
        <v>3767</v>
      </c>
      <c r="C254" s="14" t="s">
        <v>1374</v>
      </c>
      <c r="D254" s="14" t="s">
        <v>1023</v>
      </c>
      <c r="E254" s="14" t="s">
        <v>3765</v>
      </c>
      <c r="F254" s="14" t="s">
        <v>3589</v>
      </c>
      <c r="G254" s="14" t="s">
        <v>4064</v>
      </c>
    </row>
    <row r="255" spans="1:7" ht="58" x14ac:dyDescent="0.35">
      <c r="A255" s="14" t="s">
        <v>2634</v>
      </c>
      <c r="B255" s="14" t="s">
        <v>3767</v>
      </c>
      <c r="C255" s="14" t="s">
        <v>1374</v>
      </c>
      <c r="D255" s="14" t="s">
        <v>1023</v>
      </c>
      <c r="E255" s="14" t="s">
        <v>3765</v>
      </c>
      <c r="F255" s="14" t="s">
        <v>3589</v>
      </c>
      <c r="G255" s="14" t="s">
        <v>4064</v>
      </c>
    </row>
    <row r="256" spans="1:7" ht="58" x14ac:dyDescent="0.35">
      <c r="A256" s="14" t="s">
        <v>2680</v>
      </c>
      <c r="B256" s="14" t="s">
        <v>3767</v>
      </c>
      <c r="C256" s="14" t="s">
        <v>1374</v>
      </c>
      <c r="D256" s="14" t="s">
        <v>1023</v>
      </c>
      <c r="E256" s="14" t="s">
        <v>3765</v>
      </c>
      <c r="F256" s="14" t="s">
        <v>3589</v>
      </c>
      <c r="G256" s="14" t="s">
        <v>4064</v>
      </c>
    </row>
    <row r="257" spans="1:7" ht="58" x14ac:dyDescent="0.35">
      <c r="A257" s="14" t="s">
        <v>2675</v>
      </c>
      <c r="B257" s="14" t="s">
        <v>3767</v>
      </c>
      <c r="C257" s="14" t="s">
        <v>1374</v>
      </c>
      <c r="D257" s="14" t="s">
        <v>1023</v>
      </c>
      <c r="E257" s="14" t="s">
        <v>3765</v>
      </c>
      <c r="F257" s="14" t="s">
        <v>3589</v>
      </c>
      <c r="G257" s="14" t="s">
        <v>4064</v>
      </c>
    </row>
    <row r="258" spans="1:7" x14ac:dyDescent="0.35">
      <c r="A258" s="14" t="s">
        <v>2669</v>
      </c>
      <c r="B258" s="14" t="s">
        <v>3767</v>
      </c>
      <c r="C258" s="14" t="s">
        <v>2673</v>
      </c>
      <c r="D258" s="14" t="s">
        <v>1025</v>
      </c>
      <c r="E258" s="14" t="s">
        <v>3765</v>
      </c>
      <c r="F258" s="14" t="s">
        <v>3611</v>
      </c>
      <c r="G258" s="14" t="s">
        <v>4064</v>
      </c>
    </row>
    <row r="259" spans="1:7" ht="29" x14ac:dyDescent="0.35">
      <c r="A259" s="14" t="s">
        <v>2649</v>
      </c>
      <c r="B259" s="14" t="s">
        <v>3767</v>
      </c>
      <c r="C259" s="14" t="s">
        <v>1061</v>
      </c>
      <c r="D259" s="14" t="s">
        <v>1023</v>
      </c>
      <c r="E259" s="14" t="s">
        <v>3589</v>
      </c>
      <c r="F259" s="14" t="s">
        <v>3760</v>
      </c>
      <c r="G259" s="14" t="s">
        <v>4064</v>
      </c>
    </row>
    <row r="260" spans="1:7" ht="29" x14ac:dyDescent="0.35">
      <c r="A260" s="14" t="s">
        <v>2645</v>
      </c>
      <c r="B260" s="14" t="s">
        <v>3767</v>
      </c>
      <c r="C260" s="14" t="s">
        <v>1061</v>
      </c>
      <c r="D260" s="14" t="s">
        <v>1023</v>
      </c>
      <c r="E260" s="14" t="s">
        <v>3589</v>
      </c>
      <c r="F260" s="14" t="s">
        <v>3760</v>
      </c>
      <c r="G260" s="14" t="s">
        <v>4064</v>
      </c>
    </row>
    <row r="261" spans="1:7" ht="29" x14ac:dyDescent="0.35">
      <c r="A261" s="14" t="s">
        <v>2600</v>
      </c>
      <c r="B261" s="14" t="s">
        <v>3767</v>
      </c>
      <c r="C261" s="14" t="s">
        <v>1061</v>
      </c>
      <c r="D261" s="14" t="s">
        <v>1023</v>
      </c>
      <c r="E261" s="14" t="s">
        <v>3589</v>
      </c>
      <c r="F261" s="14" t="s">
        <v>3760</v>
      </c>
      <c r="G261" s="14" t="s">
        <v>4064</v>
      </c>
    </row>
    <row r="262" spans="1:7" ht="29" x14ac:dyDescent="0.35">
      <c r="A262" s="14" t="s">
        <v>2579</v>
      </c>
      <c r="B262" s="14" t="s">
        <v>3767</v>
      </c>
      <c r="C262" s="14" t="s">
        <v>1061</v>
      </c>
      <c r="D262" s="14" t="s">
        <v>1023</v>
      </c>
      <c r="E262" s="14" t="s">
        <v>3589</v>
      </c>
      <c r="F262" s="14" t="s">
        <v>3760</v>
      </c>
      <c r="G262" s="14" t="s">
        <v>4064</v>
      </c>
    </row>
    <row r="263" spans="1:7" x14ac:dyDescent="0.35">
      <c r="A263" s="14" t="s">
        <v>2563</v>
      </c>
      <c r="B263" s="14" t="s">
        <v>3767</v>
      </c>
      <c r="C263" s="14" t="s">
        <v>1188</v>
      </c>
      <c r="D263" s="14" t="s">
        <v>1025</v>
      </c>
      <c r="E263" s="14" t="s">
        <v>2832</v>
      </c>
      <c r="F263" s="14" t="s">
        <v>3611</v>
      </c>
      <c r="G263" s="14" t="s">
        <v>4064</v>
      </c>
    </row>
    <row r="264" spans="1:7" x14ac:dyDescent="0.35">
      <c r="A264" s="14" t="s">
        <v>2454</v>
      </c>
      <c r="B264" s="14" t="s">
        <v>3767</v>
      </c>
      <c r="C264" s="14" t="s">
        <v>1188</v>
      </c>
      <c r="D264" s="14" t="s">
        <v>1025</v>
      </c>
      <c r="E264" s="14" t="s">
        <v>2832</v>
      </c>
      <c r="F264" s="14" t="s">
        <v>3611</v>
      </c>
      <c r="G264" s="14" t="s">
        <v>4064</v>
      </c>
    </row>
    <row r="265" spans="1:7" x14ac:dyDescent="0.35">
      <c r="A265" s="14" t="s">
        <v>2682</v>
      </c>
      <c r="B265" s="14" t="s">
        <v>3767</v>
      </c>
      <c r="C265" s="14" t="s">
        <v>1188</v>
      </c>
      <c r="D265" s="14" t="s">
        <v>1025</v>
      </c>
      <c r="E265" s="14" t="s">
        <v>2832</v>
      </c>
      <c r="F265" s="14" t="s">
        <v>3611</v>
      </c>
      <c r="G265" s="14" t="s">
        <v>4064</v>
      </c>
    </row>
    <row r="266" spans="1:7" x14ac:dyDescent="0.35">
      <c r="A266" s="14" t="s">
        <v>2584</v>
      </c>
      <c r="B266" s="14" t="s">
        <v>3767</v>
      </c>
      <c r="C266" s="14" t="s">
        <v>1188</v>
      </c>
      <c r="D266" s="14" t="s">
        <v>1025</v>
      </c>
      <c r="E266" s="14" t="s">
        <v>2832</v>
      </c>
      <c r="F266" s="14" t="s">
        <v>3611</v>
      </c>
      <c r="G266" s="14" t="s">
        <v>4064</v>
      </c>
    </row>
    <row r="267" spans="1:7" x14ac:dyDescent="0.35">
      <c r="A267" s="14" t="s">
        <v>2436</v>
      </c>
      <c r="B267" s="14" t="s">
        <v>3767</v>
      </c>
      <c r="C267" s="14" t="s">
        <v>2166</v>
      </c>
      <c r="D267" s="14" t="s">
        <v>1025</v>
      </c>
      <c r="E267" s="14" t="s">
        <v>2832</v>
      </c>
      <c r="F267" s="14" t="s">
        <v>3611</v>
      </c>
      <c r="G267" s="14" t="s">
        <v>4064</v>
      </c>
    </row>
    <row r="268" spans="1:7" x14ac:dyDescent="0.35">
      <c r="A268" s="14" t="s">
        <v>2447</v>
      </c>
      <c r="B268" s="14" t="s">
        <v>3767</v>
      </c>
      <c r="C268" s="14" t="s">
        <v>1358</v>
      </c>
      <c r="D268" s="14" t="s">
        <v>1025</v>
      </c>
      <c r="E268" s="14" t="s">
        <v>3589</v>
      </c>
      <c r="F268" s="14" t="s">
        <v>3611</v>
      </c>
      <c r="G268" s="14" t="s">
        <v>4064</v>
      </c>
    </row>
    <row r="269" spans="1:7" ht="72.5" x14ac:dyDescent="0.35">
      <c r="A269" s="14" t="s">
        <v>2693</v>
      </c>
      <c r="B269" s="14" t="s">
        <v>3767</v>
      </c>
      <c r="C269" s="14" t="s">
        <v>1895</v>
      </c>
      <c r="D269" s="14" t="s">
        <v>1048</v>
      </c>
      <c r="E269" s="14" t="s">
        <v>3611</v>
      </c>
      <c r="F269" s="14" t="s">
        <v>2832</v>
      </c>
      <c r="G269" s="14" t="s">
        <v>4064</v>
      </c>
    </row>
    <row r="270" spans="1:7" x14ac:dyDescent="0.35">
      <c r="A270" s="14" t="s">
        <v>2712</v>
      </c>
      <c r="B270" s="14" t="s">
        <v>3767</v>
      </c>
      <c r="C270" s="14" t="s">
        <v>1690</v>
      </c>
      <c r="D270" s="14" t="s">
        <v>1025</v>
      </c>
      <c r="E270" s="14" t="s">
        <v>3760</v>
      </c>
      <c r="F270" s="14" t="s">
        <v>3611</v>
      </c>
      <c r="G270" s="14" t="s">
        <v>4064</v>
      </c>
    </row>
    <row r="271" spans="1:7" x14ac:dyDescent="0.35">
      <c r="A271" s="14" t="s">
        <v>2621</v>
      </c>
      <c r="B271" s="14" t="s">
        <v>3767</v>
      </c>
      <c r="C271" s="14" t="s">
        <v>1261</v>
      </c>
      <c r="D271" s="14" t="s">
        <v>1025</v>
      </c>
      <c r="E271" s="14" t="s">
        <v>3589</v>
      </c>
      <c r="F271" s="14" t="s">
        <v>3611</v>
      </c>
      <c r="G271" s="14" t="s">
        <v>4064</v>
      </c>
    </row>
    <row r="272" spans="1:7" x14ac:dyDescent="0.35">
      <c r="A272" s="14" t="s">
        <v>2523</v>
      </c>
      <c r="B272" s="14" t="s">
        <v>3767</v>
      </c>
      <c r="C272" s="14" t="s">
        <v>1786</v>
      </c>
      <c r="D272" s="14" t="s">
        <v>1025</v>
      </c>
      <c r="E272" s="14" t="s">
        <v>3760</v>
      </c>
      <c r="F272" s="14" t="s">
        <v>3611</v>
      </c>
      <c r="G272" s="14" t="s">
        <v>4064</v>
      </c>
    </row>
    <row r="273" spans="1:7" x14ac:dyDescent="0.35">
      <c r="A273" s="14" t="s">
        <v>2604</v>
      </c>
      <c r="B273" s="14" t="s">
        <v>3767</v>
      </c>
      <c r="C273" s="14" t="s">
        <v>1786</v>
      </c>
      <c r="D273" s="14" t="s">
        <v>1025</v>
      </c>
      <c r="E273" s="14" t="s">
        <v>3760</v>
      </c>
      <c r="F273" s="14" t="s">
        <v>3611</v>
      </c>
      <c r="G273" s="14" t="s">
        <v>4064</v>
      </c>
    </row>
    <row r="274" spans="1:7" x14ac:dyDescent="0.35">
      <c r="A274" s="14" t="s">
        <v>2627</v>
      </c>
      <c r="B274" s="14" t="s">
        <v>3767</v>
      </c>
      <c r="C274" s="14" t="s">
        <v>1353</v>
      </c>
      <c r="D274" s="14" t="s">
        <v>1025</v>
      </c>
      <c r="E274" s="14" t="s">
        <v>2911</v>
      </c>
      <c r="F274" s="14" t="s">
        <v>3611</v>
      </c>
      <c r="G274" s="14" t="s">
        <v>4064</v>
      </c>
    </row>
    <row r="275" spans="1:7" x14ac:dyDescent="0.35">
      <c r="A275" s="14" t="s">
        <v>2456</v>
      </c>
      <c r="B275" s="14" t="s">
        <v>3767</v>
      </c>
      <c r="C275" s="14" t="s">
        <v>1353</v>
      </c>
      <c r="D275" s="14" t="s">
        <v>1025</v>
      </c>
      <c r="E275" s="14" t="s">
        <v>2911</v>
      </c>
      <c r="F275" s="14" t="s">
        <v>3611</v>
      </c>
      <c r="G275" s="14" t="s">
        <v>4064</v>
      </c>
    </row>
    <row r="276" spans="1:7" x14ac:dyDescent="0.35">
      <c r="A276" s="14" t="s">
        <v>2483</v>
      </c>
      <c r="B276" s="14" t="s">
        <v>3767</v>
      </c>
      <c r="C276" s="14" t="s">
        <v>1353</v>
      </c>
      <c r="D276" s="14" t="s">
        <v>1025</v>
      </c>
      <c r="E276" s="14" t="s">
        <v>2911</v>
      </c>
      <c r="F276" s="14" t="s">
        <v>3611</v>
      </c>
      <c r="G276" s="14" t="s">
        <v>4064</v>
      </c>
    </row>
    <row r="277" spans="1:7" x14ac:dyDescent="0.35">
      <c r="A277" s="14" t="s">
        <v>2536</v>
      </c>
      <c r="B277" s="14" t="s">
        <v>3767</v>
      </c>
      <c r="C277" s="14" t="s">
        <v>1464</v>
      </c>
      <c r="D277" s="14" t="s">
        <v>1025</v>
      </c>
      <c r="E277" s="14" t="s">
        <v>2911</v>
      </c>
      <c r="F277" s="14" t="s">
        <v>3611</v>
      </c>
      <c r="G277" s="14" t="s">
        <v>4064</v>
      </c>
    </row>
    <row r="278" spans="1:7" x14ac:dyDescent="0.35">
      <c r="A278" s="14" t="s">
        <v>2515</v>
      </c>
      <c r="B278" s="14" t="s">
        <v>3767</v>
      </c>
      <c r="C278" s="14" t="s">
        <v>1222</v>
      </c>
      <c r="D278" s="14" t="s">
        <v>1025</v>
      </c>
      <c r="E278" s="14" t="s">
        <v>2911</v>
      </c>
      <c r="F278" s="14" t="s">
        <v>3611</v>
      </c>
      <c r="G278" s="14" t="s">
        <v>4064</v>
      </c>
    </row>
    <row r="279" spans="1:7" x14ac:dyDescent="0.35">
      <c r="A279" s="14" t="s">
        <v>2619</v>
      </c>
      <c r="B279" s="14" t="s">
        <v>3767</v>
      </c>
      <c r="C279" s="14" t="s">
        <v>1432</v>
      </c>
      <c r="D279" s="14" t="s">
        <v>1025</v>
      </c>
      <c r="E279" s="14" t="s">
        <v>3760</v>
      </c>
      <c r="F279" s="14" t="s">
        <v>3611</v>
      </c>
      <c r="G279" s="14" t="s">
        <v>4064</v>
      </c>
    </row>
    <row r="280" spans="1:7" x14ac:dyDescent="0.35">
      <c r="A280" s="14" t="s">
        <v>2396</v>
      </c>
      <c r="B280" s="14" t="s">
        <v>3767</v>
      </c>
      <c r="C280" s="14" t="s">
        <v>1565</v>
      </c>
      <c r="D280" s="14" t="s">
        <v>1025</v>
      </c>
      <c r="E280" s="14" t="s">
        <v>3760</v>
      </c>
      <c r="F280" s="14" t="s">
        <v>3611</v>
      </c>
      <c r="G280" s="14" t="s">
        <v>4064</v>
      </c>
    </row>
    <row r="281" spans="1:7" x14ac:dyDescent="0.35">
      <c r="A281" s="14" t="s">
        <v>2403</v>
      </c>
      <c r="B281" s="14" t="s">
        <v>3767</v>
      </c>
      <c r="C281" s="14" t="s">
        <v>1565</v>
      </c>
      <c r="D281" s="14" t="s">
        <v>1025</v>
      </c>
      <c r="E281" s="14" t="s">
        <v>3760</v>
      </c>
      <c r="F281" s="14" t="s">
        <v>3611</v>
      </c>
      <c r="G281" s="14" t="s">
        <v>4064</v>
      </c>
    </row>
    <row r="282" spans="1:7" x14ac:dyDescent="0.35">
      <c r="A282" s="14" t="s">
        <v>2461</v>
      </c>
      <c r="B282" s="14" t="s">
        <v>3767</v>
      </c>
      <c r="C282" s="14" t="s">
        <v>1853</v>
      </c>
      <c r="D282" s="14" t="s">
        <v>1050</v>
      </c>
      <c r="E282" s="14" t="s">
        <v>3611</v>
      </c>
      <c r="F282" s="14" t="s">
        <v>3611</v>
      </c>
      <c r="G282" s="14" t="s">
        <v>4064</v>
      </c>
    </row>
    <row r="283" spans="1:7" x14ac:dyDescent="0.35">
      <c r="A283" s="14" t="s">
        <v>2478</v>
      </c>
      <c r="B283" s="14" t="s">
        <v>3767</v>
      </c>
      <c r="C283" s="14" t="s">
        <v>1582</v>
      </c>
      <c r="D283" s="14" t="s">
        <v>1025</v>
      </c>
      <c r="E283" s="14" t="s">
        <v>3760</v>
      </c>
      <c r="F283" s="14" t="s">
        <v>3611</v>
      </c>
      <c r="G283" s="14" t="s">
        <v>4064</v>
      </c>
    </row>
    <row r="284" spans="1:7" x14ac:dyDescent="0.35">
      <c r="A284" s="14" t="s">
        <v>2721</v>
      </c>
      <c r="B284" s="14" t="s">
        <v>3767</v>
      </c>
      <c r="C284" s="14" t="s">
        <v>1210</v>
      </c>
      <c r="D284" s="14" t="s">
        <v>1050</v>
      </c>
      <c r="E284" s="14" t="s">
        <v>3611</v>
      </c>
      <c r="F284" s="14" t="s">
        <v>3611</v>
      </c>
      <c r="G284" s="14" t="s">
        <v>4064</v>
      </c>
    </row>
    <row r="285" spans="1:7" x14ac:dyDescent="0.35">
      <c r="A285" s="14" t="s">
        <v>2433</v>
      </c>
      <c r="B285" s="14" t="s">
        <v>3767</v>
      </c>
      <c r="C285" s="14" t="s">
        <v>1917</v>
      </c>
      <c r="D285" s="14" t="s">
        <v>1025</v>
      </c>
      <c r="E285" s="14" t="s">
        <v>3760</v>
      </c>
      <c r="F285" s="14" t="s">
        <v>3611</v>
      </c>
      <c r="G285" s="14" t="s">
        <v>4064</v>
      </c>
    </row>
    <row r="286" spans="1:7" x14ac:dyDescent="0.35">
      <c r="A286" s="14" t="s">
        <v>2427</v>
      </c>
      <c r="B286" s="14" t="s">
        <v>3767</v>
      </c>
      <c r="C286" s="14" t="s">
        <v>1307</v>
      </c>
      <c r="D286" s="14" t="s">
        <v>1025</v>
      </c>
      <c r="E286" s="14" t="s">
        <v>3760</v>
      </c>
      <c r="F286" s="14" t="s">
        <v>3611</v>
      </c>
      <c r="G286" s="14" t="s">
        <v>4064</v>
      </c>
    </row>
    <row r="287" spans="1:7" ht="43.5" x14ac:dyDescent="0.35">
      <c r="A287" s="14" t="s">
        <v>2720</v>
      </c>
      <c r="B287" s="14" t="s">
        <v>3767</v>
      </c>
      <c r="C287" s="14" t="s">
        <v>1839</v>
      </c>
      <c r="D287" s="14" t="s">
        <v>1023</v>
      </c>
      <c r="E287" s="14" t="s">
        <v>2911</v>
      </c>
      <c r="F287" s="14" t="s">
        <v>2911</v>
      </c>
      <c r="G287" s="14" t="s">
        <v>4064</v>
      </c>
    </row>
    <row r="288" spans="1:7" ht="43.5" x14ac:dyDescent="0.35">
      <c r="A288" s="14" t="s">
        <v>2699</v>
      </c>
      <c r="B288" s="14" t="s">
        <v>3767</v>
      </c>
      <c r="C288" s="14" t="s">
        <v>1839</v>
      </c>
      <c r="D288" s="14" t="s">
        <v>1023</v>
      </c>
      <c r="E288" s="14" t="s">
        <v>2911</v>
      </c>
      <c r="F288" s="14" t="s">
        <v>2911</v>
      </c>
      <c r="G288" s="14" t="s">
        <v>4064</v>
      </c>
    </row>
    <row r="289" spans="1:7" ht="43.5" x14ac:dyDescent="0.35">
      <c r="A289" s="14" t="s">
        <v>2701</v>
      </c>
      <c r="B289" s="14" t="s">
        <v>3767</v>
      </c>
      <c r="C289" s="14" t="s">
        <v>1839</v>
      </c>
      <c r="D289" s="14" t="s">
        <v>1023</v>
      </c>
      <c r="E289" s="14" t="s">
        <v>2911</v>
      </c>
      <c r="F289" s="14" t="s">
        <v>2911</v>
      </c>
      <c r="G289" s="14" t="s">
        <v>4064</v>
      </c>
    </row>
    <row r="290" spans="1:7" x14ac:dyDescent="0.35">
      <c r="A290" s="14" t="s">
        <v>2434</v>
      </c>
      <c r="B290" s="14" t="s">
        <v>3767</v>
      </c>
      <c r="C290" s="14" t="s">
        <v>1514</v>
      </c>
      <c r="D290" s="14" t="s">
        <v>1025</v>
      </c>
      <c r="E290" s="14" t="s">
        <v>3760</v>
      </c>
      <c r="F290" s="14" t="s">
        <v>3611</v>
      </c>
      <c r="G290" s="14" t="s">
        <v>4064</v>
      </c>
    </row>
    <row r="291" spans="1:7" x14ac:dyDescent="0.35">
      <c r="A291" s="14" t="s">
        <v>2590</v>
      </c>
      <c r="B291" s="14" t="s">
        <v>3767</v>
      </c>
      <c r="C291" s="14" t="s">
        <v>1024</v>
      </c>
      <c r="D291" s="14" t="s">
        <v>1025</v>
      </c>
      <c r="E291" s="14" t="s">
        <v>3760</v>
      </c>
      <c r="F291" s="14" t="s">
        <v>3611</v>
      </c>
      <c r="G291" s="14" t="s">
        <v>4064</v>
      </c>
    </row>
    <row r="292" spans="1:7" x14ac:dyDescent="0.35">
      <c r="A292" s="14" t="s">
        <v>2729</v>
      </c>
      <c r="B292" s="14" t="s">
        <v>3767</v>
      </c>
      <c r="C292" s="14" t="s">
        <v>1024</v>
      </c>
      <c r="D292" s="14" t="s">
        <v>1025</v>
      </c>
      <c r="E292" s="14" t="s">
        <v>3760</v>
      </c>
      <c r="F292" s="14" t="s">
        <v>3611</v>
      </c>
      <c r="G292" s="14" t="s">
        <v>4064</v>
      </c>
    </row>
    <row r="293" spans="1:7" x14ac:dyDescent="0.35">
      <c r="A293" s="14" t="s">
        <v>2667</v>
      </c>
      <c r="B293" s="14" t="s">
        <v>3767</v>
      </c>
      <c r="C293" s="14" t="s">
        <v>1741</v>
      </c>
      <c r="D293" s="14" t="s">
        <v>1050</v>
      </c>
      <c r="E293" s="14" t="s">
        <v>3611</v>
      </c>
      <c r="F293" s="14" t="s">
        <v>3611</v>
      </c>
      <c r="G293" s="14" t="s">
        <v>4064</v>
      </c>
    </row>
    <row r="294" spans="1:7" x14ac:dyDescent="0.35">
      <c r="A294" s="14" t="s">
        <v>2373</v>
      </c>
      <c r="B294" s="14" t="s">
        <v>3767</v>
      </c>
      <c r="C294" s="14" t="s">
        <v>1492</v>
      </c>
      <c r="D294" s="14" t="s">
        <v>1025</v>
      </c>
      <c r="E294" s="14" t="s">
        <v>3760</v>
      </c>
      <c r="F294" s="14" t="s">
        <v>3611</v>
      </c>
      <c r="G294" s="14" t="s">
        <v>4064</v>
      </c>
    </row>
    <row r="295" spans="1:7" x14ac:dyDescent="0.35">
      <c r="A295" s="14" t="s">
        <v>2696</v>
      </c>
      <c r="B295" s="14" t="s">
        <v>3767</v>
      </c>
      <c r="C295" s="14" t="s">
        <v>1492</v>
      </c>
      <c r="D295" s="14" t="s">
        <v>1025</v>
      </c>
      <c r="E295" s="14" t="s">
        <v>3760</v>
      </c>
      <c r="F295" s="14" t="s">
        <v>3611</v>
      </c>
      <c r="G295" s="14" t="s">
        <v>4064</v>
      </c>
    </row>
    <row r="296" spans="1:7" ht="43.5" x14ac:dyDescent="0.35">
      <c r="A296" s="14" t="s">
        <v>2656</v>
      </c>
      <c r="B296" s="14" t="s">
        <v>3767</v>
      </c>
      <c r="C296" s="14" t="s">
        <v>1415</v>
      </c>
      <c r="D296" s="14" t="s">
        <v>1048</v>
      </c>
      <c r="E296" s="14" t="s">
        <v>3611</v>
      </c>
      <c r="F296" s="14" t="s">
        <v>2911</v>
      </c>
      <c r="G296" s="14" t="s">
        <v>4064</v>
      </c>
    </row>
    <row r="297" spans="1:7" x14ac:dyDescent="0.35">
      <c r="A297" s="14" t="s">
        <v>2678</v>
      </c>
      <c r="B297" s="14" t="s">
        <v>3767</v>
      </c>
      <c r="C297" s="14" t="s">
        <v>1685</v>
      </c>
      <c r="D297" s="14" t="s">
        <v>1050</v>
      </c>
      <c r="E297" s="14" t="s">
        <v>3611</v>
      </c>
      <c r="F297" s="14" t="s">
        <v>3611</v>
      </c>
      <c r="G297" s="14" t="s">
        <v>4064</v>
      </c>
    </row>
    <row r="298" spans="1:7" ht="29" x14ac:dyDescent="0.35">
      <c r="A298" s="14" t="s">
        <v>2641</v>
      </c>
      <c r="B298" s="14" t="s">
        <v>3767</v>
      </c>
      <c r="C298" s="14" t="s">
        <v>1597</v>
      </c>
      <c r="D298" s="14" t="s">
        <v>1023</v>
      </c>
      <c r="E298" s="14" t="s">
        <v>3760</v>
      </c>
      <c r="F298" s="14" t="s">
        <v>3760</v>
      </c>
      <c r="G298" s="14" t="s">
        <v>4064</v>
      </c>
    </row>
    <row r="299" spans="1:7" ht="29" x14ac:dyDescent="0.35">
      <c r="A299" s="14" t="s">
        <v>2618</v>
      </c>
      <c r="B299" s="14" t="s">
        <v>3767</v>
      </c>
      <c r="C299" s="14" t="s">
        <v>1597</v>
      </c>
      <c r="D299" s="14" t="s">
        <v>1023</v>
      </c>
      <c r="E299" s="14" t="s">
        <v>3760</v>
      </c>
      <c r="F299" s="14" t="s">
        <v>3760</v>
      </c>
      <c r="G299" s="14" t="s">
        <v>4064</v>
      </c>
    </row>
    <row r="300" spans="1:7" x14ac:dyDescent="0.35">
      <c r="A300" s="14" t="s">
        <v>2505</v>
      </c>
      <c r="B300" s="14" t="s">
        <v>3767</v>
      </c>
      <c r="C300" s="14" t="s">
        <v>1276</v>
      </c>
      <c r="D300" s="14" t="s">
        <v>1025</v>
      </c>
      <c r="E300" s="14" t="s">
        <v>3760</v>
      </c>
      <c r="F300" s="14" t="s">
        <v>3611</v>
      </c>
      <c r="G300" s="14" t="s">
        <v>4064</v>
      </c>
    </row>
    <row r="301" spans="1:7" x14ac:dyDescent="0.35">
      <c r="A301" s="14" t="s">
        <v>2654</v>
      </c>
      <c r="B301" s="14" t="s">
        <v>3767</v>
      </c>
      <c r="C301" s="14" t="s">
        <v>1276</v>
      </c>
      <c r="D301" s="14" t="s">
        <v>1025</v>
      </c>
      <c r="E301" s="14" t="s">
        <v>3760</v>
      </c>
      <c r="F301" s="14" t="s">
        <v>3611</v>
      </c>
      <c r="G301" s="14" t="s">
        <v>4064</v>
      </c>
    </row>
    <row r="302" spans="1:7" x14ac:dyDescent="0.35">
      <c r="A302" s="14" t="s">
        <v>2506</v>
      </c>
      <c r="B302" s="14" t="s">
        <v>3767</v>
      </c>
      <c r="C302" s="14" t="s">
        <v>1575</v>
      </c>
      <c r="D302" s="14" t="s">
        <v>1025</v>
      </c>
      <c r="E302" s="14" t="s">
        <v>3760</v>
      </c>
      <c r="F302" s="14" t="s">
        <v>3611</v>
      </c>
      <c r="G302" s="14" t="s">
        <v>4064</v>
      </c>
    </row>
    <row r="303" spans="1:7" x14ac:dyDescent="0.35">
      <c r="A303" s="14" t="s">
        <v>2393</v>
      </c>
      <c r="B303" s="14" t="s">
        <v>3767</v>
      </c>
      <c r="C303" s="14" t="s">
        <v>1708</v>
      </c>
      <c r="D303" s="14" t="s">
        <v>1050</v>
      </c>
      <c r="E303" s="14" t="s">
        <v>3611</v>
      </c>
      <c r="F303" s="14" t="s">
        <v>3611</v>
      </c>
      <c r="G303" s="14" t="s">
        <v>4064</v>
      </c>
    </row>
    <row r="304" spans="1:7" ht="43.5" x14ac:dyDescent="0.35">
      <c r="A304" s="14" t="s">
        <v>2574</v>
      </c>
      <c r="B304" s="14" t="s">
        <v>3767</v>
      </c>
      <c r="C304" s="14" t="s">
        <v>1529</v>
      </c>
      <c r="D304" s="14" t="s">
        <v>1048</v>
      </c>
      <c r="E304" s="14" t="s">
        <v>3611</v>
      </c>
      <c r="F304" s="14" t="s">
        <v>2911</v>
      </c>
      <c r="G304" s="14" t="s">
        <v>4064</v>
      </c>
    </row>
    <row r="305" spans="1:7" ht="29" x14ac:dyDescent="0.35">
      <c r="A305" s="14" t="s">
        <v>2570</v>
      </c>
      <c r="B305" s="14" t="s">
        <v>3767</v>
      </c>
      <c r="C305" s="14" t="s">
        <v>1537</v>
      </c>
      <c r="D305" s="14" t="s">
        <v>1048</v>
      </c>
      <c r="E305" s="14" t="s">
        <v>3611</v>
      </c>
      <c r="F305" s="14" t="s">
        <v>3760</v>
      </c>
      <c r="G305" s="14" t="s">
        <v>4064</v>
      </c>
    </row>
    <row r="306" spans="1:7" x14ac:dyDescent="0.35">
      <c r="A306" s="14" t="s">
        <v>2558</v>
      </c>
      <c r="B306" s="14" t="s">
        <v>3767</v>
      </c>
      <c r="C306" s="14" t="s">
        <v>1315</v>
      </c>
      <c r="D306" s="14" t="s">
        <v>1025</v>
      </c>
      <c r="E306" s="14" t="s">
        <v>3760</v>
      </c>
      <c r="F306" s="14" t="s">
        <v>3611</v>
      </c>
      <c r="G306" s="14" t="s">
        <v>4064</v>
      </c>
    </row>
    <row r="307" spans="1:7" x14ac:dyDescent="0.35">
      <c r="A307" s="14" t="s">
        <v>2547</v>
      </c>
      <c r="B307" s="14" t="s">
        <v>3767</v>
      </c>
      <c r="C307" s="14" t="s">
        <v>1315</v>
      </c>
      <c r="D307" s="14" t="s">
        <v>1025</v>
      </c>
      <c r="E307" s="14" t="s">
        <v>3760</v>
      </c>
      <c r="F307" s="14" t="s">
        <v>3611</v>
      </c>
      <c r="G307" s="14" t="s">
        <v>4064</v>
      </c>
    </row>
    <row r="308" spans="1:7" x14ac:dyDescent="0.35">
      <c r="A308" s="14" t="s">
        <v>2492</v>
      </c>
      <c r="B308" s="14" t="s">
        <v>3767</v>
      </c>
      <c r="C308" s="14" t="s">
        <v>1168</v>
      </c>
      <c r="D308" s="14" t="s">
        <v>1025</v>
      </c>
      <c r="E308" s="14" t="s">
        <v>3760</v>
      </c>
      <c r="F308" s="14" t="s">
        <v>3611</v>
      </c>
      <c r="G308" s="14" t="s">
        <v>4064</v>
      </c>
    </row>
    <row r="309" spans="1:7" x14ac:dyDescent="0.35">
      <c r="A309" s="14" t="s">
        <v>2405</v>
      </c>
      <c r="B309" s="14" t="s">
        <v>3767</v>
      </c>
      <c r="C309" s="14" t="s">
        <v>1163</v>
      </c>
      <c r="D309" s="14" t="s">
        <v>1050</v>
      </c>
      <c r="E309" s="14" t="s">
        <v>3611</v>
      </c>
      <c r="F309" s="14" t="s">
        <v>3611</v>
      </c>
      <c r="G309" s="14" t="s">
        <v>4064</v>
      </c>
    </row>
    <row r="310" spans="1:7" x14ac:dyDescent="0.35">
      <c r="A310" s="14" t="s">
        <v>2714</v>
      </c>
      <c r="B310" s="14" t="s">
        <v>3767</v>
      </c>
      <c r="C310" s="14" t="s">
        <v>1623</v>
      </c>
      <c r="D310" s="14" t="s">
        <v>1050</v>
      </c>
      <c r="E310" s="14" t="s">
        <v>3611</v>
      </c>
      <c r="F310" s="14" t="s">
        <v>3611</v>
      </c>
      <c r="G310" s="14" t="s">
        <v>4064</v>
      </c>
    </row>
    <row r="311" spans="1:7" x14ac:dyDescent="0.35">
      <c r="A311" s="14" t="s">
        <v>2484</v>
      </c>
      <c r="B311" s="14" t="s">
        <v>3767</v>
      </c>
      <c r="C311" s="14" t="s">
        <v>1900</v>
      </c>
      <c r="D311" s="14" t="s">
        <v>1050</v>
      </c>
      <c r="E311" s="14" t="s">
        <v>3611</v>
      </c>
      <c r="F311" s="14" t="s">
        <v>3611</v>
      </c>
      <c r="G311" s="14" t="s">
        <v>4064</v>
      </c>
    </row>
    <row r="312" spans="1:7" x14ac:dyDescent="0.35">
      <c r="A312" s="14" t="s">
        <v>2502</v>
      </c>
      <c r="B312" s="14" t="s">
        <v>3767</v>
      </c>
      <c r="C312" s="14" t="s">
        <v>1861</v>
      </c>
      <c r="D312" s="14" t="s">
        <v>1050</v>
      </c>
      <c r="E312" s="14" t="s">
        <v>3611</v>
      </c>
      <c r="F312" s="14" t="s">
        <v>3611</v>
      </c>
      <c r="G312" s="14" t="s">
        <v>4064</v>
      </c>
    </row>
    <row r="313" spans="1:7" x14ac:dyDescent="0.35">
      <c r="A313" s="14" t="s">
        <v>2375</v>
      </c>
      <c r="B313" s="14" t="s">
        <v>3767</v>
      </c>
      <c r="C313" s="14" t="s">
        <v>1178</v>
      </c>
      <c r="D313" s="14" t="s">
        <v>1025</v>
      </c>
      <c r="E313" s="14" t="s">
        <v>3760</v>
      </c>
      <c r="F313" s="14" t="s">
        <v>3611</v>
      </c>
      <c r="G313" s="14" t="s">
        <v>4064</v>
      </c>
    </row>
    <row r="314" spans="1:7" x14ac:dyDescent="0.35">
      <c r="A314" s="14" t="s">
        <v>2468</v>
      </c>
      <c r="B314" s="14" t="s">
        <v>3767</v>
      </c>
      <c r="C314" s="14" t="s">
        <v>1178</v>
      </c>
      <c r="D314" s="14" t="s">
        <v>1025</v>
      </c>
      <c r="E314" s="14" t="s">
        <v>3760</v>
      </c>
      <c r="F314" s="14" t="s">
        <v>3611</v>
      </c>
      <c r="G314" s="14" t="s">
        <v>4064</v>
      </c>
    </row>
    <row r="315" spans="1:7" x14ac:dyDescent="0.35">
      <c r="A315" s="14" t="s">
        <v>2378</v>
      </c>
      <c r="B315" s="14" t="s">
        <v>3767</v>
      </c>
      <c r="C315" s="14" t="s">
        <v>1108</v>
      </c>
      <c r="D315" s="14" t="s">
        <v>1025</v>
      </c>
      <c r="E315" s="14" t="s">
        <v>3760</v>
      </c>
      <c r="F315" s="14" t="s">
        <v>3611</v>
      </c>
      <c r="G315" s="14" t="s">
        <v>4064</v>
      </c>
    </row>
    <row r="316" spans="1:7" x14ac:dyDescent="0.35">
      <c r="A316" s="14" t="s">
        <v>2733</v>
      </c>
      <c r="B316" s="14" t="s">
        <v>3767</v>
      </c>
      <c r="C316" s="14" t="s">
        <v>1797</v>
      </c>
      <c r="D316" s="14" t="s">
        <v>1050</v>
      </c>
      <c r="E316" s="14" t="s">
        <v>3611</v>
      </c>
      <c r="F316" s="14" t="s">
        <v>3611</v>
      </c>
      <c r="G316" s="14" t="s">
        <v>4064</v>
      </c>
    </row>
    <row r="317" spans="1:7" ht="29" x14ac:dyDescent="0.35">
      <c r="A317" s="14" t="s">
        <v>2514</v>
      </c>
      <c r="B317" s="14" t="s">
        <v>3767</v>
      </c>
      <c r="C317" s="14" t="s">
        <v>1554</v>
      </c>
      <c r="D317" s="14" t="s">
        <v>1048</v>
      </c>
      <c r="E317" s="14" t="s">
        <v>3611</v>
      </c>
      <c r="F317" s="14" t="s">
        <v>3760</v>
      </c>
      <c r="G317" s="14" t="s">
        <v>4064</v>
      </c>
    </row>
    <row r="318" spans="1:7" x14ac:dyDescent="0.35">
      <c r="A318" s="14" t="s">
        <v>2414</v>
      </c>
      <c r="B318" s="14" t="s">
        <v>3767</v>
      </c>
      <c r="C318" s="14" t="s">
        <v>1183</v>
      </c>
      <c r="D318" s="14" t="s">
        <v>1025</v>
      </c>
      <c r="E318" s="14" t="s">
        <v>3760</v>
      </c>
      <c r="F318" s="14" t="s">
        <v>3611</v>
      </c>
      <c r="G318" s="14" t="s">
        <v>4064</v>
      </c>
    </row>
    <row r="319" spans="1:7" x14ac:dyDescent="0.35">
      <c r="A319" s="14" t="s">
        <v>2539</v>
      </c>
      <c r="B319" s="14" t="s">
        <v>3767</v>
      </c>
      <c r="C319" s="14" t="s">
        <v>1183</v>
      </c>
      <c r="D319" s="14" t="s">
        <v>1025</v>
      </c>
      <c r="E319" s="14" t="s">
        <v>3760</v>
      </c>
      <c r="F319" s="14" t="s">
        <v>3611</v>
      </c>
      <c r="G319" s="14" t="s">
        <v>4064</v>
      </c>
    </row>
    <row r="320" spans="1:7" x14ac:dyDescent="0.35">
      <c r="A320" s="14" t="s">
        <v>2387</v>
      </c>
      <c r="B320" s="14" t="s">
        <v>3767</v>
      </c>
      <c r="C320" s="14" t="s">
        <v>1270</v>
      </c>
      <c r="D320" s="14" t="s">
        <v>1050</v>
      </c>
      <c r="E320" s="14" t="s">
        <v>3611</v>
      </c>
      <c r="F320" s="14" t="s">
        <v>3611</v>
      </c>
      <c r="G320" s="14" t="s">
        <v>4064</v>
      </c>
    </row>
    <row r="321" spans="1:7" x14ac:dyDescent="0.35">
      <c r="A321" s="14" t="s">
        <v>2665</v>
      </c>
      <c r="B321" s="14" t="s">
        <v>3767</v>
      </c>
      <c r="C321" s="14" t="s">
        <v>1658</v>
      </c>
      <c r="D321" s="14" t="s">
        <v>1050</v>
      </c>
      <c r="E321" s="14" t="s">
        <v>3611</v>
      </c>
      <c r="F321" s="14" t="s">
        <v>3611</v>
      </c>
      <c r="G321" s="14" t="s">
        <v>4064</v>
      </c>
    </row>
    <row r="322" spans="1:7" ht="29" x14ac:dyDescent="0.35">
      <c r="A322" s="14" t="s">
        <v>2652</v>
      </c>
      <c r="B322" s="14" t="s">
        <v>3767</v>
      </c>
      <c r="C322" s="14" t="s">
        <v>1194</v>
      </c>
      <c r="D322" s="14" t="s">
        <v>1048</v>
      </c>
      <c r="E322" s="14" t="s">
        <v>3611</v>
      </c>
      <c r="F322" s="14" t="s">
        <v>3760</v>
      </c>
      <c r="G322" s="14" t="s">
        <v>4064</v>
      </c>
    </row>
    <row r="323" spans="1:7" x14ac:dyDescent="0.35">
      <c r="A323" s="14" t="s">
        <v>2471</v>
      </c>
      <c r="B323" s="14" t="s">
        <v>3767</v>
      </c>
      <c r="C323" s="14" t="s">
        <v>1343</v>
      </c>
      <c r="D323" s="14" t="s">
        <v>1050</v>
      </c>
      <c r="E323" s="14" t="s">
        <v>3611</v>
      </c>
      <c r="F323" s="14" t="s">
        <v>3611</v>
      </c>
      <c r="G323" s="14" t="s">
        <v>4064</v>
      </c>
    </row>
    <row r="324" spans="1:7" ht="29" x14ac:dyDescent="0.35">
      <c r="A324" s="14" t="s">
        <v>2710</v>
      </c>
      <c r="B324" s="14" t="s">
        <v>3767</v>
      </c>
      <c r="C324" s="14" t="s">
        <v>1380</v>
      </c>
      <c r="D324" s="14" t="s">
        <v>1048</v>
      </c>
      <c r="E324" s="14" t="s">
        <v>3611</v>
      </c>
      <c r="F324" s="14" t="s">
        <v>3760</v>
      </c>
      <c r="G324" s="14" t="s">
        <v>4064</v>
      </c>
    </row>
    <row r="325" spans="1:7" x14ac:dyDescent="0.35">
      <c r="A325" s="14" t="s">
        <v>2593</v>
      </c>
      <c r="B325" s="14" t="s">
        <v>3767</v>
      </c>
      <c r="C325" s="14" t="s">
        <v>1758</v>
      </c>
      <c r="D325" s="14" t="s">
        <v>1050</v>
      </c>
      <c r="E325" s="14" t="s">
        <v>3611</v>
      </c>
      <c r="F325" s="14" t="s">
        <v>3611</v>
      </c>
      <c r="G325" s="14" t="s">
        <v>4064</v>
      </c>
    </row>
    <row r="326" spans="1:7" x14ac:dyDescent="0.35">
      <c r="A326" s="14" t="s">
        <v>2440</v>
      </c>
      <c r="B326" s="14" t="s">
        <v>3767</v>
      </c>
      <c r="C326" s="14" t="s">
        <v>1746</v>
      </c>
      <c r="D326" s="14" t="s">
        <v>1050</v>
      </c>
      <c r="E326" s="14" t="s">
        <v>3611</v>
      </c>
      <c r="F326" s="14" t="s">
        <v>3611</v>
      </c>
      <c r="G326" s="14" t="s">
        <v>4064</v>
      </c>
    </row>
    <row r="327" spans="1:7" x14ac:dyDescent="0.35">
      <c r="A327" s="14" t="s">
        <v>2718</v>
      </c>
      <c r="B327" s="14" t="s">
        <v>3767</v>
      </c>
      <c r="C327" s="14" t="s">
        <v>1320</v>
      </c>
      <c r="D327" s="14" t="s">
        <v>1050</v>
      </c>
      <c r="E327" s="14" t="s">
        <v>3611</v>
      </c>
      <c r="F327" s="14" t="s">
        <v>3611</v>
      </c>
      <c r="G327" s="14" t="s">
        <v>4064</v>
      </c>
    </row>
    <row r="328" spans="1:7" x14ac:dyDescent="0.35">
      <c r="A328" s="14" t="s">
        <v>2486</v>
      </c>
      <c r="B328" s="14" t="s">
        <v>3767</v>
      </c>
      <c r="C328" s="14" t="s">
        <v>1471</v>
      </c>
      <c r="D328" s="14" t="s">
        <v>1050</v>
      </c>
      <c r="E328" s="14" t="s">
        <v>3611</v>
      </c>
      <c r="F328" s="14" t="s">
        <v>3611</v>
      </c>
      <c r="G328" s="14" t="s">
        <v>4064</v>
      </c>
    </row>
    <row r="329" spans="1:7" x14ac:dyDescent="0.35">
      <c r="A329" s="14" t="s">
        <v>2511</v>
      </c>
      <c r="B329" s="14" t="s">
        <v>3767</v>
      </c>
      <c r="C329" s="14" t="s">
        <v>1632</v>
      </c>
      <c r="D329" s="14" t="s">
        <v>1050</v>
      </c>
      <c r="E329" s="14" t="s">
        <v>3611</v>
      </c>
      <c r="F329" s="14" t="s">
        <v>3611</v>
      </c>
      <c r="G329" s="14" t="s">
        <v>4064</v>
      </c>
    </row>
    <row r="330" spans="1:7" x14ac:dyDescent="0.35">
      <c r="A330" s="14" t="s">
        <v>2555</v>
      </c>
      <c r="B330" s="14" t="s">
        <v>3767</v>
      </c>
      <c r="C330" s="14" t="s">
        <v>1449</v>
      </c>
      <c r="D330" s="14" t="s">
        <v>1050</v>
      </c>
      <c r="E330" s="14" t="s">
        <v>3611</v>
      </c>
      <c r="F330" s="14" t="s">
        <v>3611</v>
      </c>
      <c r="G330" s="14" t="s">
        <v>4064</v>
      </c>
    </row>
    <row r="331" spans="1:7" x14ac:dyDescent="0.35">
      <c r="A331" s="14" t="s">
        <v>2526</v>
      </c>
      <c r="B331" s="14" t="s">
        <v>3767</v>
      </c>
      <c r="C331" s="14" t="s">
        <v>1217</v>
      </c>
      <c r="D331" s="14" t="s">
        <v>1050</v>
      </c>
      <c r="E331" s="14" t="s">
        <v>3611</v>
      </c>
      <c r="F331" s="14" t="s">
        <v>3611</v>
      </c>
      <c r="G331" s="14" t="s">
        <v>4064</v>
      </c>
    </row>
    <row r="332" spans="1:7" ht="29" x14ac:dyDescent="0.35">
      <c r="A332" s="14" t="s">
        <v>2660</v>
      </c>
      <c r="B332" s="14" t="s">
        <v>3767</v>
      </c>
      <c r="C332" s="14" t="s">
        <v>1439</v>
      </c>
      <c r="D332" s="14" t="s">
        <v>1048</v>
      </c>
      <c r="E332" s="14" t="s">
        <v>3611</v>
      </c>
      <c r="F332" s="14" t="s">
        <v>3760</v>
      </c>
      <c r="G332" s="14" t="s">
        <v>4064</v>
      </c>
    </row>
    <row r="333" spans="1:7" x14ac:dyDescent="0.35">
      <c r="A333" s="14" t="s">
        <v>2424</v>
      </c>
      <c r="B333" s="14" t="s">
        <v>3767</v>
      </c>
      <c r="C333" s="14" t="s">
        <v>1256</v>
      </c>
      <c r="D333" s="14" t="s">
        <v>1050</v>
      </c>
      <c r="E333" s="14" t="s">
        <v>3611</v>
      </c>
      <c r="F333" s="14" t="s">
        <v>3611</v>
      </c>
      <c r="G333" s="14" t="s">
        <v>4064</v>
      </c>
    </row>
    <row r="334" spans="1:7" x14ac:dyDescent="0.35">
      <c r="A334" s="14" t="s">
        <v>2476</v>
      </c>
      <c r="B334" s="14" t="s">
        <v>3767</v>
      </c>
      <c r="C334" s="14" t="s">
        <v>1132</v>
      </c>
      <c r="D334" s="14" t="s">
        <v>1050</v>
      </c>
      <c r="E334" s="14" t="s">
        <v>3611</v>
      </c>
      <c r="F334" s="14" t="s">
        <v>3611</v>
      </c>
      <c r="G334" s="14" t="s">
        <v>4064</v>
      </c>
    </row>
    <row r="335" spans="1:7" x14ac:dyDescent="0.35">
      <c r="A335" s="14" t="s">
        <v>2439</v>
      </c>
      <c r="B335" s="14" t="s">
        <v>3767</v>
      </c>
      <c r="C335" s="14" t="s">
        <v>1391</v>
      </c>
      <c r="D335" s="14" t="s">
        <v>1050</v>
      </c>
      <c r="E335" s="14" t="s">
        <v>3611</v>
      </c>
      <c r="F335" s="14" t="s">
        <v>3611</v>
      </c>
      <c r="G335" s="14" t="s">
        <v>4064</v>
      </c>
    </row>
    <row r="336" spans="1:7" x14ac:dyDescent="0.35">
      <c r="A336" s="14" t="s">
        <v>2446</v>
      </c>
      <c r="B336" s="14" t="s">
        <v>3767</v>
      </c>
      <c r="C336" s="14" t="s">
        <v>1728</v>
      </c>
      <c r="D336" s="14" t="s">
        <v>1050</v>
      </c>
      <c r="E336" s="14" t="s">
        <v>3611</v>
      </c>
      <c r="F336" s="14" t="s">
        <v>3611</v>
      </c>
      <c r="G336" s="14" t="s">
        <v>4064</v>
      </c>
    </row>
    <row r="337" spans="1:7" x14ac:dyDescent="0.35">
      <c r="A337" s="14" t="s">
        <v>2412</v>
      </c>
      <c r="B337" s="14" t="s">
        <v>3767</v>
      </c>
      <c r="C337" s="14" t="s">
        <v>1906</v>
      </c>
      <c r="D337" s="14" t="s">
        <v>1050</v>
      </c>
      <c r="E337" s="14" t="s">
        <v>3611</v>
      </c>
      <c r="F337" s="14" t="s">
        <v>3611</v>
      </c>
      <c r="G337" s="14" t="s">
        <v>4064</v>
      </c>
    </row>
    <row r="338" spans="1:7" ht="29" x14ac:dyDescent="0.35">
      <c r="A338" s="14" t="s">
        <v>2538</v>
      </c>
      <c r="B338" s="14" t="s">
        <v>3767</v>
      </c>
      <c r="C338" s="14" t="s">
        <v>1718</v>
      </c>
      <c r="D338" s="14" t="s">
        <v>1048</v>
      </c>
      <c r="E338" s="14" t="s">
        <v>3611</v>
      </c>
      <c r="F338" s="14" t="s">
        <v>3760</v>
      </c>
      <c r="G338" s="14" t="s">
        <v>4064</v>
      </c>
    </row>
    <row r="339" spans="1:7" x14ac:dyDescent="0.35">
      <c r="A339" s="14" t="s">
        <v>2637</v>
      </c>
      <c r="B339" s="14" t="s">
        <v>3767</v>
      </c>
      <c r="C339" s="14" t="s">
        <v>1327</v>
      </c>
      <c r="D339" s="14" t="s">
        <v>1050</v>
      </c>
      <c r="E339" s="14" t="s">
        <v>3611</v>
      </c>
      <c r="F339" s="14" t="s">
        <v>3611</v>
      </c>
      <c r="G339" s="14" t="s">
        <v>4064</v>
      </c>
    </row>
    <row r="340" spans="1:7" x14ac:dyDescent="0.35">
      <c r="A340" s="14" t="s">
        <v>2473</v>
      </c>
      <c r="B340" s="14" t="s">
        <v>3767</v>
      </c>
      <c r="C340" s="14" t="s">
        <v>1298</v>
      </c>
      <c r="D340" s="14" t="s">
        <v>1050</v>
      </c>
      <c r="E340" s="14" t="s">
        <v>3611</v>
      </c>
      <c r="F340" s="14" t="s">
        <v>3611</v>
      </c>
      <c r="G340" s="14" t="s">
        <v>4064</v>
      </c>
    </row>
    <row r="341" spans="1:7" ht="29" x14ac:dyDescent="0.35">
      <c r="A341" s="14" t="s">
        <v>2458</v>
      </c>
      <c r="B341" s="14" t="s">
        <v>3767</v>
      </c>
      <c r="C341" s="14" t="s">
        <v>1802</v>
      </c>
      <c r="D341" s="14" t="s">
        <v>1048</v>
      </c>
      <c r="E341" s="14" t="s">
        <v>3611</v>
      </c>
      <c r="F341" s="14" t="s">
        <v>3760</v>
      </c>
      <c r="G341" s="14" t="s">
        <v>4064</v>
      </c>
    </row>
    <row r="342" spans="1:7" x14ac:dyDescent="0.35">
      <c r="A342" s="14" t="s">
        <v>2636</v>
      </c>
      <c r="B342" s="14" t="s">
        <v>3767</v>
      </c>
      <c r="C342" s="14" t="s">
        <v>1925</v>
      </c>
      <c r="D342" s="14" t="s">
        <v>1050</v>
      </c>
      <c r="E342" s="14" t="s">
        <v>3611</v>
      </c>
      <c r="F342" s="14" t="s">
        <v>3611</v>
      </c>
      <c r="G342" s="14" t="s">
        <v>4064</v>
      </c>
    </row>
    <row r="343" spans="1:7" x14ac:dyDescent="0.35">
      <c r="A343" s="14" t="s">
        <v>2451</v>
      </c>
      <c r="B343" s="14" t="s">
        <v>3767</v>
      </c>
      <c r="C343" s="14" t="s">
        <v>1773</v>
      </c>
      <c r="D343" s="14" t="s">
        <v>1050</v>
      </c>
      <c r="E343" s="14" t="s">
        <v>3611</v>
      </c>
      <c r="F343" s="14" t="s">
        <v>3611</v>
      </c>
      <c r="G343" s="14" t="s">
        <v>4064</v>
      </c>
    </row>
    <row r="344" spans="1:7" ht="29" x14ac:dyDescent="0.35">
      <c r="A344" s="14" t="s">
        <v>2602</v>
      </c>
      <c r="B344" s="14" t="s">
        <v>3767</v>
      </c>
      <c r="C344" s="14" t="s">
        <v>1610</v>
      </c>
      <c r="D344" s="14" t="s">
        <v>1048</v>
      </c>
      <c r="E344" s="14" t="s">
        <v>3611</v>
      </c>
      <c r="F344" s="14" t="s">
        <v>3760</v>
      </c>
      <c r="G344" s="14" t="s">
        <v>4064</v>
      </c>
    </row>
    <row r="345" spans="1:7" x14ac:dyDescent="0.35">
      <c r="A345" s="14" t="s">
        <v>2496</v>
      </c>
      <c r="B345" s="14" t="s">
        <v>3767</v>
      </c>
      <c r="C345" s="14" t="s">
        <v>1830</v>
      </c>
      <c r="D345" s="14" t="s">
        <v>1050</v>
      </c>
      <c r="E345" s="14" t="s">
        <v>3611</v>
      </c>
      <c r="F345" s="14" t="s">
        <v>3611</v>
      </c>
      <c r="G345" s="14" t="s">
        <v>4064</v>
      </c>
    </row>
    <row r="346" spans="1:7" x14ac:dyDescent="0.35">
      <c r="A346" s="14" t="s">
        <v>2605</v>
      </c>
      <c r="B346" s="14" t="s">
        <v>3767</v>
      </c>
      <c r="C346" s="14" t="s">
        <v>2211</v>
      </c>
      <c r="D346" s="14" t="s">
        <v>1050</v>
      </c>
      <c r="E346" s="14" t="s">
        <v>3611</v>
      </c>
      <c r="F346" s="14" t="s">
        <v>3611</v>
      </c>
      <c r="G346" s="14" t="s">
        <v>4064</v>
      </c>
    </row>
    <row r="347" spans="1:7" x14ac:dyDescent="0.35">
      <c r="A347" s="14" t="s">
        <v>2550</v>
      </c>
      <c r="B347" s="14" t="s">
        <v>3767</v>
      </c>
      <c r="C347" s="14" t="s">
        <v>1049</v>
      </c>
      <c r="D347" s="14" t="s">
        <v>1050</v>
      </c>
      <c r="E347" s="14" t="s">
        <v>3611</v>
      </c>
      <c r="F347" s="14" t="s">
        <v>3611</v>
      </c>
      <c r="G347" s="14" t="s">
        <v>4064</v>
      </c>
    </row>
    <row r="348" spans="1:7" x14ac:dyDescent="0.35">
      <c r="A348" s="14" t="s">
        <v>2401</v>
      </c>
      <c r="B348" s="14" t="s">
        <v>3767</v>
      </c>
      <c r="C348" s="14" t="s">
        <v>1386</v>
      </c>
      <c r="D348" s="14" t="s">
        <v>1050</v>
      </c>
      <c r="E348" s="14" t="s">
        <v>3611</v>
      </c>
      <c r="F348" s="14" t="s">
        <v>3611</v>
      </c>
      <c r="G348" s="14" t="s">
        <v>4064</v>
      </c>
    </row>
    <row r="349" spans="1:7" x14ac:dyDescent="0.35">
      <c r="A349" s="14" t="s">
        <v>2470</v>
      </c>
      <c r="B349" s="14" t="s">
        <v>3767</v>
      </c>
      <c r="C349" s="14" t="s">
        <v>1348</v>
      </c>
      <c r="D349" s="14" t="s">
        <v>1050</v>
      </c>
      <c r="E349" s="14" t="s">
        <v>3611</v>
      </c>
      <c r="F349" s="14" t="s">
        <v>3611</v>
      </c>
      <c r="G349" s="14" t="s">
        <v>4064</v>
      </c>
    </row>
    <row r="350" spans="1:7" ht="29" x14ac:dyDescent="0.35">
      <c r="A350" s="14" t="s">
        <v>2381</v>
      </c>
      <c r="B350" s="14" t="s">
        <v>3767</v>
      </c>
      <c r="C350" s="14" t="s">
        <v>1083</v>
      </c>
      <c r="D350" s="14" t="s">
        <v>1048</v>
      </c>
      <c r="E350" s="14" t="s">
        <v>3611</v>
      </c>
      <c r="F350" s="14" t="s">
        <v>3760</v>
      </c>
      <c r="G350" s="14" t="s">
        <v>4064</v>
      </c>
    </row>
    <row r="351" spans="1:7" x14ac:dyDescent="0.35">
      <c r="A351" s="14" t="s">
        <v>2615</v>
      </c>
      <c r="B351" s="14" t="s">
        <v>3767</v>
      </c>
      <c r="C351" s="14" t="s">
        <v>1753</v>
      </c>
      <c r="D351" s="14" t="s">
        <v>1050</v>
      </c>
      <c r="E351" s="14" t="s">
        <v>3611</v>
      </c>
      <c r="F351" s="14" t="s">
        <v>3611</v>
      </c>
      <c r="G351" s="14" t="s">
        <v>4064</v>
      </c>
    </row>
    <row r="352" spans="1:7" x14ac:dyDescent="0.35">
      <c r="A352" s="14" t="s">
        <v>2575</v>
      </c>
      <c r="B352" s="14" t="s">
        <v>3767</v>
      </c>
      <c r="C352" s="14" t="s">
        <v>1524</v>
      </c>
      <c r="D352" s="14" t="s">
        <v>1050</v>
      </c>
      <c r="E352" s="14" t="s">
        <v>3611</v>
      </c>
      <c r="F352" s="14" t="s">
        <v>3611</v>
      </c>
      <c r="G352" s="14" t="s">
        <v>4064</v>
      </c>
    </row>
    <row r="353" spans="1:7" x14ac:dyDescent="0.35">
      <c r="A353" s="14" t="s">
        <v>2425</v>
      </c>
      <c r="B353" s="14" t="s">
        <v>3767</v>
      </c>
      <c r="C353" s="14" t="s">
        <v>1664</v>
      </c>
      <c r="D353" s="14" t="s">
        <v>1050</v>
      </c>
      <c r="E353" s="14" t="s">
        <v>3611</v>
      </c>
      <c r="F353" s="14" t="s">
        <v>3611</v>
      </c>
      <c r="G353" s="14" t="s">
        <v>4064</v>
      </c>
    </row>
    <row r="354" spans="1:7" x14ac:dyDescent="0.35">
      <c r="A354" s="14" t="s">
        <v>2513</v>
      </c>
      <c r="B354" s="14" t="s">
        <v>3767</v>
      </c>
      <c r="C354" s="14" t="s">
        <v>1173</v>
      </c>
      <c r="D354" s="14" t="s">
        <v>1050</v>
      </c>
      <c r="E354" s="14" t="s">
        <v>3611</v>
      </c>
      <c r="F354" s="14" t="s">
        <v>3611</v>
      </c>
      <c r="G354" s="14" t="s">
        <v>4064</v>
      </c>
    </row>
    <row r="355" spans="1:7" x14ac:dyDescent="0.35">
      <c r="A355" s="14" t="s">
        <v>2690</v>
      </c>
      <c r="B355" s="14" t="s">
        <v>3767</v>
      </c>
      <c r="C355" s="14" t="s">
        <v>1072</v>
      </c>
      <c r="D355" s="14" t="s">
        <v>1050</v>
      </c>
      <c r="E355" s="14" t="s">
        <v>3611</v>
      </c>
      <c r="F355" s="14" t="s">
        <v>3611</v>
      </c>
      <c r="G355" s="14" t="s">
        <v>4064</v>
      </c>
    </row>
    <row r="356" spans="1:7" x14ac:dyDescent="0.35">
      <c r="A356" s="14" t="s">
        <v>2583</v>
      </c>
      <c r="B356" s="14" t="s">
        <v>3767</v>
      </c>
      <c r="C356" s="14" t="s">
        <v>1365</v>
      </c>
      <c r="D356" s="14" t="s">
        <v>1050</v>
      </c>
      <c r="E356" s="14" t="s">
        <v>3611</v>
      </c>
      <c r="F356" s="14" t="s">
        <v>3611</v>
      </c>
      <c r="G356" s="14" t="s">
        <v>4064</v>
      </c>
    </row>
    <row r="357" spans="1:7" x14ac:dyDescent="0.35">
      <c r="A357" s="14" t="s">
        <v>2684</v>
      </c>
      <c r="B357" s="14" t="s">
        <v>3767</v>
      </c>
      <c r="C357" s="14" t="s">
        <v>1427</v>
      </c>
      <c r="D357" s="14" t="s">
        <v>1050</v>
      </c>
      <c r="E357" s="14" t="s">
        <v>3611</v>
      </c>
      <c r="F357" s="14" t="s">
        <v>3611</v>
      </c>
      <c r="G357" s="14" t="s">
        <v>4064</v>
      </c>
    </row>
    <row r="358" spans="1:7" x14ac:dyDescent="0.35">
      <c r="A358" s="14" t="s">
        <v>2431</v>
      </c>
      <c r="B358" s="14" t="s">
        <v>3767</v>
      </c>
      <c r="C358" s="14" t="s">
        <v>1713</v>
      </c>
      <c r="D358" s="14" t="s">
        <v>1050</v>
      </c>
      <c r="E358" s="14" t="s">
        <v>3611</v>
      </c>
      <c r="F358" s="14" t="s">
        <v>3611</v>
      </c>
      <c r="G358" s="14" t="s">
        <v>4064</v>
      </c>
    </row>
    <row r="359" spans="1:7" x14ac:dyDescent="0.35">
      <c r="A359" s="14" t="s">
        <v>2623</v>
      </c>
      <c r="B359" s="14" t="s">
        <v>3767</v>
      </c>
      <c r="C359" s="14" t="s">
        <v>2626</v>
      </c>
      <c r="D359" s="14" t="s">
        <v>1050</v>
      </c>
      <c r="E359" s="14" t="s">
        <v>3611</v>
      </c>
      <c r="F359" s="14" t="s">
        <v>3611</v>
      </c>
      <c r="G359" s="14" t="s">
        <v>4064</v>
      </c>
    </row>
    <row r="360" spans="1:7" x14ac:dyDescent="0.35">
      <c r="A360" s="14" t="s">
        <v>2477</v>
      </c>
      <c r="B360" s="14" t="s">
        <v>3767</v>
      </c>
      <c r="C360" s="14" t="s">
        <v>1911</v>
      </c>
      <c r="D360" s="14" t="s">
        <v>1050</v>
      </c>
      <c r="E360" s="14" t="s">
        <v>3611</v>
      </c>
      <c r="F360" s="14" t="s">
        <v>3611</v>
      </c>
      <c r="G360" s="14" t="s">
        <v>4064</v>
      </c>
    </row>
    <row r="361" spans="1:7" x14ac:dyDescent="0.35">
      <c r="A361" s="14" t="s">
        <v>2658</v>
      </c>
      <c r="B361" s="14" t="s">
        <v>3767</v>
      </c>
      <c r="C361" s="14" t="s">
        <v>1591</v>
      </c>
      <c r="D361" s="14" t="s">
        <v>1050</v>
      </c>
      <c r="E361" s="14" t="s">
        <v>3611</v>
      </c>
      <c r="F361" s="14" t="s">
        <v>3611</v>
      </c>
      <c r="G361" s="14" t="s">
        <v>4064</v>
      </c>
    </row>
    <row r="362" spans="1:7" x14ac:dyDescent="0.35">
      <c r="A362" s="14" t="s">
        <v>2741</v>
      </c>
      <c r="B362" s="14" t="s">
        <v>3767</v>
      </c>
      <c r="C362" s="14" t="s">
        <v>1549</v>
      </c>
      <c r="D362" s="14" t="s">
        <v>1050</v>
      </c>
      <c r="E362" s="14" t="s">
        <v>3611</v>
      </c>
      <c r="F362" s="14" t="s">
        <v>3611</v>
      </c>
      <c r="G362" s="14" t="s">
        <v>4064</v>
      </c>
    </row>
    <row r="363" spans="1:7" x14ac:dyDescent="0.35">
      <c r="A363" s="14" t="s">
        <v>2443</v>
      </c>
      <c r="B363" s="14" t="s">
        <v>3767</v>
      </c>
      <c r="C363" s="14" t="s">
        <v>1401</v>
      </c>
      <c r="D363" s="14" t="s">
        <v>1050</v>
      </c>
      <c r="E363" s="14" t="s">
        <v>3611</v>
      </c>
      <c r="F363" s="14" t="s">
        <v>3611</v>
      </c>
      <c r="G363" s="14" t="s">
        <v>4064</v>
      </c>
    </row>
    <row r="364" spans="1:7" x14ac:dyDescent="0.35">
      <c r="A364" s="14" t="s">
        <v>2380</v>
      </c>
      <c r="B364" s="14" t="s">
        <v>3767</v>
      </c>
      <c r="C364" s="14" t="s">
        <v>1544</v>
      </c>
      <c r="D364" s="14" t="s">
        <v>1050</v>
      </c>
      <c r="E364" s="14" t="s">
        <v>3611</v>
      </c>
      <c r="F364" s="14" t="s">
        <v>3611</v>
      </c>
      <c r="G364" s="14" t="s">
        <v>4064</v>
      </c>
    </row>
    <row r="365" spans="1:7" x14ac:dyDescent="0.35">
      <c r="A365" s="14" t="s">
        <v>2450</v>
      </c>
      <c r="B365" s="14" t="s">
        <v>3767</v>
      </c>
      <c r="C365" s="14" t="s">
        <v>1486</v>
      </c>
      <c r="D365" s="14" t="s">
        <v>1050</v>
      </c>
      <c r="E365" s="14" t="s">
        <v>3611</v>
      </c>
      <c r="F365" s="14" t="s">
        <v>3611</v>
      </c>
      <c r="G365" s="14" t="s">
        <v>4064</v>
      </c>
    </row>
    <row r="366" spans="1:7" x14ac:dyDescent="0.35">
      <c r="A366" s="14" t="s">
        <v>2588</v>
      </c>
      <c r="B366" s="14" t="s">
        <v>3767</v>
      </c>
      <c r="C366" s="14" t="s">
        <v>1137</v>
      </c>
      <c r="D366" s="14" t="s">
        <v>1050</v>
      </c>
      <c r="E366" s="14" t="s">
        <v>3611</v>
      </c>
      <c r="F366" s="14" t="s">
        <v>3611</v>
      </c>
      <c r="G366" s="14" t="s">
        <v>4064</v>
      </c>
    </row>
    <row r="367" spans="1:7" x14ac:dyDescent="0.35">
      <c r="A367" s="14" t="s">
        <v>2521</v>
      </c>
      <c r="B367" s="14" t="s">
        <v>3767</v>
      </c>
      <c r="C367" s="14" t="s">
        <v>1673</v>
      </c>
      <c r="D367" s="14" t="s">
        <v>1050</v>
      </c>
      <c r="E367" s="14" t="s">
        <v>3611</v>
      </c>
      <c r="F367" s="14" t="s">
        <v>3611</v>
      </c>
      <c r="G367" s="14" t="s">
        <v>4064</v>
      </c>
    </row>
    <row r="368" spans="1:7" x14ac:dyDescent="0.35">
      <c r="A368" s="14" t="s">
        <v>2465</v>
      </c>
      <c r="B368" s="14" t="s">
        <v>3767</v>
      </c>
      <c r="C368" s="14" t="s">
        <v>1337</v>
      </c>
      <c r="D368" s="14" t="s">
        <v>1050</v>
      </c>
      <c r="E368" s="14" t="s">
        <v>3611</v>
      </c>
      <c r="F368" s="14" t="s">
        <v>3611</v>
      </c>
      <c r="G368" s="14" t="s">
        <v>4064</v>
      </c>
    </row>
    <row r="369" spans="1:7" x14ac:dyDescent="0.35">
      <c r="A369" s="14" t="s">
        <v>2464</v>
      </c>
      <c r="B369" s="14" t="s">
        <v>3767</v>
      </c>
      <c r="C369" s="14" t="s">
        <v>1647</v>
      </c>
      <c r="D369" s="14" t="s">
        <v>1050</v>
      </c>
      <c r="E369" s="14" t="s">
        <v>3611</v>
      </c>
      <c r="F369" s="14" t="s">
        <v>3611</v>
      </c>
      <c r="G369" s="14" t="s">
        <v>4064</v>
      </c>
    </row>
    <row r="370" spans="1:7" x14ac:dyDescent="0.35">
      <c r="A370" s="14" t="s">
        <v>2662</v>
      </c>
      <c r="B370" s="14" t="s">
        <v>3767</v>
      </c>
      <c r="C370" s="14" t="s">
        <v>1653</v>
      </c>
      <c r="D370" s="14" t="s">
        <v>1050</v>
      </c>
      <c r="E370" s="14" t="s">
        <v>3611</v>
      </c>
      <c r="F370" s="14" t="s">
        <v>3611</v>
      </c>
      <c r="G370" s="14" t="s">
        <v>4064</v>
      </c>
    </row>
    <row r="371" spans="1:7" x14ac:dyDescent="0.35">
      <c r="A371" s="14" t="s">
        <v>2566</v>
      </c>
      <c r="B371" s="14" t="s">
        <v>3767</v>
      </c>
      <c r="C371" s="14" t="s">
        <v>1811</v>
      </c>
      <c r="D371" s="14" t="s">
        <v>1050</v>
      </c>
      <c r="E371" s="14" t="s">
        <v>3611</v>
      </c>
      <c r="F371" s="14" t="s">
        <v>3611</v>
      </c>
      <c r="G371" s="14" t="s">
        <v>4064</v>
      </c>
    </row>
    <row r="372" spans="1:7" x14ac:dyDescent="0.35">
      <c r="A372" s="14" t="s">
        <v>2697</v>
      </c>
      <c r="B372" s="14" t="s">
        <v>3767</v>
      </c>
      <c r="C372" s="14" t="s">
        <v>1559</v>
      </c>
      <c r="D372" s="14" t="s">
        <v>1050</v>
      </c>
      <c r="E372" s="14" t="s">
        <v>3611</v>
      </c>
      <c r="F372" s="14" t="s">
        <v>3611</v>
      </c>
      <c r="G372" s="14" t="s">
        <v>4064</v>
      </c>
    </row>
    <row r="373" spans="1:7" x14ac:dyDescent="0.35">
      <c r="A373" s="14" t="s">
        <v>2417</v>
      </c>
      <c r="B373" s="14" t="s">
        <v>3767</v>
      </c>
      <c r="C373" s="14" t="s">
        <v>1702</v>
      </c>
      <c r="D373" s="14" t="s">
        <v>1050</v>
      </c>
      <c r="E373" s="14" t="s">
        <v>3611</v>
      </c>
      <c r="F373" s="14" t="s">
        <v>3611</v>
      </c>
      <c r="G373" s="14" t="s">
        <v>4064</v>
      </c>
    </row>
    <row r="374" spans="1:7" x14ac:dyDescent="0.35">
      <c r="A374" s="14" t="s">
        <v>2580</v>
      </c>
      <c r="B374" s="14" t="s">
        <v>3767</v>
      </c>
      <c r="C374" s="14" t="s">
        <v>1422</v>
      </c>
      <c r="D374" s="14" t="s">
        <v>1050</v>
      </c>
      <c r="E374" s="14" t="s">
        <v>3611</v>
      </c>
      <c r="F374" s="14" t="s">
        <v>3611</v>
      </c>
      <c r="G374" s="14" t="s">
        <v>4064</v>
      </c>
    </row>
    <row r="375" spans="1:7" x14ac:dyDescent="0.35">
      <c r="A375" s="14" t="s">
        <v>2383</v>
      </c>
      <c r="B375" s="14" t="s">
        <v>3767</v>
      </c>
      <c r="C375" s="14" t="s">
        <v>1102</v>
      </c>
      <c r="D375" s="14" t="s">
        <v>1050</v>
      </c>
      <c r="E375" s="14" t="s">
        <v>3611</v>
      </c>
      <c r="F375" s="14" t="s">
        <v>3611</v>
      </c>
      <c r="G375" s="14" t="s">
        <v>4064</v>
      </c>
    </row>
    <row r="376" spans="1:7" x14ac:dyDescent="0.35">
      <c r="A376" s="14" t="s">
        <v>2551</v>
      </c>
      <c r="B376" s="14" t="s">
        <v>3767</v>
      </c>
      <c r="C376" s="14" t="s">
        <v>2176</v>
      </c>
      <c r="D376" s="14" t="s">
        <v>1050</v>
      </c>
      <c r="E376" s="14" t="s">
        <v>3611</v>
      </c>
      <c r="F376" s="14" t="s">
        <v>3611</v>
      </c>
      <c r="G376" s="14" t="s">
        <v>4064</v>
      </c>
    </row>
    <row r="377" spans="1:7" x14ac:dyDescent="0.35">
      <c r="A377" s="14" t="s">
        <v>2467</v>
      </c>
      <c r="B377" s="14" t="s">
        <v>3767</v>
      </c>
      <c r="C377" s="14" t="s">
        <v>1939</v>
      </c>
      <c r="D377" s="14" t="s">
        <v>1050</v>
      </c>
      <c r="E377" s="14" t="s">
        <v>3611</v>
      </c>
      <c r="F377" s="14" t="s">
        <v>3611</v>
      </c>
      <c r="G377" s="14" t="s">
        <v>4064</v>
      </c>
    </row>
    <row r="378" spans="1:7" ht="29" x14ac:dyDescent="0.35">
      <c r="A378" s="14" t="s">
        <v>2087</v>
      </c>
      <c r="B378" s="14" t="s">
        <v>3768</v>
      </c>
      <c r="C378" s="14" t="s">
        <v>1722</v>
      </c>
      <c r="D378" s="14" t="s">
        <v>1025</v>
      </c>
      <c r="E378" s="14" t="s">
        <v>3765</v>
      </c>
      <c r="F378" s="14" t="s">
        <v>3611</v>
      </c>
      <c r="G378" s="14" t="s">
        <v>4066</v>
      </c>
    </row>
    <row r="379" spans="1:7" ht="29" x14ac:dyDescent="0.35">
      <c r="A379" s="14" t="s">
        <v>2265</v>
      </c>
      <c r="B379" s="14" t="s">
        <v>3768</v>
      </c>
      <c r="C379" s="14" t="s">
        <v>1243</v>
      </c>
      <c r="D379" s="14" t="s">
        <v>1048</v>
      </c>
      <c r="E379" s="14" t="s">
        <v>3611</v>
      </c>
      <c r="F379" s="14" t="s">
        <v>3760</v>
      </c>
      <c r="G379" s="14" t="s">
        <v>4066</v>
      </c>
    </row>
    <row r="380" spans="1:7" ht="43.5" x14ac:dyDescent="0.35">
      <c r="A380" s="14" t="s">
        <v>2206</v>
      </c>
      <c r="B380" s="14" t="s">
        <v>3768</v>
      </c>
      <c r="C380" s="14" t="s">
        <v>1373</v>
      </c>
      <c r="D380" s="14" t="s">
        <v>1023</v>
      </c>
      <c r="E380" s="14" t="s">
        <v>3589</v>
      </c>
      <c r="F380" s="14" t="s">
        <v>2832</v>
      </c>
      <c r="G380" s="14" t="s">
        <v>4066</v>
      </c>
    </row>
    <row r="381" spans="1:7" ht="43.5" x14ac:dyDescent="0.35">
      <c r="A381" s="14" t="s">
        <v>2114</v>
      </c>
      <c r="B381" s="14" t="s">
        <v>3768</v>
      </c>
      <c r="C381" s="14" t="s">
        <v>1373</v>
      </c>
      <c r="D381" s="14" t="s">
        <v>1023</v>
      </c>
      <c r="E381" s="14" t="s">
        <v>3589</v>
      </c>
      <c r="F381" s="14" t="s">
        <v>2832</v>
      </c>
      <c r="G381" s="14" t="s">
        <v>4066</v>
      </c>
    </row>
    <row r="382" spans="1:7" ht="43.5" x14ac:dyDescent="0.35">
      <c r="A382" s="14" t="s">
        <v>1997</v>
      </c>
      <c r="B382" s="14" t="s">
        <v>3768</v>
      </c>
      <c r="C382" s="14" t="s">
        <v>1373</v>
      </c>
      <c r="D382" s="14" t="s">
        <v>1023</v>
      </c>
      <c r="E382" s="14" t="s">
        <v>3589</v>
      </c>
      <c r="F382" s="14" t="s">
        <v>2832</v>
      </c>
      <c r="G382" s="14" t="s">
        <v>4066</v>
      </c>
    </row>
    <row r="383" spans="1:7" ht="43.5" x14ac:dyDescent="0.35">
      <c r="A383" s="14" t="s">
        <v>2112</v>
      </c>
      <c r="B383" s="14" t="s">
        <v>3768</v>
      </c>
      <c r="C383" s="14" t="s">
        <v>1373</v>
      </c>
      <c r="D383" s="14" t="s">
        <v>1023</v>
      </c>
      <c r="E383" s="14" t="s">
        <v>3589</v>
      </c>
      <c r="F383" s="14" t="s">
        <v>2832</v>
      </c>
      <c r="G383" s="14" t="s">
        <v>4066</v>
      </c>
    </row>
    <row r="384" spans="1:7" ht="43.5" x14ac:dyDescent="0.35">
      <c r="A384" s="14" t="s">
        <v>1954</v>
      </c>
      <c r="B384" s="14" t="s">
        <v>3768</v>
      </c>
      <c r="C384" s="14" t="s">
        <v>1060</v>
      </c>
      <c r="D384" s="14" t="s">
        <v>1023</v>
      </c>
      <c r="E384" s="14" t="s">
        <v>3589</v>
      </c>
      <c r="F384" s="14" t="s">
        <v>3765</v>
      </c>
      <c r="G384" s="14" t="s">
        <v>4066</v>
      </c>
    </row>
    <row r="385" spans="1:7" ht="43.5" x14ac:dyDescent="0.35">
      <c r="A385" s="14" t="s">
        <v>2152</v>
      </c>
      <c r="B385" s="14" t="s">
        <v>3768</v>
      </c>
      <c r="C385" s="14" t="s">
        <v>1060</v>
      </c>
      <c r="D385" s="14" t="s">
        <v>1023</v>
      </c>
      <c r="E385" s="14" t="s">
        <v>3589</v>
      </c>
      <c r="F385" s="14" t="s">
        <v>3765</v>
      </c>
      <c r="G385" s="14" t="s">
        <v>4066</v>
      </c>
    </row>
    <row r="386" spans="1:7" ht="43.5" x14ac:dyDescent="0.35">
      <c r="A386" s="14" t="s">
        <v>2154</v>
      </c>
      <c r="B386" s="14" t="s">
        <v>3768</v>
      </c>
      <c r="C386" s="14" t="s">
        <v>1060</v>
      </c>
      <c r="D386" s="14" t="s">
        <v>1023</v>
      </c>
      <c r="E386" s="14" t="s">
        <v>3589</v>
      </c>
      <c r="F386" s="14" t="s">
        <v>3765</v>
      </c>
      <c r="G386" s="14" t="s">
        <v>4066</v>
      </c>
    </row>
    <row r="387" spans="1:7" ht="43.5" x14ac:dyDescent="0.35">
      <c r="A387" s="14" t="s">
        <v>2148</v>
      </c>
      <c r="B387" s="14" t="s">
        <v>3768</v>
      </c>
      <c r="C387" s="14" t="s">
        <v>1060</v>
      </c>
      <c r="D387" s="14" t="s">
        <v>1023</v>
      </c>
      <c r="E387" s="14" t="s">
        <v>3589</v>
      </c>
      <c r="F387" s="14" t="s">
        <v>3765</v>
      </c>
      <c r="G387" s="14" t="s">
        <v>4066</v>
      </c>
    </row>
    <row r="388" spans="1:7" ht="101.5" x14ac:dyDescent="0.35">
      <c r="A388" s="14" t="s">
        <v>2243</v>
      </c>
      <c r="B388" s="14" t="s">
        <v>3768</v>
      </c>
      <c r="C388" s="14" t="s">
        <v>2247</v>
      </c>
      <c r="D388" s="14" t="s">
        <v>1023</v>
      </c>
      <c r="E388" s="14" t="s">
        <v>3760</v>
      </c>
      <c r="F388" s="14" t="s">
        <v>4067</v>
      </c>
      <c r="G388" s="14" t="s">
        <v>4066</v>
      </c>
    </row>
    <row r="389" spans="1:7" ht="29" x14ac:dyDescent="0.35">
      <c r="A389" s="14" t="s">
        <v>2205</v>
      </c>
      <c r="B389" s="14" t="s">
        <v>3768</v>
      </c>
      <c r="C389" s="14" t="s">
        <v>1187</v>
      </c>
      <c r="D389" s="14" t="s">
        <v>1023</v>
      </c>
      <c r="E389" s="14" t="s">
        <v>3589</v>
      </c>
      <c r="F389" s="14" t="s">
        <v>2911</v>
      </c>
      <c r="G389" s="14" t="s">
        <v>4066</v>
      </c>
    </row>
    <row r="390" spans="1:7" ht="29" x14ac:dyDescent="0.35">
      <c r="A390" s="14" t="s">
        <v>2224</v>
      </c>
      <c r="B390" s="14" t="s">
        <v>3768</v>
      </c>
      <c r="C390" s="14" t="s">
        <v>1187</v>
      </c>
      <c r="D390" s="14" t="s">
        <v>1023</v>
      </c>
      <c r="E390" s="14" t="s">
        <v>3589</v>
      </c>
      <c r="F390" s="14" t="s">
        <v>2911</v>
      </c>
      <c r="G390" s="14" t="s">
        <v>4066</v>
      </c>
    </row>
    <row r="391" spans="1:7" ht="29" x14ac:dyDescent="0.35">
      <c r="A391" s="14" t="s">
        <v>2090</v>
      </c>
      <c r="B391" s="14" t="s">
        <v>3768</v>
      </c>
      <c r="C391" s="14" t="s">
        <v>1187</v>
      </c>
      <c r="D391" s="14" t="s">
        <v>1023</v>
      </c>
      <c r="E391" s="14" t="s">
        <v>3589</v>
      </c>
      <c r="F391" s="14" t="s">
        <v>2911</v>
      </c>
      <c r="G391" s="14" t="s">
        <v>4066</v>
      </c>
    </row>
    <row r="392" spans="1:7" ht="29" x14ac:dyDescent="0.35">
      <c r="A392" s="14" t="s">
        <v>2292</v>
      </c>
      <c r="B392" s="14" t="s">
        <v>3768</v>
      </c>
      <c r="C392" s="14" t="s">
        <v>1187</v>
      </c>
      <c r="D392" s="14" t="s">
        <v>1023</v>
      </c>
      <c r="E392" s="14" t="s">
        <v>3589</v>
      </c>
      <c r="F392" s="14" t="s">
        <v>2911</v>
      </c>
      <c r="G392" s="14" t="s">
        <v>4066</v>
      </c>
    </row>
    <row r="393" spans="1:7" ht="29" x14ac:dyDescent="0.35">
      <c r="A393" s="14" t="s">
        <v>2163</v>
      </c>
      <c r="B393" s="14" t="s">
        <v>3768</v>
      </c>
      <c r="C393" s="14" t="s">
        <v>2165</v>
      </c>
      <c r="D393" s="14" t="s">
        <v>1025</v>
      </c>
      <c r="E393" s="14" t="s">
        <v>2832</v>
      </c>
      <c r="F393" s="14" t="s">
        <v>3611</v>
      </c>
      <c r="G393" s="14" t="s">
        <v>4066</v>
      </c>
    </row>
    <row r="394" spans="1:7" ht="29" x14ac:dyDescent="0.35">
      <c r="A394" s="14" t="s">
        <v>1931</v>
      </c>
      <c r="B394" s="14" t="s">
        <v>3768</v>
      </c>
      <c r="C394" s="14" t="s">
        <v>1779</v>
      </c>
      <c r="D394" s="14" t="s">
        <v>1025</v>
      </c>
      <c r="E394" s="14" t="s">
        <v>3760</v>
      </c>
      <c r="F394" s="14" t="s">
        <v>3611</v>
      </c>
      <c r="G394" s="14" t="s">
        <v>4066</v>
      </c>
    </row>
    <row r="395" spans="1:7" ht="29" x14ac:dyDescent="0.35">
      <c r="A395" s="14" t="s">
        <v>2178</v>
      </c>
      <c r="B395" s="14" t="s">
        <v>3768</v>
      </c>
      <c r="C395" s="14" t="s">
        <v>1689</v>
      </c>
      <c r="D395" s="14" t="s">
        <v>1023</v>
      </c>
      <c r="E395" s="14" t="s">
        <v>3760</v>
      </c>
      <c r="F395" s="14" t="s">
        <v>2911</v>
      </c>
      <c r="G395" s="14" t="s">
        <v>4066</v>
      </c>
    </row>
    <row r="396" spans="1:7" ht="43.5" x14ac:dyDescent="0.35">
      <c r="A396" s="14" t="s">
        <v>2201</v>
      </c>
      <c r="B396" s="14" t="s">
        <v>3768</v>
      </c>
      <c r="C396" s="14" t="s">
        <v>1481</v>
      </c>
      <c r="D396" s="14" t="s">
        <v>1023</v>
      </c>
      <c r="E396" s="14" t="s">
        <v>2911</v>
      </c>
      <c r="F396" s="14" t="s">
        <v>2832</v>
      </c>
      <c r="G396" s="14" t="s">
        <v>4066</v>
      </c>
    </row>
    <row r="397" spans="1:7" ht="43.5" x14ac:dyDescent="0.35">
      <c r="A397" s="14" t="s">
        <v>2342</v>
      </c>
      <c r="B397" s="14" t="s">
        <v>3768</v>
      </c>
      <c r="C397" s="14" t="s">
        <v>1481</v>
      </c>
      <c r="D397" s="14" t="s">
        <v>1023</v>
      </c>
      <c r="E397" s="14" t="s">
        <v>2911</v>
      </c>
      <c r="F397" s="14" t="s">
        <v>2832</v>
      </c>
      <c r="G397" s="14" t="s">
        <v>4066</v>
      </c>
    </row>
    <row r="398" spans="1:7" ht="43.5" x14ac:dyDescent="0.35">
      <c r="A398" s="14" t="s">
        <v>2258</v>
      </c>
      <c r="B398" s="14" t="s">
        <v>3768</v>
      </c>
      <c r="C398" s="14" t="s">
        <v>1481</v>
      </c>
      <c r="D398" s="14" t="s">
        <v>1023</v>
      </c>
      <c r="E398" s="14" t="s">
        <v>2911</v>
      </c>
      <c r="F398" s="14" t="s">
        <v>2832</v>
      </c>
      <c r="G398" s="14" t="s">
        <v>4066</v>
      </c>
    </row>
    <row r="399" spans="1:7" ht="29" x14ac:dyDescent="0.35">
      <c r="A399" s="14" t="s">
        <v>1934</v>
      </c>
      <c r="B399" s="14" t="s">
        <v>3768</v>
      </c>
      <c r="C399" s="14" t="s">
        <v>1260</v>
      </c>
      <c r="D399" s="14" t="s">
        <v>1023</v>
      </c>
      <c r="E399" s="14" t="s">
        <v>2911</v>
      </c>
      <c r="F399" s="14" t="s">
        <v>3760</v>
      </c>
      <c r="G399" s="14" t="s">
        <v>4066</v>
      </c>
    </row>
    <row r="400" spans="1:7" ht="29" x14ac:dyDescent="0.35">
      <c r="A400" s="14" t="s">
        <v>2008</v>
      </c>
      <c r="B400" s="14" t="s">
        <v>3768</v>
      </c>
      <c r="C400" s="14" t="s">
        <v>1260</v>
      </c>
      <c r="D400" s="14" t="s">
        <v>1023</v>
      </c>
      <c r="E400" s="14" t="s">
        <v>2911</v>
      </c>
      <c r="F400" s="14" t="s">
        <v>3760</v>
      </c>
      <c r="G400" s="14" t="s">
        <v>4066</v>
      </c>
    </row>
    <row r="401" spans="1:7" ht="29" x14ac:dyDescent="0.35">
      <c r="A401" s="14" t="s">
        <v>1943</v>
      </c>
      <c r="B401" s="14" t="s">
        <v>3768</v>
      </c>
      <c r="C401" s="14" t="s">
        <v>1260</v>
      </c>
      <c r="D401" s="14" t="s">
        <v>1023</v>
      </c>
      <c r="E401" s="14" t="s">
        <v>2911</v>
      </c>
      <c r="F401" s="14" t="s">
        <v>3760</v>
      </c>
      <c r="G401" s="14" t="s">
        <v>4066</v>
      </c>
    </row>
    <row r="402" spans="1:7" ht="29" x14ac:dyDescent="0.35">
      <c r="A402" s="14" t="s">
        <v>2107</v>
      </c>
      <c r="B402" s="14" t="s">
        <v>3768</v>
      </c>
      <c r="C402" s="14" t="s">
        <v>2109</v>
      </c>
      <c r="D402" s="14" t="s">
        <v>1048</v>
      </c>
      <c r="E402" s="14" t="s">
        <v>3611</v>
      </c>
      <c r="F402" s="14" t="s">
        <v>3760</v>
      </c>
      <c r="G402" s="14" t="s">
        <v>4066</v>
      </c>
    </row>
    <row r="403" spans="1:7" ht="43.5" x14ac:dyDescent="0.35">
      <c r="A403" s="14" t="s">
        <v>2098</v>
      </c>
      <c r="B403" s="14" t="s">
        <v>3768</v>
      </c>
      <c r="C403" s="14" t="s">
        <v>1785</v>
      </c>
      <c r="D403" s="14" t="s">
        <v>1023</v>
      </c>
      <c r="E403" s="14" t="s">
        <v>3760</v>
      </c>
      <c r="F403" s="14" t="s">
        <v>3765</v>
      </c>
      <c r="G403" s="14" t="s">
        <v>4066</v>
      </c>
    </row>
    <row r="404" spans="1:7" ht="43.5" x14ac:dyDescent="0.35">
      <c r="A404" s="14" t="s">
        <v>2213</v>
      </c>
      <c r="B404" s="14" t="s">
        <v>3768</v>
      </c>
      <c r="C404" s="14" t="s">
        <v>1785</v>
      </c>
      <c r="D404" s="14" t="s">
        <v>1023</v>
      </c>
      <c r="E404" s="14" t="s">
        <v>3760</v>
      </c>
      <c r="F404" s="14" t="s">
        <v>3765</v>
      </c>
      <c r="G404" s="14" t="s">
        <v>4066</v>
      </c>
    </row>
    <row r="405" spans="1:7" ht="29" x14ac:dyDescent="0.35">
      <c r="A405" s="14" t="s">
        <v>2053</v>
      </c>
      <c r="B405" s="14" t="s">
        <v>3768</v>
      </c>
      <c r="C405" s="14" t="s">
        <v>1352</v>
      </c>
      <c r="D405" s="14" t="s">
        <v>1023</v>
      </c>
      <c r="E405" s="14" t="s">
        <v>2911</v>
      </c>
      <c r="F405" s="14" t="s">
        <v>3589</v>
      </c>
      <c r="G405" s="14" t="s">
        <v>4066</v>
      </c>
    </row>
    <row r="406" spans="1:7" ht="29" x14ac:dyDescent="0.35">
      <c r="A406" s="14" t="s">
        <v>2284</v>
      </c>
      <c r="B406" s="14" t="s">
        <v>3768</v>
      </c>
      <c r="C406" s="14" t="s">
        <v>1352</v>
      </c>
      <c r="D406" s="14" t="s">
        <v>1023</v>
      </c>
      <c r="E406" s="14" t="s">
        <v>2911</v>
      </c>
      <c r="F406" s="14" t="s">
        <v>3589</v>
      </c>
      <c r="G406" s="14" t="s">
        <v>4066</v>
      </c>
    </row>
    <row r="407" spans="1:7" ht="29" x14ac:dyDescent="0.35">
      <c r="A407" s="14" t="s">
        <v>2288</v>
      </c>
      <c r="B407" s="14" t="s">
        <v>3768</v>
      </c>
      <c r="C407" s="14" t="s">
        <v>2290</v>
      </c>
      <c r="D407" s="14" t="s">
        <v>1050</v>
      </c>
      <c r="E407" s="14" t="s">
        <v>3611</v>
      </c>
      <c r="F407" s="14" t="s">
        <v>3611</v>
      </c>
      <c r="G407" s="14" t="s">
        <v>4066</v>
      </c>
    </row>
    <row r="408" spans="1:7" ht="29" x14ac:dyDescent="0.35">
      <c r="A408" s="14" t="s">
        <v>2268</v>
      </c>
      <c r="B408" s="14" t="s">
        <v>3768</v>
      </c>
      <c r="C408" s="14" t="s">
        <v>2270</v>
      </c>
      <c r="D408" s="14" t="s">
        <v>1048</v>
      </c>
      <c r="E408" s="14" t="s">
        <v>3611</v>
      </c>
      <c r="F408" s="14" t="s">
        <v>2911</v>
      </c>
      <c r="G408" s="14" t="s">
        <v>4066</v>
      </c>
    </row>
    <row r="409" spans="1:7" ht="29" x14ac:dyDescent="0.35">
      <c r="A409" s="14" t="s">
        <v>2168</v>
      </c>
      <c r="B409" s="14" t="s">
        <v>3768</v>
      </c>
      <c r="C409" s="14" t="s">
        <v>1221</v>
      </c>
      <c r="D409" s="14" t="s">
        <v>1025</v>
      </c>
      <c r="E409" s="14" t="s">
        <v>2911</v>
      </c>
      <c r="F409" s="14" t="s">
        <v>3611</v>
      </c>
      <c r="G409" s="14" t="s">
        <v>4066</v>
      </c>
    </row>
    <row r="410" spans="1:7" ht="29" x14ac:dyDescent="0.35">
      <c r="A410" s="14" t="s">
        <v>2370</v>
      </c>
      <c r="B410" s="14" t="s">
        <v>3768</v>
      </c>
      <c r="C410" s="14" t="s">
        <v>2371</v>
      </c>
      <c r="D410" s="14" t="s">
        <v>1048</v>
      </c>
      <c r="E410" s="14" t="s">
        <v>3611</v>
      </c>
      <c r="F410" s="14" t="s">
        <v>3760</v>
      </c>
      <c r="G410" s="14" t="s">
        <v>4066</v>
      </c>
    </row>
    <row r="411" spans="1:7" ht="29" x14ac:dyDescent="0.35">
      <c r="A411" s="14" t="s">
        <v>2351</v>
      </c>
      <c r="B411" s="14" t="s">
        <v>3768</v>
      </c>
      <c r="C411" s="14" t="s">
        <v>1564</v>
      </c>
      <c r="D411" s="14" t="s">
        <v>1023</v>
      </c>
      <c r="E411" s="14" t="s">
        <v>3760</v>
      </c>
      <c r="F411" s="14" t="s">
        <v>3589</v>
      </c>
      <c r="G411" s="14" t="s">
        <v>4066</v>
      </c>
    </row>
    <row r="412" spans="1:7" ht="29" x14ac:dyDescent="0.35">
      <c r="A412" s="14" t="s">
        <v>2142</v>
      </c>
      <c r="B412" s="14" t="s">
        <v>3768</v>
      </c>
      <c r="C412" s="14" t="s">
        <v>1564</v>
      </c>
      <c r="D412" s="14" t="s">
        <v>1023</v>
      </c>
      <c r="E412" s="14" t="s">
        <v>3760</v>
      </c>
      <c r="F412" s="14" t="s">
        <v>3589</v>
      </c>
      <c r="G412" s="14" t="s">
        <v>4066</v>
      </c>
    </row>
    <row r="413" spans="1:7" ht="58" x14ac:dyDescent="0.35">
      <c r="A413" s="14" t="s">
        <v>2015</v>
      </c>
      <c r="B413" s="14" t="s">
        <v>3768</v>
      </c>
      <c r="C413" s="14" t="s">
        <v>1852</v>
      </c>
      <c r="D413" s="14" t="s">
        <v>1048</v>
      </c>
      <c r="E413" s="14" t="s">
        <v>3611</v>
      </c>
      <c r="F413" s="14" t="s">
        <v>2955</v>
      </c>
      <c r="G413" s="14" t="s">
        <v>4066</v>
      </c>
    </row>
    <row r="414" spans="1:7" ht="29" x14ac:dyDescent="0.35">
      <c r="A414" s="14" t="s">
        <v>2124</v>
      </c>
      <c r="B414" s="14" t="s">
        <v>3768</v>
      </c>
      <c r="C414" s="14" t="s">
        <v>1581</v>
      </c>
      <c r="D414" s="14" t="s">
        <v>1048</v>
      </c>
      <c r="E414" s="14" t="s">
        <v>3611</v>
      </c>
      <c r="F414" s="14" t="s">
        <v>3760</v>
      </c>
      <c r="G414" s="14" t="s">
        <v>4066</v>
      </c>
    </row>
    <row r="415" spans="1:7" ht="43.5" x14ac:dyDescent="0.35">
      <c r="A415" s="14" t="s">
        <v>2253</v>
      </c>
      <c r="B415" s="14" t="s">
        <v>3768</v>
      </c>
      <c r="C415" s="14" t="s">
        <v>1916</v>
      </c>
      <c r="D415" s="14" t="s">
        <v>1023</v>
      </c>
      <c r="E415" s="14" t="s">
        <v>3760</v>
      </c>
      <c r="F415" s="14" t="s">
        <v>3589</v>
      </c>
      <c r="G415" s="14" t="s">
        <v>4066</v>
      </c>
    </row>
    <row r="416" spans="1:7" ht="29" x14ac:dyDescent="0.35">
      <c r="A416" s="14" t="s">
        <v>2089</v>
      </c>
      <c r="B416" s="14" t="s">
        <v>3768</v>
      </c>
      <c r="C416" s="14" t="s">
        <v>1306</v>
      </c>
      <c r="D416" s="14" t="s">
        <v>1023</v>
      </c>
      <c r="E416" s="14" t="s">
        <v>3760</v>
      </c>
      <c r="F416" s="14" t="s">
        <v>3589</v>
      </c>
      <c r="G416" s="14" t="s">
        <v>4066</v>
      </c>
    </row>
    <row r="417" spans="1:7" ht="29" x14ac:dyDescent="0.35">
      <c r="A417" s="14" t="s">
        <v>2077</v>
      </c>
      <c r="B417" s="14" t="s">
        <v>3768</v>
      </c>
      <c r="C417" s="14" t="s">
        <v>1838</v>
      </c>
      <c r="D417" s="14" t="s">
        <v>1048</v>
      </c>
      <c r="E417" s="14" t="s">
        <v>3611</v>
      </c>
      <c r="F417" s="14" t="s">
        <v>3760</v>
      </c>
      <c r="G417" s="14" t="s">
        <v>4066</v>
      </c>
    </row>
    <row r="418" spans="1:7" ht="29" x14ac:dyDescent="0.35">
      <c r="A418" s="14" t="s">
        <v>2274</v>
      </c>
      <c r="B418" s="14" t="s">
        <v>3768</v>
      </c>
      <c r="C418" s="14" t="s">
        <v>1513</v>
      </c>
      <c r="D418" s="14" t="s">
        <v>1048</v>
      </c>
      <c r="E418" s="14" t="s">
        <v>3611</v>
      </c>
      <c r="F418" s="14" t="s">
        <v>3760</v>
      </c>
      <c r="G418" s="14" t="s">
        <v>4066</v>
      </c>
    </row>
    <row r="419" spans="1:7" ht="29" x14ac:dyDescent="0.35">
      <c r="A419" s="14" t="s">
        <v>2234</v>
      </c>
      <c r="B419" s="14" t="s">
        <v>3768</v>
      </c>
      <c r="C419" s="14" t="s">
        <v>1409</v>
      </c>
      <c r="D419" s="14" t="s">
        <v>1023</v>
      </c>
      <c r="E419" s="14" t="s">
        <v>3760</v>
      </c>
      <c r="F419" s="14" t="s">
        <v>2911</v>
      </c>
      <c r="G419" s="14" t="s">
        <v>4066</v>
      </c>
    </row>
    <row r="420" spans="1:7" ht="29" x14ac:dyDescent="0.35">
      <c r="A420" s="14" t="s">
        <v>2170</v>
      </c>
      <c r="B420" s="14" t="s">
        <v>3768</v>
      </c>
      <c r="C420" s="14" t="s">
        <v>1022</v>
      </c>
      <c r="D420" s="14" t="s">
        <v>1023</v>
      </c>
      <c r="E420" s="14" t="s">
        <v>3760</v>
      </c>
      <c r="F420" s="14" t="s">
        <v>2911</v>
      </c>
      <c r="G420" s="14" t="s">
        <v>4066</v>
      </c>
    </row>
    <row r="421" spans="1:7" ht="29" x14ac:dyDescent="0.35">
      <c r="A421" s="14" t="s">
        <v>2049</v>
      </c>
      <c r="B421" s="14" t="s">
        <v>3768</v>
      </c>
      <c r="C421" s="14" t="s">
        <v>1022</v>
      </c>
      <c r="D421" s="14" t="s">
        <v>1023</v>
      </c>
      <c r="E421" s="14" t="s">
        <v>3760</v>
      </c>
      <c r="F421" s="14" t="s">
        <v>2911</v>
      </c>
      <c r="G421" s="14" t="s">
        <v>4066</v>
      </c>
    </row>
    <row r="422" spans="1:7" ht="43.5" x14ac:dyDescent="0.35">
      <c r="A422" s="14" t="s">
        <v>2116</v>
      </c>
      <c r="B422" s="14" t="s">
        <v>3768</v>
      </c>
      <c r="C422" s="14" t="s">
        <v>1740</v>
      </c>
      <c r="D422" s="14" t="s">
        <v>1048</v>
      </c>
      <c r="E422" s="14" t="s">
        <v>3611</v>
      </c>
      <c r="F422" s="14" t="s">
        <v>3765</v>
      </c>
      <c r="G422" s="14" t="s">
        <v>4066</v>
      </c>
    </row>
    <row r="423" spans="1:7" ht="29" x14ac:dyDescent="0.35">
      <c r="A423" s="14" t="s">
        <v>2006</v>
      </c>
      <c r="B423" s="14" t="s">
        <v>3768</v>
      </c>
      <c r="C423" s="14" t="s">
        <v>1491</v>
      </c>
      <c r="D423" s="14" t="s">
        <v>1023</v>
      </c>
      <c r="E423" s="14" t="s">
        <v>3760</v>
      </c>
      <c r="F423" s="14" t="s">
        <v>2911</v>
      </c>
      <c r="G423" s="14" t="s">
        <v>4066</v>
      </c>
    </row>
    <row r="424" spans="1:7" ht="29" x14ac:dyDescent="0.35">
      <c r="A424" s="14" t="s">
        <v>2161</v>
      </c>
      <c r="B424" s="14" t="s">
        <v>3768</v>
      </c>
      <c r="C424" s="14" t="s">
        <v>1491</v>
      </c>
      <c r="D424" s="14" t="s">
        <v>1023</v>
      </c>
      <c r="E424" s="14" t="s">
        <v>3760</v>
      </c>
      <c r="F424" s="14" t="s">
        <v>2911</v>
      </c>
      <c r="G424" s="14" t="s">
        <v>4066</v>
      </c>
    </row>
    <row r="425" spans="1:7" ht="29" x14ac:dyDescent="0.35">
      <c r="A425" s="14" t="s">
        <v>1999</v>
      </c>
      <c r="B425" s="14" t="s">
        <v>3768</v>
      </c>
      <c r="C425" s="14" t="s">
        <v>1504</v>
      </c>
      <c r="D425" s="14" t="s">
        <v>1048</v>
      </c>
      <c r="E425" s="14" t="s">
        <v>3611</v>
      </c>
      <c r="F425" s="14" t="s">
        <v>3589</v>
      </c>
      <c r="G425" s="14" t="s">
        <v>4066</v>
      </c>
    </row>
    <row r="426" spans="1:7" ht="29" x14ac:dyDescent="0.35">
      <c r="A426" s="14" t="s">
        <v>2368</v>
      </c>
      <c r="B426" s="14" t="s">
        <v>3768</v>
      </c>
      <c r="C426" s="14" t="s">
        <v>1414</v>
      </c>
      <c r="D426" s="14" t="s">
        <v>1048</v>
      </c>
      <c r="E426" s="14" t="s">
        <v>3611</v>
      </c>
      <c r="F426" s="14" t="s">
        <v>2911</v>
      </c>
      <c r="G426" s="14" t="s">
        <v>4066</v>
      </c>
    </row>
    <row r="427" spans="1:7" ht="43.5" x14ac:dyDescent="0.35">
      <c r="A427" s="14" t="s">
        <v>2360</v>
      </c>
      <c r="B427" s="14" t="s">
        <v>3768</v>
      </c>
      <c r="C427" s="14" t="s">
        <v>1684</v>
      </c>
      <c r="D427" s="14" t="s">
        <v>1048</v>
      </c>
      <c r="E427" s="14" t="s">
        <v>3611</v>
      </c>
      <c r="F427" s="14" t="s">
        <v>2832</v>
      </c>
      <c r="G427" s="14" t="s">
        <v>4066</v>
      </c>
    </row>
    <row r="428" spans="1:7" ht="29" x14ac:dyDescent="0.35">
      <c r="A428" s="14" t="s">
        <v>2120</v>
      </c>
      <c r="B428" s="14" t="s">
        <v>3768</v>
      </c>
      <c r="C428" s="14" t="s">
        <v>1596</v>
      </c>
      <c r="D428" s="14" t="s">
        <v>1048</v>
      </c>
      <c r="E428" s="14" t="s">
        <v>3611</v>
      </c>
      <c r="F428" s="14" t="s">
        <v>3760</v>
      </c>
      <c r="G428" s="14" t="s">
        <v>4066</v>
      </c>
    </row>
    <row r="429" spans="1:7" ht="29" x14ac:dyDescent="0.35">
      <c r="A429" s="14" t="s">
        <v>2319</v>
      </c>
      <c r="B429" s="14" t="s">
        <v>3768</v>
      </c>
      <c r="C429" s="14" t="s">
        <v>1275</v>
      </c>
      <c r="D429" s="14" t="s">
        <v>1048</v>
      </c>
      <c r="E429" s="14" t="s">
        <v>3611</v>
      </c>
      <c r="F429" s="14" t="s">
        <v>2911</v>
      </c>
      <c r="G429" s="14" t="s">
        <v>4066</v>
      </c>
    </row>
    <row r="430" spans="1:7" ht="29" x14ac:dyDescent="0.35">
      <c r="A430" s="14" t="s">
        <v>2353</v>
      </c>
      <c r="B430" s="14" t="s">
        <v>3768</v>
      </c>
      <c r="C430" s="14" t="s">
        <v>1574</v>
      </c>
      <c r="D430" s="14" t="s">
        <v>1023</v>
      </c>
      <c r="E430" s="14" t="s">
        <v>3760</v>
      </c>
      <c r="F430" s="14" t="s">
        <v>3760</v>
      </c>
      <c r="G430" s="14" t="s">
        <v>4066</v>
      </c>
    </row>
    <row r="431" spans="1:7" ht="29" x14ac:dyDescent="0.35">
      <c r="A431" s="14" t="s">
        <v>2276</v>
      </c>
      <c r="B431" s="14" t="s">
        <v>3768</v>
      </c>
      <c r="C431" s="14" t="s">
        <v>1528</v>
      </c>
      <c r="D431" s="14" t="s">
        <v>1048</v>
      </c>
      <c r="E431" s="14" t="s">
        <v>3611</v>
      </c>
      <c r="F431" s="14" t="s">
        <v>2911</v>
      </c>
      <c r="G431" s="14" t="s">
        <v>4066</v>
      </c>
    </row>
    <row r="432" spans="1:7" ht="29" x14ac:dyDescent="0.35">
      <c r="A432" s="14" t="s">
        <v>2280</v>
      </c>
      <c r="B432" s="14" t="s">
        <v>3768</v>
      </c>
      <c r="C432" s="14" t="s">
        <v>1536</v>
      </c>
      <c r="D432" s="14" t="s">
        <v>1048</v>
      </c>
      <c r="E432" s="14" t="s">
        <v>3611</v>
      </c>
      <c r="F432" s="14" t="s">
        <v>3589</v>
      </c>
      <c r="G432" s="14" t="s">
        <v>4066</v>
      </c>
    </row>
    <row r="433" spans="1:7" ht="29" x14ac:dyDescent="0.35">
      <c r="A433" s="14" t="s">
        <v>2045</v>
      </c>
      <c r="B433" s="14" t="s">
        <v>3768</v>
      </c>
      <c r="C433" s="14" t="s">
        <v>1314</v>
      </c>
      <c r="D433" s="14" t="s">
        <v>1023</v>
      </c>
      <c r="E433" s="14" t="s">
        <v>3760</v>
      </c>
      <c r="F433" s="14" t="s">
        <v>3760</v>
      </c>
      <c r="G433" s="14" t="s">
        <v>4066</v>
      </c>
    </row>
    <row r="434" spans="1:7" ht="29" x14ac:dyDescent="0.35">
      <c r="A434" s="14" t="s">
        <v>1992</v>
      </c>
      <c r="B434" s="14" t="s">
        <v>3768</v>
      </c>
      <c r="C434" s="14" t="s">
        <v>1314</v>
      </c>
      <c r="D434" s="14" t="s">
        <v>1023</v>
      </c>
      <c r="E434" s="14" t="s">
        <v>3760</v>
      </c>
      <c r="F434" s="14" t="s">
        <v>3760</v>
      </c>
      <c r="G434" s="14" t="s">
        <v>4066</v>
      </c>
    </row>
    <row r="435" spans="1:7" ht="29" x14ac:dyDescent="0.35">
      <c r="A435" s="14" t="s">
        <v>2091</v>
      </c>
      <c r="B435" s="14" t="s">
        <v>3768</v>
      </c>
      <c r="C435" s="14" t="s">
        <v>1167</v>
      </c>
      <c r="D435" s="14" t="s">
        <v>1023</v>
      </c>
      <c r="E435" s="14" t="s">
        <v>3760</v>
      </c>
      <c r="F435" s="14" t="s">
        <v>3760</v>
      </c>
      <c r="G435" s="14" t="s">
        <v>4066</v>
      </c>
    </row>
    <row r="436" spans="1:7" ht="43.5" x14ac:dyDescent="0.35">
      <c r="A436" s="14" t="s">
        <v>2011</v>
      </c>
      <c r="B436" s="14" t="s">
        <v>3768</v>
      </c>
      <c r="C436" s="14" t="s">
        <v>1162</v>
      </c>
      <c r="D436" s="14" t="s">
        <v>1048</v>
      </c>
      <c r="E436" s="14" t="s">
        <v>3611</v>
      </c>
      <c r="F436" s="14" t="s">
        <v>3589</v>
      </c>
      <c r="G436" s="14" t="s">
        <v>4066</v>
      </c>
    </row>
    <row r="437" spans="1:7" ht="29" x14ac:dyDescent="0.35">
      <c r="A437" s="14" t="s">
        <v>1958</v>
      </c>
      <c r="B437" s="14" t="s">
        <v>3768</v>
      </c>
      <c r="C437" s="14" t="s">
        <v>1622</v>
      </c>
      <c r="D437" s="14" t="s">
        <v>1048</v>
      </c>
      <c r="E437" s="14" t="s">
        <v>3611</v>
      </c>
      <c r="F437" s="14" t="s">
        <v>3589</v>
      </c>
      <c r="G437" s="14" t="s">
        <v>4066</v>
      </c>
    </row>
    <row r="438" spans="1:7" ht="29" x14ac:dyDescent="0.35">
      <c r="A438" s="14" t="s">
        <v>2079</v>
      </c>
      <c r="B438" s="14" t="s">
        <v>3768</v>
      </c>
      <c r="C438" s="14" t="s">
        <v>1899</v>
      </c>
      <c r="D438" s="14" t="s">
        <v>1048</v>
      </c>
      <c r="E438" s="14" t="s">
        <v>3611</v>
      </c>
      <c r="F438" s="14" t="s">
        <v>3589</v>
      </c>
      <c r="G438" s="14" t="s">
        <v>4066</v>
      </c>
    </row>
    <row r="439" spans="1:7" ht="29" x14ac:dyDescent="0.35">
      <c r="A439" s="14" t="s">
        <v>2027</v>
      </c>
      <c r="B439" s="14" t="s">
        <v>3768</v>
      </c>
      <c r="C439" s="14" t="s">
        <v>1860</v>
      </c>
      <c r="D439" s="14" t="s">
        <v>1048</v>
      </c>
      <c r="E439" s="14" t="s">
        <v>3611</v>
      </c>
      <c r="F439" s="14" t="s">
        <v>3589</v>
      </c>
      <c r="G439" s="14" t="s">
        <v>4066</v>
      </c>
    </row>
    <row r="440" spans="1:7" ht="29" x14ac:dyDescent="0.35">
      <c r="A440" s="14" t="s">
        <v>2215</v>
      </c>
      <c r="B440" s="14" t="s">
        <v>3768</v>
      </c>
      <c r="C440" s="14" t="s">
        <v>2219</v>
      </c>
      <c r="D440" s="14" t="s">
        <v>1048</v>
      </c>
      <c r="E440" s="14" t="s">
        <v>3611</v>
      </c>
      <c r="F440" s="14" t="s">
        <v>3589</v>
      </c>
      <c r="G440" s="14" t="s">
        <v>4066</v>
      </c>
    </row>
    <row r="441" spans="1:7" ht="29" x14ac:dyDescent="0.35">
      <c r="A441" s="14" t="s">
        <v>2339</v>
      </c>
      <c r="B441" s="14" t="s">
        <v>3768</v>
      </c>
      <c r="C441" s="14" t="s">
        <v>1177</v>
      </c>
      <c r="D441" s="14" t="s">
        <v>1025</v>
      </c>
      <c r="E441" s="14" t="s">
        <v>3760</v>
      </c>
      <c r="F441" s="14" t="s">
        <v>3611</v>
      </c>
      <c r="G441" s="14" t="s">
        <v>4066</v>
      </c>
    </row>
    <row r="442" spans="1:7" ht="29" x14ac:dyDescent="0.35">
      <c r="A442" s="14" t="s">
        <v>2327</v>
      </c>
      <c r="B442" s="14" t="s">
        <v>3768</v>
      </c>
      <c r="C442" s="14" t="s">
        <v>1177</v>
      </c>
      <c r="D442" s="14" t="s">
        <v>1025</v>
      </c>
      <c r="E442" s="14" t="s">
        <v>3760</v>
      </c>
      <c r="F442" s="14" t="s">
        <v>3611</v>
      </c>
      <c r="G442" s="14" t="s">
        <v>4066</v>
      </c>
    </row>
    <row r="443" spans="1:7" ht="29" x14ac:dyDescent="0.35">
      <c r="A443" s="14" t="s">
        <v>2096</v>
      </c>
      <c r="B443" s="14" t="s">
        <v>3768</v>
      </c>
      <c r="C443" s="14" t="s">
        <v>1107</v>
      </c>
      <c r="D443" s="14" t="s">
        <v>1048</v>
      </c>
      <c r="E443" s="14" t="s">
        <v>3611</v>
      </c>
      <c r="F443" s="14" t="s">
        <v>3760</v>
      </c>
      <c r="G443" s="14" t="s">
        <v>4066</v>
      </c>
    </row>
    <row r="444" spans="1:7" ht="29" x14ac:dyDescent="0.35">
      <c r="A444" s="14" t="s">
        <v>1963</v>
      </c>
      <c r="B444" s="14" t="s">
        <v>3768</v>
      </c>
      <c r="C444" s="14" t="s">
        <v>1796</v>
      </c>
      <c r="D444" s="14" t="s">
        <v>1048</v>
      </c>
      <c r="E444" s="14" t="s">
        <v>3611</v>
      </c>
      <c r="F444" s="14" t="s">
        <v>3760</v>
      </c>
      <c r="G444" s="14" t="s">
        <v>4066</v>
      </c>
    </row>
    <row r="445" spans="1:7" ht="29" x14ac:dyDescent="0.35">
      <c r="A445" s="14" t="s">
        <v>2304</v>
      </c>
      <c r="B445" s="14" t="s">
        <v>3768</v>
      </c>
      <c r="C445" s="14" t="s">
        <v>1553</v>
      </c>
      <c r="D445" s="14" t="s">
        <v>1048</v>
      </c>
      <c r="E445" s="14" t="s">
        <v>3611</v>
      </c>
      <c r="F445" s="14" t="s">
        <v>2911</v>
      </c>
      <c r="G445" s="14" t="s">
        <v>4066</v>
      </c>
    </row>
    <row r="446" spans="1:7" ht="29" x14ac:dyDescent="0.35">
      <c r="A446" s="14" t="s">
        <v>2062</v>
      </c>
      <c r="B446" s="14" t="s">
        <v>3768</v>
      </c>
      <c r="C446" s="14" t="s">
        <v>1182</v>
      </c>
      <c r="D446" s="14" t="s">
        <v>1025</v>
      </c>
      <c r="E446" s="14" t="s">
        <v>3760</v>
      </c>
      <c r="F446" s="14" t="s">
        <v>3611</v>
      </c>
      <c r="G446" s="14" t="s">
        <v>4066</v>
      </c>
    </row>
    <row r="447" spans="1:7" ht="29" x14ac:dyDescent="0.35">
      <c r="A447" s="14" t="s">
        <v>2321</v>
      </c>
      <c r="B447" s="14" t="s">
        <v>3768</v>
      </c>
      <c r="C447" s="14" t="s">
        <v>1182</v>
      </c>
      <c r="D447" s="14" t="s">
        <v>1025</v>
      </c>
      <c r="E447" s="14" t="s">
        <v>3760</v>
      </c>
      <c r="F447" s="14" t="s">
        <v>3611</v>
      </c>
      <c r="G447" s="14" t="s">
        <v>4066</v>
      </c>
    </row>
    <row r="448" spans="1:7" ht="29" x14ac:dyDescent="0.35">
      <c r="A448" s="14" t="s">
        <v>2034</v>
      </c>
      <c r="B448" s="14" t="s">
        <v>3768</v>
      </c>
      <c r="C448" s="14" t="s">
        <v>1269</v>
      </c>
      <c r="D448" s="14" t="s">
        <v>1048</v>
      </c>
      <c r="E448" s="14" t="s">
        <v>3611</v>
      </c>
      <c r="F448" s="14" t="s">
        <v>3589</v>
      </c>
      <c r="G448" s="14" t="s">
        <v>4066</v>
      </c>
    </row>
    <row r="449" spans="1:7" ht="29" x14ac:dyDescent="0.35">
      <c r="A449" s="14" t="s">
        <v>2191</v>
      </c>
      <c r="B449" s="14" t="s">
        <v>3768</v>
      </c>
      <c r="C449" s="14" t="s">
        <v>1657</v>
      </c>
      <c r="D449" s="14" t="s">
        <v>1048</v>
      </c>
      <c r="E449" s="14" t="s">
        <v>3611</v>
      </c>
      <c r="F449" s="14" t="s">
        <v>3760</v>
      </c>
      <c r="G449" s="14" t="s">
        <v>4066</v>
      </c>
    </row>
    <row r="450" spans="1:7" ht="43.5" x14ac:dyDescent="0.35">
      <c r="A450" s="14" t="s">
        <v>1972</v>
      </c>
      <c r="B450" s="14" t="s">
        <v>3768</v>
      </c>
      <c r="C450" s="14" t="s">
        <v>1092</v>
      </c>
      <c r="D450" s="14" t="s">
        <v>1048</v>
      </c>
      <c r="E450" s="14" t="s">
        <v>3611</v>
      </c>
      <c r="F450" s="14" t="s">
        <v>2832</v>
      </c>
      <c r="G450" s="14" t="s">
        <v>4066</v>
      </c>
    </row>
    <row r="451" spans="1:7" ht="29" x14ac:dyDescent="0.35">
      <c r="A451" s="14" t="s">
        <v>2102</v>
      </c>
      <c r="B451" s="14" t="s">
        <v>3768</v>
      </c>
      <c r="C451" s="14" t="s">
        <v>1193</v>
      </c>
      <c r="D451" s="14" t="s">
        <v>1048</v>
      </c>
      <c r="E451" s="14" t="s">
        <v>3611</v>
      </c>
      <c r="F451" s="14" t="s">
        <v>3760</v>
      </c>
      <c r="G451" s="14" t="s">
        <v>4066</v>
      </c>
    </row>
    <row r="452" spans="1:7" ht="29" x14ac:dyDescent="0.35">
      <c r="A452" s="14" t="s">
        <v>2222</v>
      </c>
      <c r="B452" s="14" t="s">
        <v>3768</v>
      </c>
      <c r="C452" s="14" t="s">
        <v>1342</v>
      </c>
      <c r="D452" s="14" t="s">
        <v>1048</v>
      </c>
      <c r="E452" s="14" t="s">
        <v>3611</v>
      </c>
      <c r="F452" s="14" t="s">
        <v>2911</v>
      </c>
      <c r="G452" s="14" t="s">
        <v>4066</v>
      </c>
    </row>
    <row r="453" spans="1:7" ht="29" x14ac:dyDescent="0.35">
      <c r="A453" s="14" t="s">
        <v>1996</v>
      </c>
      <c r="B453" s="14" t="s">
        <v>3768</v>
      </c>
      <c r="C453" s="14" t="s">
        <v>1379</v>
      </c>
      <c r="D453" s="14" t="s">
        <v>1048</v>
      </c>
      <c r="E453" s="14" t="s">
        <v>3611</v>
      </c>
      <c r="F453" s="14" t="s">
        <v>3760</v>
      </c>
      <c r="G453" s="14" t="s">
        <v>4066</v>
      </c>
    </row>
    <row r="454" spans="1:7" ht="29" x14ac:dyDescent="0.35">
      <c r="A454" s="14" t="s">
        <v>2313</v>
      </c>
      <c r="B454" s="14" t="s">
        <v>3768</v>
      </c>
      <c r="C454" s="14" t="s">
        <v>1757</v>
      </c>
      <c r="D454" s="14" t="s">
        <v>1048</v>
      </c>
      <c r="E454" s="14" t="s">
        <v>3611</v>
      </c>
      <c r="F454" s="14" t="s">
        <v>2911</v>
      </c>
      <c r="G454" s="14" t="s">
        <v>4066</v>
      </c>
    </row>
    <row r="455" spans="1:7" ht="29" x14ac:dyDescent="0.35">
      <c r="A455" s="14" t="s">
        <v>2100</v>
      </c>
      <c r="B455" s="14" t="s">
        <v>3768</v>
      </c>
      <c r="C455" s="14" t="s">
        <v>1745</v>
      </c>
      <c r="D455" s="14" t="s">
        <v>1048</v>
      </c>
      <c r="E455" s="14" t="s">
        <v>3611</v>
      </c>
      <c r="F455" s="14" t="s">
        <v>2911</v>
      </c>
      <c r="G455" s="14" t="s">
        <v>4066</v>
      </c>
    </row>
    <row r="456" spans="1:7" ht="29" x14ac:dyDescent="0.35">
      <c r="A456" s="14" t="s">
        <v>2105</v>
      </c>
      <c r="B456" s="14" t="s">
        <v>3768</v>
      </c>
      <c r="C456" s="14" t="s">
        <v>1319</v>
      </c>
      <c r="D456" s="14" t="s">
        <v>1048</v>
      </c>
      <c r="E456" s="14" t="s">
        <v>3611</v>
      </c>
      <c r="F456" s="14" t="s">
        <v>2911</v>
      </c>
      <c r="G456" s="14" t="s">
        <v>4066</v>
      </c>
    </row>
    <row r="457" spans="1:7" ht="29" x14ac:dyDescent="0.35">
      <c r="A457" s="14" t="s">
        <v>2069</v>
      </c>
      <c r="B457" s="14" t="s">
        <v>3768</v>
      </c>
      <c r="C457" s="14" t="s">
        <v>2074</v>
      </c>
      <c r="D457" s="14" t="s">
        <v>1048</v>
      </c>
      <c r="E457" s="14" t="s">
        <v>3611</v>
      </c>
      <c r="F457" s="14" t="s">
        <v>3760</v>
      </c>
      <c r="G457" s="14" t="s">
        <v>4066</v>
      </c>
    </row>
    <row r="458" spans="1:7" ht="29" x14ac:dyDescent="0.35">
      <c r="A458" s="14" t="s">
        <v>1956</v>
      </c>
      <c r="B458" s="14" t="s">
        <v>3768</v>
      </c>
      <c r="C458" s="14" t="s">
        <v>1631</v>
      </c>
      <c r="D458" s="14" t="s">
        <v>1048</v>
      </c>
      <c r="E458" s="14" t="s">
        <v>3611</v>
      </c>
      <c r="F458" s="14" t="s">
        <v>2911</v>
      </c>
      <c r="G458" s="14" t="s">
        <v>4066</v>
      </c>
    </row>
    <row r="459" spans="1:7" ht="29" x14ac:dyDescent="0.35">
      <c r="A459" s="14" t="s">
        <v>2309</v>
      </c>
      <c r="B459" s="14" t="s">
        <v>3768</v>
      </c>
      <c r="C459" s="14" t="s">
        <v>1448</v>
      </c>
      <c r="D459" s="14" t="s">
        <v>1048</v>
      </c>
      <c r="E459" s="14" t="s">
        <v>3611</v>
      </c>
      <c r="F459" s="14" t="s">
        <v>2911</v>
      </c>
      <c r="G459" s="14" t="s">
        <v>4066</v>
      </c>
    </row>
    <row r="460" spans="1:7" ht="29" x14ac:dyDescent="0.35">
      <c r="A460" s="14" t="s">
        <v>2193</v>
      </c>
      <c r="B460" s="14" t="s">
        <v>3768</v>
      </c>
      <c r="C460" s="14" t="s">
        <v>1216</v>
      </c>
      <c r="D460" s="14" t="s">
        <v>1048</v>
      </c>
      <c r="E460" s="14" t="s">
        <v>3611</v>
      </c>
      <c r="F460" s="14" t="s">
        <v>2911</v>
      </c>
      <c r="G460" s="14" t="s">
        <v>4066</v>
      </c>
    </row>
    <row r="461" spans="1:7" ht="29" x14ac:dyDescent="0.35">
      <c r="A461" s="14" t="s">
        <v>2138</v>
      </c>
      <c r="B461" s="14" t="s">
        <v>3768</v>
      </c>
      <c r="C461" s="14" t="s">
        <v>1438</v>
      </c>
      <c r="D461" s="14" t="s">
        <v>1048</v>
      </c>
      <c r="E461" s="14" t="s">
        <v>3611</v>
      </c>
      <c r="F461" s="14" t="s">
        <v>3760</v>
      </c>
      <c r="G461" s="14" t="s">
        <v>4066</v>
      </c>
    </row>
    <row r="462" spans="1:7" ht="29" x14ac:dyDescent="0.35">
      <c r="A462" s="14" t="s">
        <v>1985</v>
      </c>
      <c r="B462" s="14" t="s">
        <v>3768</v>
      </c>
      <c r="C462" s="14" t="s">
        <v>1255</v>
      </c>
      <c r="D462" s="14" t="s">
        <v>1048</v>
      </c>
      <c r="E462" s="14" t="s">
        <v>3611</v>
      </c>
      <c r="F462" s="14" t="s">
        <v>2911</v>
      </c>
      <c r="G462" s="14" t="s">
        <v>4066</v>
      </c>
    </row>
    <row r="463" spans="1:7" ht="29" x14ac:dyDescent="0.35">
      <c r="A463" s="14" t="s">
        <v>1945</v>
      </c>
      <c r="B463" s="14" t="s">
        <v>3768</v>
      </c>
      <c r="C463" s="14" t="s">
        <v>1948</v>
      </c>
      <c r="D463" s="14" t="s">
        <v>1048</v>
      </c>
      <c r="E463" s="14" t="s">
        <v>3611</v>
      </c>
      <c r="F463" s="14" t="s">
        <v>2911</v>
      </c>
      <c r="G463" s="14" t="s">
        <v>4066</v>
      </c>
    </row>
    <row r="464" spans="1:7" ht="29" x14ac:dyDescent="0.35">
      <c r="A464" s="14" t="s">
        <v>1951</v>
      </c>
      <c r="B464" s="14" t="s">
        <v>3768</v>
      </c>
      <c r="C464" s="14" t="s">
        <v>1131</v>
      </c>
      <c r="D464" s="14" t="s">
        <v>1048</v>
      </c>
      <c r="E464" s="14" t="s">
        <v>3611</v>
      </c>
      <c r="F464" s="14" t="s">
        <v>2911</v>
      </c>
      <c r="G464" s="14" t="s">
        <v>4066</v>
      </c>
    </row>
    <row r="465" spans="1:7" ht="29" x14ac:dyDescent="0.35">
      <c r="A465" s="14" t="s">
        <v>2286</v>
      </c>
      <c r="B465" s="14" t="s">
        <v>3768</v>
      </c>
      <c r="C465" s="14" t="s">
        <v>1390</v>
      </c>
      <c r="D465" s="14" t="s">
        <v>1048</v>
      </c>
      <c r="E465" s="14" t="s">
        <v>3611</v>
      </c>
      <c r="F465" s="14" t="s">
        <v>3760</v>
      </c>
      <c r="G465" s="14" t="s">
        <v>4066</v>
      </c>
    </row>
    <row r="466" spans="1:7" ht="29" x14ac:dyDescent="0.35">
      <c r="A466" s="14" t="s">
        <v>2306</v>
      </c>
      <c r="B466" s="14" t="s">
        <v>3768</v>
      </c>
      <c r="C466" s="14" t="s">
        <v>1727</v>
      </c>
      <c r="D466" s="14" t="s">
        <v>1048</v>
      </c>
      <c r="E466" s="14" t="s">
        <v>3611</v>
      </c>
      <c r="F466" s="14" t="s">
        <v>3760</v>
      </c>
      <c r="G466" s="14" t="s">
        <v>4066</v>
      </c>
    </row>
    <row r="467" spans="1:7" ht="29" x14ac:dyDescent="0.35">
      <c r="A467" s="14" t="s">
        <v>2083</v>
      </c>
      <c r="B467" s="14" t="s">
        <v>3768</v>
      </c>
      <c r="C467" s="14" t="s">
        <v>1905</v>
      </c>
      <c r="D467" s="14" t="s">
        <v>1048</v>
      </c>
      <c r="E467" s="14" t="s">
        <v>3611</v>
      </c>
      <c r="F467" s="14" t="s">
        <v>3760</v>
      </c>
      <c r="G467" s="14" t="s">
        <v>4066</v>
      </c>
    </row>
    <row r="468" spans="1:7" ht="29" x14ac:dyDescent="0.35">
      <c r="A468" s="14" t="s">
        <v>2273</v>
      </c>
      <c r="B468" s="14" t="s">
        <v>3768</v>
      </c>
      <c r="C468" s="14" t="s">
        <v>1717</v>
      </c>
      <c r="D468" s="14" t="s">
        <v>1050</v>
      </c>
      <c r="E468" s="14" t="s">
        <v>3611</v>
      </c>
      <c r="F468" s="14" t="s">
        <v>3611</v>
      </c>
      <c r="G468" s="14" t="s">
        <v>4066</v>
      </c>
    </row>
    <row r="469" spans="1:7" ht="29" x14ac:dyDescent="0.35">
      <c r="A469" s="14" t="s">
        <v>2036</v>
      </c>
      <c r="B469" s="14" t="s">
        <v>3768</v>
      </c>
      <c r="C469" s="14" t="s">
        <v>1326</v>
      </c>
      <c r="D469" s="14" t="s">
        <v>1050</v>
      </c>
      <c r="E469" s="14" t="s">
        <v>3611</v>
      </c>
      <c r="F469" s="14" t="s">
        <v>3611</v>
      </c>
      <c r="G469" s="14" t="s">
        <v>4066</v>
      </c>
    </row>
    <row r="470" spans="1:7" ht="29" x14ac:dyDescent="0.35">
      <c r="A470" s="14" t="s">
        <v>2239</v>
      </c>
      <c r="B470" s="14" t="s">
        <v>3768</v>
      </c>
      <c r="C470" s="14" t="s">
        <v>1297</v>
      </c>
      <c r="D470" s="14" t="s">
        <v>1048</v>
      </c>
      <c r="E470" s="14" t="s">
        <v>3611</v>
      </c>
      <c r="F470" s="14" t="s">
        <v>3760</v>
      </c>
      <c r="G470" s="14" t="s">
        <v>4066</v>
      </c>
    </row>
    <row r="471" spans="1:7" ht="29" x14ac:dyDescent="0.35">
      <c r="A471" s="14" t="s">
        <v>1966</v>
      </c>
      <c r="B471" s="14" t="s">
        <v>3768</v>
      </c>
      <c r="C471" s="14" t="s">
        <v>1801</v>
      </c>
      <c r="D471" s="14" t="s">
        <v>1050</v>
      </c>
      <c r="E471" s="14" t="s">
        <v>3611</v>
      </c>
      <c r="F471" s="14" t="s">
        <v>3611</v>
      </c>
      <c r="G471" s="14" t="s">
        <v>4066</v>
      </c>
    </row>
    <row r="472" spans="1:7" ht="29" x14ac:dyDescent="0.35">
      <c r="A472" s="14" t="s">
        <v>2203</v>
      </c>
      <c r="B472" s="14" t="s">
        <v>3768</v>
      </c>
      <c r="C472" s="14" t="s">
        <v>1924</v>
      </c>
      <c r="D472" s="14" t="s">
        <v>1048</v>
      </c>
      <c r="E472" s="14" t="s">
        <v>3611</v>
      </c>
      <c r="F472" s="14" t="s">
        <v>3760</v>
      </c>
      <c r="G472" s="14" t="s">
        <v>4066</v>
      </c>
    </row>
    <row r="473" spans="1:7" ht="29" x14ac:dyDescent="0.35">
      <c r="A473" s="14" t="s">
        <v>2051</v>
      </c>
      <c r="B473" s="14" t="s">
        <v>3768</v>
      </c>
      <c r="C473" s="14" t="s">
        <v>1772</v>
      </c>
      <c r="D473" s="14" t="s">
        <v>1048</v>
      </c>
      <c r="E473" s="14" t="s">
        <v>3611</v>
      </c>
      <c r="F473" s="14" t="s">
        <v>3760</v>
      </c>
      <c r="G473" s="14" t="s">
        <v>4066</v>
      </c>
    </row>
    <row r="474" spans="1:7" ht="29" x14ac:dyDescent="0.35">
      <c r="A474" s="14" t="s">
        <v>2131</v>
      </c>
      <c r="B474" s="14" t="s">
        <v>3768</v>
      </c>
      <c r="C474" s="14" t="s">
        <v>2133</v>
      </c>
      <c r="D474" s="14" t="s">
        <v>1048</v>
      </c>
      <c r="E474" s="14" t="s">
        <v>3611</v>
      </c>
      <c r="F474" s="14" t="s">
        <v>3760</v>
      </c>
      <c r="G474" s="14" t="s">
        <v>4066</v>
      </c>
    </row>
    <row r="475" spans="1:7" ht="29" x14ac:dyDescent="0.35">
      <c r="A475" s="14" t="s">
        <v>2058</v>
      </c>
      <c r="B475" s="14" t="s">
        <v>3768</v>
      </c>
      <c r="C475" s="14" t="s">
        <v>1609</v>
      </c>
      <c r="D475" s="14" t="s">
        <v>1050</v>
      </c>
      <c r="E475" s="14" t="s">
        <v>3611</v>
      </c>
      <c r="F475" s="14" t="s">
        <v>3611</v>
      </c>
      <c r="G475" s="14" t="s">
        <v>4066</v>
      </c>
    </row>
    <row r="476" spans="1:7" ht="29" x14ac:dyDescent="0.35">
      <c r="A476" s="14" t="s">
        <v>2136</v>
      </c>
      <c r="B476" s="14" t="s">
        <v>3768</v>
      </c>
      <c r="C476" s="14" t="s">
        <v>1829</v>
      </c>
      <c r="D476" s="14" t="s">
        <v>1048</v>
      </c>
      <c r="E476" s="14" t="s">
        <v>3611</v>
      </c>
      <c r="F476" s="14" t="s">
        <v>3760</v>
      </c>
      <c r="G476" s="14" t="s">
        <v>4066</v>
      </c>
    </row>
    <row r="477" spans="1:7" ht="29" x14ac:dyDescent="0.35">
      <c r="A477" s="14" t="s">
        <v>2325</v>
      </c>
      <c r="B477" s="14" t="s">
        <v>3768</v>
      </c>
      <c r="C477" s="14" t="s">
        <v>1282</v>
      </c>
      <c r="D477" s="14" t="s">
        <v>1048</v>
      </c>
      <c r="E477" s="14" t="s">
        <v>3611</v>
      </c>
      <c r="F477" s="14" t="s">
        <v>3760</v>
      </c>
      <c r="G477" s="14" t="s">
        <v>4066</v>
      </c>
    </row>
    <row r="478" spans="1:7" ht="29" x14ac:dyDescent="0.35">
      <c r="A478" s="14" t="s">
        <v>2208</v>
      </c>
      <c r="B478" s="14" t="s">
        <v>3768</v>
      </c>
      <c r="C478" s="14" t="s">
        <v>2210</v>
      </c>
      <c r="D478" s="14" t="s">
        <v>1048</v>
      </c>
      <c r="E478" s="14" t="s">
        <v>3611</v>
      </c>
      <c r="F478" s="14" t="s">
        <v>2911</v>
      </c>
      <c r="G478" s="14" t="s">
        <v>4066</v>
      </c>
    </row>
    <row r="479" spans="1:7" ht="29" x14ac:dyDescent="0.35">
      <c r="A479" s="14" t="s">
        <v>2003</v>
      </c>
      <c r="B479" s="14" t="s">
        <v>3768</v>
      </c>
      <c r="C479" s="14" t="s">
        <v>1047</v>
      </c>
      <c r="D479" s="14" t="s">
        <v>1048</v>
      </c>
      <c r="E479" s="14" t="s">
        <v>3611</v>
      </c>
      <c r="F479" s="14" t="s">
        <v>3760</v>
      </c>
      <c r="G479" s="14" t="s">
        <v>4066</v>
      </c>
    </row>
    <row r="480" spans="1:7" ht="29" x14ac:dyDescent="0.35">
      <c r="A480" s="14" t="s">
        <v>1993</v>
      </c>
      <c r="B480" s="14" t="s">
        <v>3768</v>
      </c>
      <c r="C480" s="14" t="s">
        <v>1385</v>
      </c>
      <c r="D480" s="14" t="s">
        <v>1048</v>
      </c>
      <c r="E480" s="14" t="s">
        <v>3611</v>
      </c>
      <c r="F480" s="14" t="s">
        <v>3760</v>
      </c>
      <c r="G480" s="14" t="s">
        <v>4066</v>
      </c>
    </row>
    <row r="481" spans="1:7" ht="29" x14ac:dyDescent="0.35">
      <c r="A481" s="14" t="s">
        <v>2126</v>
      </c>
      <c r="B481" s="14" t="s">
        <v>3768</v>
      </c>
      <c r="C481" s="14" t="s">
        <v>1347</v>
      </c>
      <c r="D481" s="14" t="s">
        <v>1048</v>
      </c>
      <c r="E481" s="14" t="s">
        <v>3611</v>
      </c>
      <c r="F481" s="14" t="s">
        <v>3760</v>
      </c>
      <c r="G481" s="14" t="s">
        <v>4066</v>
      </c>
    </row>
    <row r="482" spans="1:7" ht="29" x14ac:dyDescent="0.35">
      <c r="A482" s="14" t="s">
        <v>2262</v>
      </c>
      <c r="B482" s="14" t="s">
        <v>3768</v>
      </c>
      <c r="C482" s="14" t="s">
        <v>1082</v>
      </c>
      <c r="D482" s="14" t="s">
        <v>1050</v>
      </c>
      <c r="E482" s="14" t="s">
        <v>3611</v>
      </c>
      <c r="F482" s="14" t="s">
        <v>3611</v>
      </c>
      <c r="G482" s="14" t="s">
        <v>4066</v>
      </c>
    </row>
    <row r="483" spans="1:7" ht="29" x14ac:dyDescent="0.35">
      <c r="A483" s="14" t="s">
        <v>1982</v>
      </c>
      <c r="B483" s="14" t="s">
        <v>3768</v>
      </c>
      <c r="C483" s="14" t="s">
        <v>1752</v>
      </c>
      <c r="D483" s="14" t="s">
        <v>1048</v>
      </c>
      <c r="E483" s="14" t="s">
        <v>3611</v>
      </c>
      <c r="F483" s="14" t="s">
        <v>3760</v>
      </c>
      <c r="G483" s="14" t="s">
        <v>4066</v>
      </c>
    </row>
    <row r="484" spans="1:7" ht="29" x14ac:dyDescent="0.35">
      <c r="A484" s="14" t="s">
        <v>2184</v>
      </c>
      <c r="B484" s="14" t="s">
        <v>3768</v>
      </c>
      <c r="C484" s="14" t="s">
        <v>1663</v>
      </c>
      <c r="D484" s="14" t="s">
        <v>1048</v>
      </c>
      <c r="E484" s="14" t="s">
        <v>3611</v>
      </c>
      <c r="F484" s="14" t="s">
        <v>3760</v>
      </c>
      <c r="G484" s="14" t="s">
        <v>4066</v>
      </c>
    </row>
    <row r="485" spans="1:7" ht="29" x14ac:dyDescent="0.35">
      <c r="A485" s="14" t="s">
        <v>2260</v>
      </c>
      <c r="B485" s="14" t="s">
        <v>3768</v>
      </c>
      <c r="C485" s="14" t="s">
        <v>1172</v>
      </c>
      <c r="D485" s="14" t="s">
        <v>1048</v>
      </c>
      <c r="E485" s="14" t="s">
        <v>3611</v>
      </c>
      <c r="F485" s="14" t="s">
        <v>3760</v>
      </c>
      <c r="G485" s="14" t="s">
        <v>4066</v>
      </c>
    </row>
    <row r="486" spans="1:7" ht="29" x14ac:dyDescent="0.35">
      <c r="A486" s="14" t="s">
        <v>2055</v>
      </c>
      <c r="B486" s="14" t="s">
        <v>3768</v>
      </c>
      <c r="C486" s="14" t="s">
        <v>1071</v>
      </c>
      <c r="D486" s="14" t="s">
        <v>1048</v>
      </c>
      <c r="E486" s="14" t="s">
        <v>3611</v>
      </c>
      <c r="F486" s="14" t="s">
        <v>3760</v>
      </c>
      <c r="G486" s="14" t="s">
        <v>4066</v>
      </c>
    </row>
    <row r="487" spans="1:7" ht="29" x14ac:dyDescent="0.35">
      <c r="A487" s="14" t="s">
        <v>2145</v>
      </c>
      <c r="B487" s="14" t="s">
        <v>3768</v>
      </c>
      <c r="C487" s="14" t="s">
        <v>1364</v>
      </c>
      <c r="D487" s="14" t="s">
        <v>1048</v>
      </c>
      <c r="E487" s="14" t="s">
        <v>3611</v>
      </c>
      <c r="F487" s="14" t="s">
        <v>3760</v>
      </c>
      <c r="G487" s="14" t="s">
        <v>4066</v>
      </c>
    </row>
    <row r="488" spans="1:7" ht="29" x14ac:dyDescent="0.35">
      <c r="A488" s="14" t="s">
        <v>2226</v>
      </c>
      <c r="B488" s="14" t="s">
        <v>3768</v>
      </c>
      <c r="C488" s="14" t="s">
        <v>1426</v>
      </c>
      <c r="D488" s="14" t="s">
        <v>1048</v>
      </c>
      <c r="E488" s="14" t="s">
        <v>3611</v>
      </c>
      <c r="F488" s="14" t="s">
        <v>3760</v>
      </c>
      <c r="G488" s="14" t="s">
        <v>4066</v>
      </c>
    </row>
    <row r="489" spans="1:7" ht="29" x14ac:dyDescent="0.35">
      <c r="A489" s="14" t="s">
        <v>1981</v>
      </c>
      <c r="B489" s="14" t="s">
        <v>3768</v>
      </c>
      <c r="C489" s="14" t="s">
        <v>1712</v>
      </c>
      <c r="D489" s="14" t="s">
        <v>1048</v>
      </c>
      <c r="E489" s="14" t="s">
        <v>3611</v>
      </c>
      <c r="F489" s="14" t="s">
        <v>3760</v>
      </c>
      <c r="G489" s="14" t="s">
        <v>4066</v>
      </c>
    </row>
    <row r="490" spans="1:7" ht="29" x14ac:dyDescent="0.35">
      <c r="A490" s="14" t="s">
        <v>2349</v>
      </c>
      <c r="B490" s="14" t="s">
        <v>3768</v>
      </c>
      <c r="C490" s="14" t="s">
        <v>1910</v>
      </c>
      <c r="D490" s="14" t="s">
        <v>1050</v>
      </c>
      <c r="E490" s="14" t="s">
        <v>3611</v>
      </c>
      <c r="F490" s="14" t="s">
        <v>3611</v>
      </c>
      <c r="G490" s="14" t="s">
        <v>4066</v>
      </c>
    </row>
    <row r="491" spans="1:7" ht="29" x14ac:dyDescent="0.35">
      <c r="A491" s="14" t="s">
        <v>2060</v>
      </c>
      <c r="B491" s="14" t="s">
        <v>3768</v>
      </c>
      <c r="C491" s="14" t="s">
        <v>1590</v>
      </c>
      <c r="D491" s="14" t="s">
        <v>1050</v>
      </c>
      <c r="E491" s="14" t="s">
        <v>3611</v>
      </c>
      <c r="F491" s="14" t="s">
        <v>3611</v>
      </c>
      <c r="G491" s="14" t="s">
        <v>4066</v>
      </c>
    </row>
    <row r="492" spans="1:7" ht="29" x14ac:dyDescent="0.35">
      <c r="A492" s="14" t="s">
        <v>2188</v>
      </c>
      <c r="B492" s="14" t="s">
        <v>3768</v>
      </c>
      <c r="C492" s="14" t="s">
        <v>1548</v>
      </c>
      <c r="D492" s="14" t="s">
        <v>1050</v>
      </c>
      <c r="E492" s="14" t="s">
        <v>3611</v>
      </c>
      <c r="F492" s="14" t="s">
        <v>3611</v>
      </c>
      <c r="G492" s="14" t="s">
        <v>4066</v>
      </c>
    </row>
    <row r="493" spans="1:7" ht="29" x14ac:dyDescent="0.35">
      <c r="A493" s="14" t="s">
        <v>2230</v>
      </c>
      <c r="B493" s="14" t="s">
        <v>3768</v>
      </c>
      <c r="C493" s="14" t="s">
        <v>1400</v>
      </c>
      <c r="D493" s="14" t="s">
        <v>1050</v>
      </c>
      <c r="E493" s="14" t="s">
        <v>3611</v>
      </c>
      <c r="F493" s="14" t="s">
        <v>3611</v>
      </c>
      <c r="G493" s="14" t="s">
        <v>4066</v>
      </c>
    </row>
    <row r="494" spans="1:7" ht="29" x14ac:dyDescent="0.35">
      <c r="A494" s="14" t="s">
        <v>2183</v>
      </c>
      <c r="B494" s="14" t="s">
        <v>3768</v>
      </c>
      <c r="C494" s="14" t="s">
        <v>1543</v>
      </c>
      <c r="D494" s="14" t="s">
        <v>1050</v>
      </c>
      <c r="E494" s="14" t="s">
        <v>3611</v>
      </c>
      <c r="F494" s="14" t="s">
        <v>3611</v>
      </c>
      <c r="G494" s="14" t="s">
        <v>4066</v>
      </c>
    </row>
    <row r="495" spans="1:7" ht="29" x14ac:dyDescent="0.35">
      <c r="A495" s="14" t="s">
        <v>2340</v>
      </c>
      <c r="B495" s="14" t="s">
        <v>3768</v>
      </c>
      <c r="C495" s="14" t="s">
        <v>1485</v>
      </c>
      <c r="D495" s="14" t="s">
        <v>1050</v>
      </c>
      <c r="E495" s="14" t="s">
        <v>3611</v>
      </c>
      <c r="F495" s="14" t="s">
        <v>3611</v>
      </c>
      <c r="G495" s="14" t="s">
        <v>4066</v>
      </c>
    </row>
    <row r="496" spans="1:7" ht="29" x14ac:dyDescent="0.35">
      <c r="A496" s="14" t="s">
        <v>2329</v>
      </c>
      <c r="B496" s="14" t="s">
        <v>3768</v>
      </c>
      <c r="C496" s="14" t="s">
        <v>1136</v>
      </c>
      <c r="D496" s="14" t="s">
        <v>1050</v>
      </c>
      <c r="E496" s="14" t="s">
        <v>3611</v>
      </c>
      <c r="F496" s="14" t="s">
        <v>3611</v>
      </c>
      <c r="G496" s="14" t="s">
        <v>4066</v>
      </c>
    </row>
    <row r="497" spans="1:7" ht="29" x14ac:dyDescent="0.35">
      <c r="A497" s="14" t="s">
        <v>1970</v>
      </c>
      <c r="B497" s="14" t="s">
        <v>3768</v>
      </c>
      <c r="C497" s="14" t="s">
        <v>1672</v>
      </c>
      <c r="D497" s="14" t="s">
        <v>1050</v>
      </c>
      <c r="E497" s="14" t="s">
        <v>3611</v>
      </c>
      <c r="F497" s="14" t="s">
        <v>3611</v>
      </c>
      <c r="G497" s="14" t="s">
        <v>4066</v>
      </c>
    </row>
    <row r="498" spans="1:7" ht="29" x14ac:dyDescent="0.35">
      <c r="A498" s="14" t="s">
        <v>2047</v>
      </c>
      <c r="B498" s="14" t="s">
        <v>3768</v>
      </c>
      <c r="C498" s="14" t="s">
        <v>1336</v>
      </c>
      <c r="D498" s="14" t="s">
        <v>1050</v>
      </c>
      <c r="E498" s="14" t="s">
        <v>3611</v>
      </c>
      <c r="F498" s="14" t="s">
        <v>3611</v>
      </c>
      <c r="G498" s="14" t="s">
        <v>4066</v>
      </c>
    </row>
    <row r="499" spans="1:7" ht="29" x14ac:dyDescent="0.35">
      <c r="A499" s="14" t="s">
        <v>2140</v>
      </c>
      <c r="B499" s="14" t="s">
        <v>3768</v>
      </c>
      <c r="C499" s="14" t="s">
        <v>1646</v>
      </c>
      <c r="D499" s="14" t="s">
        <v>1050</v>
      </c>
      <c r="E499" s="14" t="s">
        <v>3611</v>
      </c>
      <c r="F499" s="14" t="s">
        <v>3611</v>
      </c>
      <c r="G499" s="14" t="s">
        <v>4066</v>
      </c>
    </row>
    <row r="500" spans="1:7" ht="29" x14ac:dyDescent="0.35">
      <c r="A500" s="14" t="s">
        <v>1987</v>
      </c>
      <c r="B500" s="14" t="s">
        <v>3768</v>
      </c>
      <c r="C500" s="14" t="s">
        <v>1810</v>
      </c>
      <c r="D500" s="14" t="s">
        <v>1050</v>
      </c>
      <c r="E500" s="14" t="s">
        <v>3611</v>
      </c>
      <c r="F500" s="14" t="s">
        <v>3611</v>
      </c>
      <c r="G500" s="14" t="s">
        <v>4066</v>
      </c>
    </row>
    <row r="501" spans="1:7" ht="29" x14ac:dyDescent="0.35">
      <c r="A501" s="14" t="s">
        <v>2031</v>
      </c>
      <c r="B501" s="14" t="s">
        <v>3768</v>
      </c>
      <c r="C501" s="14" t="s">
        <v>1883</v>
      </c>
      <c r="D501" s="14" t="s">
        <v>1048</v>
      </c>
      <c r="E501" s="14" t="s">
        <v>3611</v>
      </c>
      <c r="F501" s="14" t="s">
        <v>3760</v>
      </c>
      <c r="G501" s="14" t="s">
        <v>4066</v>
      </c>
    </row>
    <row r="502" spans="1:7" ht="29" x14ac:dyDescent="0.35">
      <c r="A502" s="14" t="s">
        <v>2315</v>
      </c>
      <c r="B502" s="14" t="s">
        <v>3768</v>
      </c>
      <c r="C502" s="14" t="s">
        <v>2317</v>
      </c>
      <c r="D502" s="14" t="s">
        <v>1025</v>
      </c>
      <c r="E502" s="14" t="s">
        <v>3760</v>
      </c>
      <c r="F502" s="14" t="s">
        <v>3611</v>
      </c>
      <c r="G502" s="14" t="s">
        <v>4066</v>
      </c>
    </row>
    <row r="503" spans="1:7" ht="29" x14ac:dyDescent="0.35">
      <c r="A503" s="14" t="s">
        <v>2173</v>
      </c>
      <c r="B503" s="14" t="s">
        <v>3768</v>
      </c>
      <c r="C503" s="14" t="s">
        <v>2175</v>
      </c>
      <c r="D503" s="14" t="s">
        <v>1050</v>
      </c>
      <c r="E503" s="14" t="s">
        <v>3611</v>
      </c>
      <c r="F503" s="14" t="s">
        <v>3611</v>
      </c>
      <c r="G503" s="14" t="s">
        <v>4066</v>
      </c>
    </row>
    <row r="504" spans="1:7" ht="29" x14ac:dyDescent="0.35">
      <c r="A504" s="14" t="s">
        <v>1936</v>
      </c>
      <c r="B504" s="14" t="s">
        <v>3768</v>
      </c>
      <c r="C504" s="14" t="s">
        <v>1938</v>
      </c>
      <c r="D504" s="14" t="s">
        <v>1050</v>
      </c>
      <c r="E504" s="14" t="s">
        <v>3611</v>
      </c>
      <c r="F504" s="14" t="s">
        <v>3611</v>
      </c>
      <c r="G504" s="14" t="s">
        <v>4066</v>
      </c>
    </row>
    <row r="505" spans="1:7" ht="29" x14ac:dyDescent="0.35">
      <c r="A505" s="14" t="s">
        <v>1968</v>
      </c>
      <c r="B505" s="14" t="s">
        <v>3768</v>
      </c>
      <c r="C505" s="14" t="s">
        <v>1668</v>
      </c>
      <c r="D505" s="14" t="s">
        <v>1050</v>
      </c>
      <c r="E505" s="14" t="s">
        <v>3611</v>
      </c>
      <c r="F505" s="14" t="s">
        <v>3611</v>
      </c>
      <c r="G505" s="14" t="s">
        <v>4066</v>
      </c>
    </row>
    <row r="506" spans="1:7" ht="29" x14ac:dyDescent="0.35">
      <c r="A506" s="14" t="s">
        <v>2300</v>
      </c>
      <c r="B506" s="14" t="s">
        <v>3768</v>
      </c>
      <c r="C506" s="14" t="s">
        <v>2302</v>
      </c>
      <c r="D506" s="14" t="s">
        <v>1048</v>
      </c>
      <c r="E506" s="14" t="s">
        <v>3611</v>
      </c>
      <c r="F506" s="14" t="s">
        <v>3760</v>
      </c>
      <c r="G506" s="14" t="s">
        <v>4066</v>
      </c>
    </row>
    <row r="507" spans="1:7" ht="29" x14ac:dyDescent="0.35">
      <c r="A507" s="14" t="s">
        <v>1720</v>
      </c>
      <c r="B507" s="14" t="s">
        <v>3768</v>
      </c>
      <c r="C507" s="14" t="s">
        <v>1722</v>
      </c>
      <c r="D507" s="14" t="s">
        <v>1025</v>
      </c>
      <c r="E507" s="14" t="s">
        <v>3766</v>
      </c>
      <c r="F507" s="14" t="s">
        <v>3611</v>
      </c>
      <c r="G507" s="14" t="s">
        <v>4066</v>
      </c>
    </row>
    <row r="508" spans="1:7" ht="29" x14ac:dyDescent="0.35">
      <c r="A508" s="14" t="s">
        <v>1919</v>
      </c>
      <c r="B508" s="14" t="s">
        <v>3768</v>
      </c>
      <c r="C508" s="14" t="s">
        <v>1920</v>
      </c>
      <c r="D508" s="14" t="s">
        <v>1050</v>
      </c>
      <c r="E508" s="14" t="s">
        <v>3611</v>
      </c>
      <c r="F508" s="14" t="s">
        <v>3611</v>
      </c>
      <c r="G508" s="14" t="s">
        <v>4066</v>
      </c>
    </row>
    <row r="509" spans="1:7" ht="29" x14ac:dyDescent="0.35">
      <c r="A509" s="14" t="s">
        <v>1236</v>
      </c>
      <c r="B509" s="14" t="s">
        <v>3768</v>
      </c>
      <c r="C509" s="14" t="s">
        <v>1243</v>
      </c>
      <c r="D509" s="14" t="s">
        <v>1048</v>
      </c>
      <c r="E509" s="14" t="s">
        <v>3611</v>
      </c>
      <c r="F509" s="14" t="s">
        <v>3760</v>
      </c>
      <c r="G509" s="14" t="s">
        <v>4066</v>
      </c>
    </row>
    <row r="510" spans="1:7" ht="43.5" x14ac:dyDescent="0.35">
      <c r="A510" s="14" t="s">
        <v>1760</v>
      </c>
      <c r="B510" s="14" t="s">
        <v>3768</v>
      </c>
      <c r="C510" s="14" t="s">
        <v>1373</v>
      </c>
      <c r="D510" s="14" t="s">
        <v>1023</v>
      </c>
      <c r="E510" s="14" t="s">
        <v>2832</v>
      </c>
      <c r="F510" s="14" t="s">
        <v>2832</v>
      </c>
      <c r="G510" s="14" t="s">
        <v>4066</v>
      </c>
    </row>
    <row r="511" spans="1:7" ht="43.5" x14ac:dyDescent="0.35">
      <c r="A511" s="14" t="s">
        <v>1787</v>
      </c>
      <c r="B511" s="14" t="s">
        <v>3768</v>
      </c>
      <c r="C511" s="14" t="s">
        <v>1373</v>
      </c>
      <c r="D511" s="14" t="s">
        <v>1023</v>
      </c>
      <c r="E511" s="14" t="s">
        <v>2832</v>
      </c>
      <c r="F511" s="14" t="s">
        <v>2832</v>
      </c>
      <c r="G511" s="14" t="s">
        <v>4066</v>
      </c>
    </row>
    <row r="512" spans="1:7" ht="43.5" x14ac:dyDescent="0.35">
      <c r="A512" s="14" t="s">
        <v>1761</v>
      </c>
      <c r="B512" s="14" t="s">
        <v>3768</v>
      </c>
      <c r="C512" s="14" t="s">
        <v>1373</v>
      </c>
      <c r="D512" s="14" t="s">
        <v>1023</v>
      </c>
      <c r="E512" s="14" t="s">
        <v>2832</v>
      </c>
      <c r="F512" s="14" t="s">
        <v>2832</v>
      </c>
      <c r="G512" s="14" t="s">
        <v>4066</v>
      </c>
    </row>
    <row r="513" spans="1:7" ht="43.5" x14ac:dyDescent="0.35">
      <c r="A513" s="14" t="s">
        <v>1371</v>
      </c>
      <c r="B513" s="14" t="s">
        <v>3768</v>
      </c>
      <c r="C513" s="14" t="s">
        <v>1373</v>
      </c>
      <c r="D513" s="14" t="s">
        <v>1023</v>
      </c>
      <c r="E513" s="14" t="s">
        <v>2832</v>
      </c>
      <c r="F513" s="14" t="s">
        <v>2832</v>
      </c>
      <c r="G513" s="14" t="s">
        <v>4066</v>
      </c>
    </row>
    <row r="514" spans="1:7" ht="43.5" x14ac:dyDescent="0.35">
      <c r="A514" s="14" t="s">
        <v>1789</v>
      </c>
      <c r="B514" s="14" t="s">
        <v>3768</v>
      </c>
      <c r="C514" s="14" t="s">
        <v>1373</v>
      </c>
      <c r="D514" s="14" t="s">
        <v>1023</v>
      </c>
      <c r="E514" s="14" t="s">
        <v>2832</v>
      </c>
      <c r="F514" s="14" t="s">
        <v>2832</v>
      </c>
      <c r="G514" s="14" t="s">
        <v>4066</v>
      </c>
    </row>
    <row r="515" spans="1:7" ht="43.5" x14ac:dyDescent="0.35">
      <c r="A515" s="14" t="s">
        <v>1146</v>
      </c>
      <c r="B515" s="14" t="s">
        <v>3768</v>
      </c>
      <c r="C515" s="14" t="s">
        <v>1060</v>
      </c>
      <c r="D515" s="14" t="s">
        <v>1023</v>
      </c>
      <c r="E515" s="14" t="s">
        <v>2911</v>
      </c>
      <c r="F515" s="14" t="s">
        <v>3765</v>
      </c>
      <c r="G515" s="14" t="s">
        <v>4066</v>
      </c>
    </row>
    <row r="516" spans="1:7" ht="43.5" x14ac:dyDescent="0.35">
      <c r="A516" s="14" t="s">
        <v>1871</v>
      </c>
      <c r="B516" s="14" t="s">
        <v>3768</v>
      </c>
      <c r="C516" s="14" t="s">
        <v>1060</v>
      </c>
      <c r="D516" s="14" t="s">
        <v>1023</v>
      </c>
      <c r="E516" s="14" t="s">
        <v>2911</v>
      </c>
      <c r="F516" s="14" t="s">
        <v>3765</v>
      </c>
      <c r="G516" s="14" t="s">
        <v>4066</v>
      </c>
    </row>
    <row r="517" spans="1:7" ht="43.5" x14ac:dyDescent="0.35">
      <c r="A517" s="14" t="s">
        <v>1057</v>
      </c>
      <c r="B517" s="14" t="s">
        <v>3768</v>
      </c>
      <c r="C517" s="14" t="s">
        <v>1060</v>
      </c>
      <c r="D517" s="14" t="s">
        <v>1023</v>
      </c>
      <c r="E517" s="14" t="s">
        <v>2911</v>
      </c>
      <c r="F517" s="14" t="s">
        <v>3765</v>
      </c>
      <c r="G517" s="14" t="s">
        <v>4066</v>
      </c>
    </row>
    <row r="518" spans="1:7" ht="29" x14ac:dyDescent="0.35">
      <c r="A518" s="14" t="s">
        <v>1185</v>
      </c>
      <c r="B518" s="14" t="s">
        <v>3768</v>
      </c>
      <c r="C518" s="14" t="s">
        <v>1187</v>
      </c>
      <c r="D518" s="14" t="s">
        <v>1023</v>
      </c>
      <c r="E518" s="14" t="s">
        <v>3589</v>
      </c>
      <c r="F518" s="14" t="s">
        <v>2911</v>
      </c>
      <c r="G518" s="14" t="s">
        <v>4066</v>
      </c>
    </row>
    <row r="519" spans="1:7" ht="29" x14ac:dyDescent="0.35">
      <c r="A519" s="14" t="s">
        <v>1290</v>
      </c>
      <c r="B519" s="14" t="s">
        <v>3768</v>
      </c>
      <c r="C519" s="14" t="s">
        <v>1187</v>
      </c>
      <c r="D519" s="14" t="s">
        <v>1023</v>
      </c>
      <c r="E519" s="14" t="s">
        <v>3589</v>
      </c>
      <c r="F519" s="14" t="s">
        <v>2911</v>
      </c>
      <c r="G519" s="14" t="s">
        <v>4066</v>
      </c>
    </row>
    <row r="520" spans="1:7" ht="29" x14ac:dyDescent="0.35">
      <c r="A520" s="14" t="s">
        <v>1768</v>
      </c>
      <c r="B520" s="14" t="s">
        <v>3768</v>
      </c>
      <c r="C520" s="14" t="s">
        <v>1187</v>
      </c>
      <c r="D520" s="14" t="s">
        <v>1023</v>
      </c>
      <c r="E520" s="14" t="s">
        <v>3589</v>
      </c>
      <c r="F520" s="14" t="s">
        <v>2911</v>
      </c>
      <c r="G520" s="14" t="s">
        <v>4066</v>
      </c>
    </row>
    <row r="521" spans="1:7" ht="29" x14ac:dyDescent="0.35">
      <c r="A521" s="14" t="s">
        <v>1775</v>
      </c>
      <c r="B521" s="14" t="s">
        <v>3768</v>
      </c>
      <c r="C521" s="14" t="s">
        <v>1187</v>
      </c>
      <c r="D521" s="14" t="s">
        <v>1023</v>
      </c>
      <c r="E521" s="14" t="s">
        <v>3589</v>
      </c>
      <c r="F521" s="14" t="s">
        <v>2911</v>
      </c>
      <c r="G521" s="14" t="s">
        <v>4066</v>
      </c>
    </row>
    <row r="522" spans="1:7" ht="29" x14ac:dyDescent="0.35">
      <c r="A522" s="14" t="s">
        <v>1763</v>
      </c>
      <c r="B522" s="14" t="s">
        <v>3768</v>
      </c>
      <c r="C522" s="14" t="s">
        <v>1765</v>
      </c>
      <c r="D522" s="14" t="s">
        <v>1023</v>
      </c>
      <c r="E522" s="14" t="s">
        <v>3760</v>
      </c>
      <c r="F522" s="14" t="s">
        <v>3760</v>
      </c>
      <c r="G522" s="14" t="s">
        <v>4066</v>
      </c>
    </row>
    <row r="523" spans="1:7" ht="29" x14ac:dyDescent="0.35">
      <c r="A523" s="14" t="s">
        <v>1777</v>
      </c>
      <c r="B523" s="14" t="s">
        <v>3768</v>
      </c>
      <c r="C523" s="14" t="s">
        <v>1779</v>
      </c>
      <c r="D523" s="14" t="s">
        <v>1025</v>
      </c>
      <c r="E523" s="14" t="s">
        <v>3760</v>
      </c>
      <c r="F523" s="14" t="s">
        <v>3611</v>
      </c>
      <c r="G523" s="14" t="s">
        <v>4066</v>
      </c>
    </row>
    <row r="524" spans="1:7" ht="29" x14ac:dyDescent="0.35">
      <c r="A524" s="14" t="s">
        <v>1355</v>
      </c>
      <c r="B524" s="14" t="s">
        <v>3768</v>
      </c>
      <c r="C524" s="14" t="s">
        <v>1357</v>
      </c>
      <c r="D524" s="14" t="s">
        <v>1025</v>
      </c>
      <c r="E524" s="14" t="s">
        <v>3760</v>
      </c>
      <c r="F524" s="14" t="s">
        <v>3611</v>
      </c>
      <c r="G524" s="14" t="s">
        <v>4066</v>
      </c>
    </row>
    <row r="525" spans="1:7" ht="43.5" x14ac:dyDescent="0.35">
      <c r="A525" s="14" t="s">
        <v>1891</v>
      </c>
      <c r="B525" s="14" t="s">
        <v>3768</v>
      </c>
      <c r="C525" s="14" t="s">
        <v>1894</v>
      </c>
      <c r="D525" s="14" t="s">
        <v>1048</v>
      </c>
      <c r="E525" s="14" t="s">
        <v>3611</v>
      </c>
      <c r="F525" s="14" t="s">
        <v>2832</v>
      </c>
      <c r="G525" s="14" t="s">
        <v>4066</v>
      </c>
    </row>
    <row r="526" spans="1:7" ht="29" x14ac:dyDescent="0.35">
      <c r="A526" s="14" t="s">
        <v>1687</v>
      </c>
      <c r="B526" s="14" t="s">
        <v>3768</v>
      </c>
      <c r="C526" s="14" t="s">
        <v>1689</v>
      </c>
      <c r="D526" s="14" t="s">
        <v>1048</v>
      </c>
      <c r="E526" s="14" t="s">
        <v>3611</v>
      </c>
      <c r="F526" s="14" t="s">
        <v>2911</v>
      </c>
      <c r="G526" s="14" t="s">
        <v>4066</v>
      </c>
    </row>
    <row r="527" spans="1:7" ht="43.5" x14ac:dyDescent="0.35">
      <c r="A527" s="14" t="s">
        <v>1479</v>
      </c>
      <c r="B527" s="14" t="s">
        <v>3768</v>
      </c>
      <c r="C527" s="14" t="s">
        <v>1481</v>
      </c>
      <c r="D527" s="14" t="s">
        <v>1023</v>
      </c>
      <c r="E527" s="14" t="s">
        <v>2911</v>
      </c>
      <c r="F527" s="14" t="s">
        <v>2832</v>
      </c>
      <c r="G527" s="14" t="s">
        <v>4066</v>
      </c>
    </row>
    <row r="528" spans="1:7" ht="43.5" x14ac:dyDescent="0.35">
      <c r="A528" s="14" t="s">
        <v>1636</v>
      </c>
      <c r="B528" s="14" t="s">
        <v>3768</v>
      </c>
      <c r="C528" s="14" t="s">
        <v>1481</v>
      </c>
      <c r="D528" s="14" t="s">
        <v>1023</v>
      </c>
      <c r="E528" s="14" t="s">
        <v>2911</v>
      </c>
      <c r="F528" s="14" t="s">
        <v>2832</v>
      </c>
      <c r="G528" s="14" t="s">
        <v>4066</v>
      </c>
    </row>
    <row r="529" spans="1:7" ht="43.5" x14ac:dyDescent="0.35">
      <c r="A529" s="14" t="s">
        <v>1676</v>
      </c>
      <c r="B529" s="14" t="s">
        <v>3768</v>
      </c>
      <c r="C529" s="14" t="s">
        <v>1481</v>
      </c>
      <c r="D529" s="14" t="s">
        <v>1023</v>
      </c>
      <c r="E529" s="14" t="s">
        <v>2911</v>
      </c>
      <c r="F529" s="14" t="s">
        <v>2832</v>
      </c>
      <c r="G529" s="14" t="s">
        <v>4066</v>
      </c>
    </row>
    <row r="530" spans="1:7" ht="29" x14ac:dyDescent="0.35">
      <c r="A530" s="14" t="s">
        <v>1258</v>
      </c>
      <c r="B530" s="14" t="s">
        <v>3768</v>
      </c>
      <c r="C530" s="14" t="s">
        <v>1260</v>
      </c>
      <c r="D530" s="14" t="s">
        <v>1023</v>
      </c>
      <c r="E530" s="14" t="s">
        <v>2911</v>
      </c>
      <c r="F530" s="14" t="s">
        <v>3760</v>
      </c>
      <c r="G530" s="14" t="s">
        <v>4066</v>
      </c>
    </row>
    <row r="531" spans="1:7" ht="43.5" x14ac:dyDescent="0.35">
      <c r="A531" s="14" t="s">
        <v>1818</v>
      </c>
      <c r="B531" s="14" t="s">
        <v>3768</v>
      </c>
      <c r="C531" s="14" t="s">
        <v>1785</v>
      </c>
      <c r="D531" s="14" t="s">
        <v>1023</v>
      </c>
      <c r="E531" s="14" t="s">
        <v>3760</v>
      </c>
      <c r="F531" s="14" t="s">
        <v>3765</v>
      </c>
      <c r="G531" s="14" t="s">
        <v>4066</v>
      </c>
    </row>
    <row r="532" spans="1:7" ht="43.5" x14ac:dyDescent="0.35">
      <c r="A532" s="14" t="s">
        <v>1782</v>
      </c>
      <c r="B532" s="14" t="s">
        <v>3768</v>
      </c>
      <c r="C532" s="14" t="s">
        <v>1785</v>
      </c>
      <c r="D532" s="14" t="s">
        <v>1023</v>
      </c>
      <c r="E532" s="14" t="s">
        <v>3760</v>
      </c>
      <c r="F532" s="14" t="s">
        <v>3765</v>
      </c>
      <c r="G532" s="14" t="s">
        <v>4066</v>
      </c>
    </row>
    <row r="533" spans="1:7" ht="29" x14ac:dyDescent="0.35">
      <c r="A533" s="14" t="s">
        <v>1350</v>
      </c>
      <c r="B533" s="14" t="s">
        <v>3768</v>
      </c>
      <c r="C533" s="14" t="s">
        <v>1352</v>
      </c>
      <c r="D533" s="14" t="s">
        <v>1048</v>
      </c>
      <c r="E533" s="14" t="s">
        <v>3611</v>
      </c>
      <c r="F533" s="14" t="s">
        <v>3589</v>
      </c>
      <c r="G533" s="14" t="s">
        <v>4066</v>
      </c>
    </row>
    <row r="534" spans="1:7" ht="29" x14ac:dyDescent="0.35">
      <c r="A534" s="14" t="s">
        <v>1460</v>
      </c>
      <c r="B534" s="14" t="s">
        <v>3768</v>
      </c>
      <c r="C534" s="14" t="s">
        <v>1463</v>
      </c>
      <c r="D534" s="14" t="s">
        <v>1048</v>
      </c>
      <c r="E534" s="14" t="s">
        <v>3611</v>
      </c>
      <c r="F534" s="14" t="s">
        <v>3760</v>
      </c>
      <c r="G534" s="14" t="s">
        <v>4066</v>
      </c>
    </row>
    <row r="535" spans="1:7" ht="29" x14ac:dyDescent="0.35">
      <c r="A535" s="14" t="s">
        <v>1219</v>
      </c>
      <c r="B535" s="14" t="s">
        <v>3768</v>
      </c>
      <c r="C535" s="14" t="s">
        <v>1221</v>
      </c>
      <c r="D535" s="14" t="s">
        <v>1025</v>
      </c>
      <c r="E535" s="14" t="s">
        <v>2911</v>
      </c>
      <c r="F535" s="14" t="s">
        <v>3611</v>
      </c>
      <c r="G535" s="14" t="s">
        <v>4066</v>
      </c>
    </row>
    <row r="536" spans="1:7" ht="29" x14ac:dyDescent="0.35">
      <c r="A536" s="14" t="s">
        <v>1429</v>
      </c>
      <c r="B536" s="14" t="s">
        <v>3768</v>
      </c>
      <c r="C536" s="14" t="s">
        <v>1431</v>
      </c>
      <c r="D536" s="14" t="s">
        <v>1048</v>
      </c>
      <c r="E536" s="14" t="s">
        <v>3611</v>
      </c>
      <c r="F536" s="14" t="s">
        <v>2911</v>
      </c>
      <c r="G536" s="14" t="s">
        <v>4066</v>
      </c>
    </row>
    <row r="537" spans="1:7" ht="29" x14ac:dyDescent="0.35">
      <c r="A537" s="14" t="s">
        <v>1561</v>
      </c>
      <c r="B537" s="14" t="s">
        <v>3768</v>
      </c>
      <c r="C537" s="14" t="s">
        <v>1564</v>
      </c>
      <c r="D537" s="14" t="s">
        <v>1023</v>
      </c>
      <c r="E537" s="14" t="s">
        <v>3760</v>
      </c>
      <c r="F537" s="14" t="s">
        <v>3589</v>
      </c>
      <c r="G537" s="14" t="s">
        <v>4066</v>
      </c>
    </row>
    <row r="538" spans="1:7" ht="29" x14ac:dyDescent="0.35">
      <c r="A538" s="14" t="s">
        <v>1586</v>
      </c>
      <c r="B538" s="14" t="s">
        <v>3768</v>
      </c>
      <c r="C538" s="14" t="s">
        <v>1564</v>
      </c>
      <c r="D538" s="14" t="s">
        <v>1023</v>
      </c>
      <c r="E538" s="14" t="s">
        <v>3760</v>
      </c>
      <c r="F538" s="14" t="s">
        <v>3589</v>
      </c>
      <c r="G538" s="14" t="s">
        <v>4066</v>
      </c>
    </row>
    <row r="539" spans="1:7" ht="58" x14ac:dyDescent="0.35">
      <c r="A539" s="14" t="s">
        <v>1843</v>
      </c>
      <c r="B539" s="14" t="s">
        <v>3768</v>
      </c>
      <c r="C539" s="14" t="s">
        <v>1852</v>
      </c>
      <c r="D539" s="14" t="s">
        <v>1048</v>
      </c>
      <c r="E539" s="14" t="s">
        <v>3611</v>
      </c>
      <c r="F539" s="14" t="s">
        <v>2955</v>
      </c>
      <c r="G539" s="14" t="s">
        <v>4066</v>
      </c>
    </row>
    <row r="540" spans="1:7" ht="29" x14ac:dyDescent="0.35">
      <c r="A540" s="14" t="s">
        <v>1577</v>
      </c>
      <c r="B540" s="14" t="s">
        <v>3768</v>
      </c>
      <c r="C540" s="14" t="s">
        <v>1581</v>
      </c>
      <c r="D540" s="14" t="s">
        <v>1048</v>
      </c>
      <c r="E540" s="14" t="s">
        <v>3611</v>
      </c>
      <c r="F540" s="14" t="s">
        <v>3760</v>
      </c>
      <c r="G540" s="14" t="s">
        <v>4066</v>
      </c>
    </row>
    <row r="541" spans="1:7" ht="58" x14ac:dyDescent="0.35">
      <c r="A541" s="14" t="s">
        <v>1207</v>
      </c>
      <c r="B541" s="14" t="s">
        <v>3768</v>
      </c>
      <c r="C541" s="14" t="s">
        <v>1209</v>
      </c>
      <c r="D541" s="14" t="s">
        <v>1048</v>
      </c>
      <c r="E541" s="14" t="s">
        <v>3611</v>
      </c>
      <c r="F541" s="14" t="s">
        <v>2955</v>
      </c>
      <c r="G541" s="14" t="s">
        <v>4066</v>
      </c>
    </row>
    <row r="542" spans="1:7" ht="43.5" x14ac:dyDescent="0.35">
      <c r="A542" s="14" t="s">
        <v>1913</v>
      </c>
      <c r="B542" s="14" t="s">
        <v>3768</v>
      </c>
      <c r="C542" s="14" t="s">
        <v>1916</v>
      </c>
      <c r="D542" s="14" t="s">
        <v>1023</v>
      </c>
      <c r="E542" s="14" t="s">
        <v>3760</v>
      </c>
      <c r="F542" s="14" t="s">
        <v>3589</v>
      </c>
      <c r="G542" s="14" t="s">
        <v>4066</v>
      </c>
    </row>
    <row r="543" spans="1:7" ht="29" x14ac:dyDescent="0.35">
      <c r="A543" s="14" t="s">
        <v>1304</v>
      </c>
      <c r="B543" s="14" t="s">
        <v>3768</v>
      </c>
      <c r="C543" s="14" t="s">
        <v>1306</v>
      </c>
      <c r="D543" s="14" t="s">
        <v>1023</v>
      </c>
      <c r="E543" s="14" t="s">
        <v>3760</v>
      </c>
      <c r="F543" s="14" t="s">
        <v>3589</v>
      </c>
      <c r="G543" s="14" t="s">
        <v>4066</v>
      </c>
    </row>
    <row r="544" spans="1:7" ht="29" x14ac:dyDescent="0.35">
      <c r="A544" s="14" t="s">
        <v>1835</v>
      </c>
      <c r="B544" s="14" t="s">
        <v>3768</v>
      </c>
      <c r="C544" s="14" t="s">
        <v>1838</v>
      </c>
      <c r="D544" s="14" t="s">
        <v>1048</v>
      </c>
      <c r="E544" s="14" t="s">
        <v>3611</v>
      </c>
      <c r="F544" s="14" t="s">
        <v>3760</v>
      </c>
      <c r="G544" s="14" t="s">
        <v>4066</v>
      </c>
    </row>
    <row r="545" spans="1:7" ht="29" x14ac:dyDescent="0.35">
      <c r="A545" s="14" t="s">
        <v>1511</v>
      </c>
      <c r="B545" s="14" t="s">
        <v>3768</v>
      </c>
      <c r="C545" s="14" t="s">
        <v>1513</v>
      </c>
      <c r="D545" s="14" t="s">
        <v>1048</v>
      </c>
      <c r="E545" s="14" t="s">
        <v>3611</v>
      </c>
      <c r="F545" s="14" t="s">
        <v>3760</v>
      </c>
      <c r="G545" s="14" t="s">
        <v>4066</v>
      </c>
    </row>
    <row r="546" spans="1:7" ht="29" x14ac:dyDescent="0.35">
      <c r="A546" s="14" t="s">
        <v>1405</v>
      </c>
      <c r="B546" s="14" t="s">
        <v>3768</v>
      </c>
      <c r="C546" s="14" t="s">
        <v>1409</v>
      </c>
      <c r="D546" s="14" t="s">
        <v>1023</v>
      </c>
      <c r="E546" s="14" t="s">
        <v>3760</v>
      </c>
      <c r="F546" s="14" t="s">
        <v>2911</v>
      </c>
      <c r="G546" s="14" t="s">
        <v>4066</v>
      </c>
    </row>
    <row r="547" spans="1:7" ht="29" x14ac:dyDescent="0.35">
      <c r="A547" s="14" t="s">
        <v>1008</v>
      </c>
      <c r="B547" s="14" t="s">
        <v>3768</v>
      </c>
      <c r="C547" s="14" t="s">
        <v>1022</v>
      </c>
      <c r="D547" s="14" t="s">
        <v>1023</v>
      </c>
      <c r="E547" s="14" t="s">
        <v>3760</v>
      </c>
      <c r="F547" s="14" t="s">
        <v>2911</v>
      </c>
      <c r="G547" s="14" t="s">
        <v>4066</v>
      </c>
    </row>
    <row r="548" spans="1:7" ht="29" x14ac:dyDescent="0.35">
      <c r="A548" s="14" t="s">
        <v>1118</v>
      </c>
      <c r="B548" s="14" t="s">
        <v>3768</v>
      </c>
      <c r="C548" s="14" t="s">
        <v>1022</v>
      </c>
      <c r="D548" s="14" t="s">
        <v>1023</v>
      </c>
      <c r="E548" s="14" t="s">
        <v>3760</v>
      </c>
      <c r="F548" s="14" t="s">
        <v>2911</v>
      </c>
      <c r="G548" s="14" t="s">
        <v>4066</v>
      </c>
    </row>
    <row r="549" spans="1:7" ht="43.5" x14ac:dyDescent="0.35">
      <c r="A549" s="14" t="s">
        <v>1738</v>
      </c>
      <c r="B549" s="14" t="s">
        <v>3768</v>
      </c>
      <c r="C549" s="14" t="s">
        <v>1740</v>
      </c>
      <c r="D549" s="14" t="s">
        <v>1048</v>
      </c>
      <c r="E549" s="14" t="s">
        <v>3611</v>
      </c>
      <c r="F549" s="14" t="s">
        <v>3765</v>
      </c>
      <c r="G549" s="14" t="s">
        <v>4066</v>
      </c>
    </row>
    <row r="550" spans="1:7" ht="29" x14ac:dyDescent="0.35">
      <c r="A550" s="14" t="s">
        <v>1488</v>
      </c>
      <c r="B550" s="14" t="s">
        <v>3768</v>
      </c>
      <c r="C550" s="14" t="s">
        <v>1491</v>
      </c>
      <c r="D550" s="14" t="s">
        <v>1023</v>
      </c>
      <c r="E550" s="14" t="s">
        <v>3760</v>
      </c>
      <c r="F550" s="14" t="s">
        <v>2911</v>
      </c>
      <c r="G550" s="14" t="s">
        <v>4066</v>
      </c>
    </row>
    <row r="551" spans="1:7" ht="29" x14ac:dyDescent="0.35">
      <c r="A551" s="14" t="s">
        <v>1693</v>
      </c>
      <c r="B551" s="14" t="s">
        <v>3768</v>
      </c>
      <c r="C551" s="14" t="s">
        <v>1491</v>
      </c>
      <c r="D551" s="14" t="s">
        <v>1023</v>
      </c>
      <c r="E551" s="14" t="s">
        <v>3760</v>
      </c>
      <c r="F551" s="14" t="s">
        <v>2911</v>
      </c>
      <c r="G551" s="14" t="s">
        <v>4066</v>
      </c>
    </row>
    <row r="552" spans="1:7" ht="29" x14ac:dyDescent="0.35">
      <c r="A552" s="14" t="s">
        <v>1502</v>
      </c>
      <c r="B552" s="14" t="s">
        <v>3768</v>
      </c>
      <c r="C552" s="14" t="s">
        <v>1504</v>
      </c>
      <c r="D552" s="14" t="s">
        <v>1048</v>
      </c>
      <c r="E552" s="14" t="s">
        <v>3611</v>
      </c>
      <c r="F552" s="14" t="s">
        <v>3589</v>
      </c>
      <c r="G552" s="14" t="s">
        <v>4066</v>
      </c>
    </row>
    <row r="553" spans="1:7" ht="29" x14ac:dyDescent="0.35">
      <c r="A553" s="14" t="s">
        <v>1412</v>
      </c>
      <c r="B553" s="14" t="s">
        <v>3768</v>
      </c>
      <c r="C553" s="14" t="s">
        <v>1414</v>
      </c>
      <c r="D553" s="14" t="s">
        <v>1048</v>
      </c>
      <c r="E553" s="14" t="s">
        <v>3611</v>
      </c>
      <c r="F553" s="14" t="s">
        <v>2911</v>
      </c>
      <c r="G553" s="14" t="s">
        <v>4066</v>
      </c>
    </row>
    <row r="554" spans="1:7" ht="43.5" x14ac:dyDescent="0.35">
      <c r="A554" s="14" t="s">
        <v>1681</v>
      </c>
      <c r="B554" s="14" t="s">
        <v>3768</v>
      </c>
      <c r="C554" s="14" t="s">
        <v>1684</v>
      </c>
      <c r="D554" s="14" t="s">
        <v>1048</v>
      </c>
      <c r="E554" s="14" t="s">
        <v>3611</v>
      </c>
      <c r="F554" s="14" t="s">
        <v>2832</v>
      </c>
      <c r="G554" s="14" t="s">
        <v>4066</v>
      </c>
    </row>
    <row r="555" spans="1:7" ht="29" x14ac:dyDescent="0.35">
      <c r="A555" s="14" t="s">
        <v>1593</v>
      </c>
      <c r="B555" s="14" t="s">
        <v>3768</v>
      </c>
      <c r="C555" s="14" t="s">
        <v>1596</v>
      </c>
      <c r="D555" s="14" t="s">
        <v>1023</v>
      </c>
      <c r="E555" s="14" t="s">
        <v>3760</v>
      </c>
      <c r="F555" s="14" t="s">
        <v>3760</v>
      </c>
      <c r="G555" s="14" t="s">
        <v>4066</v>
      </c>
    </row>
    <row r="556" spans="1:7" ht="29" x14ac:dyDescent="0.35">
      <c r="A556" s="14" t="s">
        <v>1272</v>
      </c>
      <c r="B556" s="14" t="s">
        <v>3768</v>
      </c>
      <c r="C556" s="14" t="s">
        <v>1275</v>
      </c>
      <c r="D556" s="14" t="s">
        <v>1023</v>
      </c>
      <c r="E556" s="14" t="s">
        <v>3760</v>
      </c>
      <c r="F556" s="14" t="s">
        <v>2911</v>
      </c>
      <c r="G556" s="14" t="s">
        <v>4066</v>
      </c>
    </row>
    <row r="557" spans="1:7" ht="29" x14ac:dyDescent="0.35">
      <c r="A557" s="14" t="s">
        <v>1300</v>
      </c>
      <c r="B557" s="14" t="s">
        <v>3768</v>
      </c>
      <c r="C557" s="14" t="s">
        <v>1275</v>
      </c>
      <c r="D557" s="14" t="s">
        <v>1023</v>
      </c>
      <c r="E557" s="14" t="s">
        <v>3760</v>
      </c>
      <c r="F557" s="14" t="s">
        <v>2911</v>
      </c>
      <c r="G557" s="14" t="s">
        <v>4066</v>
      </c>
    </row>
    <row r="558" spans="1:7" ht="29" x14ac:dyDescent="0.35">
      <c r="A558" s="14" t="s">
        <v>1567</v>
      </c>
      <c r="B558" s="14" t="s">
        <v>3768</v>
      </c>
      <c r="C558" s="14" t="s">
        <v>1574</v>
      </c>
      <c r="D558" s="14" t="s">
        <v>1023</v>
      </c>
      <c r="E558" s="14" t="s">
        <v>3760</v>
      </c>
      <c r="F558" s="14" t="s">
        <v>3760</v>
      </c>
      <c r="G558" s="14" t="s">
        <v>4066</v>
      </c>
    </row>
    <row r="559" spans="1:7" ht="43.5" x14ac:dyDescent="0.35">
      <c r="A559" s="14" t="s">
        <v>1704</v>
      </c>
      <c r="B559" s="14" t="s">
        <v>3768</v>
      </c>
      <c r="C559" s="14" t="s">
        <v>1707</v>
      </c>
      <c r="D559" s="14" t="s">
        <v>1048</v>
      </c>
      <c r="E559" s="14" t="s">
        <v>3611</v>
      </c>
      <c r="F559" s="14" t="s">
        <v>2832</v>
      </c>
      <c r="G559" s="14" t="s">
        <v>4066</v>
      </c>
    </row>
    <row r="560" spans="1:7" ht="29" x14ac:dyDescent="0.35">
      <c r="A560" s="14" t="s">
        <v>1526</v>
      </c>
      <c r="B560" s="14" t="s">
        <v>3768</v>
      </c>
      <c r="C560" s="14" t="s">
        <v>1528</v>
      </c>
      <c r="D560" s="14" t="s">
        <v>1048</v>
      </c>
      <c r="E560" s="14" t="s">
        <v>3611</v>
      </c>
      <c r="F560" s="14" t="s">
        <v>2911</v>
      </c>
      <c r="G560" s="14" t="s">
        <v>4066</v>
      </c>
    </row>
    <row r="561" spans="1:7" ht="29" x14ac:dyDescent="0.35">
      <c r="A561" s="14" t="s">
        <v>1532</v>
      </c>
      <c r="B561" s="14" t="s">
        <v>3768</v>
      </c>
      <c r="C561" s="14" t="s">
        <v>1536</v>
      </c>
      <c r="D561" s="14" t="s">
        <v>1048</v>
      </c>
      <c r="E561" s="14" t="s">
        <v>3611</v>
      </c>
      <c r="F561" s="14" t="s">
        <v>3589</v>
      </c>
      <c r="G561" s="14" t="s">
        <v>4066</v>
      </c>
    </row>
    <row r="562" spans="1:7" ht="29" x14ac:dyDescent="0.35">
      <c r="A562" s="14" t="s">
        <v>1331</v>
      </c>
      <c r="B562" s="14" t="s">
        <v>3768</v>
      </c>
      <c r="C562" s="14" t="s">
        <v>1314</v>
      </c>
      <c r="D562" s="14" t="s">
        <v>1023</v>
      </c>
      <c r="E562" s="14" t="s">
        <v>3760</v>
      </c>
      <c r="F562" s="14" t="s">
        <v>3760</v>
      </c>
      <c r="G562" s="14" t="s">
        <v>4066</v>
      </c>
    </row>
    <row r="563" spans="1:7" ht="29" x14ac:dyDescent="0.35">
      <c r="A563" s="14" t="s">
        <v>1311</v>
      </c>
      <c r="B563" s="14" t="s">
        <v>3768</v>
      </c>
      <c r="C563" s="14" t="s">
        <v>1314</v>
      </c>
      <c r="D563" s="14" t="s">
        <v>1023</v>
      </c>
      <c r="E563" s="14" t="s">
        <v>3760</v>
      </c>
      <c r="F563" s="14" t="s">
        <v>3760</v>
      </c>
      <c r="G563" s="14" t="s">
        <v>4066</v>
      </c>
    </row>
    <row r="564" spans="1:7" ht="29" x14ac:dyDescent="0.35">
      <c r="A564" s="14" t="s">
        <v>1165</v>
      </c>
      <c r="B564" s="14" t="s">
        <v>3768</v>
      </c>
      <c r="C564" s="14" t="s">
        <v>1167</v>
      </c>
      <c r="D564" s="14" t="s">
        <v>1023</v>
      </c>
      <c r="E564" s="14" t="s">
        <v>3760</v>
      </c>
      <c r="F564" s="14" t="s">
        <v>3760</v>
      </c>
      <c r="G564" s="14" t="s">
        <v>4066</v>
      </c>
    </row>
    <row r="565" spans="1:7" ht="43.5" x14ac:dyDescent="0.35">
      <c r="A565" s="14" t="s">
        <v>1159</v>
      </c>
      <c r="B565" s="14" t="s">
        <v>3768</v>
      </c>
      <c r="C565" s="14" t="s">
        <v>1162</v>
      </c>
      <c r="D565" s="14" t="s">
        <v>1048</v>
      </c>
      <c r="E565" s="14" t="s">
        <v>3611</v>
      </c>
      <c r="F565" s="14" t="s">
        <v>3589</v>
      </c>
      <c r="G565" s="14" t="s">
        <v>4066</v>
      </c>
    </row>
    <row r="566" spans="1:7" ht="29" x14ac:dyDescent="0.35">
      <c r="A566" s="14" t="s">
        <v>1618</v>
      </c>
      <c r="B566" s="14" t="s">
        <v>3768</v>
      </c>
      <c r="C566" s="14" t="s">
        <v>1622</v>
      </c>
      <c r="D566" s="14" t="s">
        <v>1048</v>
      </c>
      <c r="E566" s="14" t="s">
        <v>3611</v>
      </c>
      <c r="F566" s="14" t="s">
        <v>3589</v>
      </c>
      <c r="G566" s="14" t="s">
        <v>4066</v>
      </c>
    </row>
    <row r="567" spans="1:7" ht="29" x14ac:dyDescent="0.35">
      <c r="A567" s="14" t="s">
        <v>1897</v>
      </c>
      <c r="B567" s="14" t="s">
        <v>3768</v>
      </c>
      <c r="C567" s="14" t="s">
        <v>1899</v>
      </c>
      <c r="D567" s="14" t="s">
        <v>1048</v>
      </c>
      <c r="E567" s="14" t="s">
        <v>3611</v>
      </c>
      <c r="F567" s="14" t="s">
        <v>3589</v>
      </c>
      <c r="G567" s="14" t="s">
        <v>4066</v>
      </c>
    </row>
    <row r="568" spans="1:7" ht="29" x14ac:dyDescent="0.35">
      <c r="A568" s="14" t="s">
        <v>1857</v>
      </c>
      <c r="B568" s="14" t="s">
        <v>3768</v>
      </c>
      <c r="C568" s="14" t="s">
        <v>1860</v>
      </c>
      <c r="D568" s="14" t="s">
        <v>1048</v>
      </c>
      <c r="E568" s="14" t="s">
        <v>3611</v>
      </c>
      <c r="F568" s="14" t="s">
        <v>3589</v>
      </c>
      <c r="G568" s="14" t="s">
        <v>4066</v>
      </c>
    </row>
    <row r="569" spans="1:7" ht="29" x14ac:dyDescent="0.35">
      <c r="A569" s="14" t="s">
        <v>1285</v>
      </c>
      <c r="B569" s="14" t="s">
        <v>3768</v>
      </c>
      <c r="C569" s="14" t="s">
        <v>1177</v>
      </c>
      <c r="D569" s="14" t="s">
        <v>1025</v>
      </c>
      <c r="E569" s="14" t="s">
        <v>3760</v>
      </c>
      <c r="F569" s="14" t="s">
        <v>3611</v>
      </c>
      <c r="G569" s="14" t="s">
        <v>4066</v>
      </c>
    </row>
    <row r="570" spans="1:7" ht="29" x14ac:dyDescent="0.35">
      <c r="A570" s="14" t="s">
        <v>1175</v>
      </c>
      <c r="B570" s="14" t="s">
        <v>3768</v>
      </c>
      <c r="C570" s="14" t="s">
        <v>1177</v>
      </c>
      <c r="D570" s="14" t="s">
        <v>1025</v>
      </c>
      <c r="E570" s="14" t="s">
        <v>3760</v>
      </c>
      <c r="F570" s="14" t="s">
        <v>3611</v>
      </c>
      <c r="G570" s="14" t="s">
        <v>4066</v>
      </c>
    </row>
    <row r="571" spans="1:7" ht="29" x14ac:dyDescent="0.35">
      <c r="A571" s="14" t="s">
        <v>1832</v>
      </c>
      <c r="B571" s="14" t="s">
        <v>3768</v>
      </c>
      <c r="C571" s="14" t="s">
        <v>1107</v>
      </c>
      <c r="D571" s="14" t="s">
        <v>1023</v>
      </c>
      <c r="E571" s="14" t="s">
        <v>3760</v>
      </c>
      <c r="F571" s="14" t="s">
        <v>3760</v>
      </c>
      <c r="G571" s="14" t="s">
        <v>4066</v>
      </c>
    </row>
    <row r="572" spans="1:7" ht="29" x14ac:dyDescent="0.35">
      <c r="A572" s="14" t="s">
        <v>1105</v>
      </c>
      <c r="B572" s="14" t="s">
        <v>3768</v>
      </c>
      <c r="C572" s="14" t="s">
        <v>1107</v>
      </c>
      <c r="D572" s="14" t="s">
        <v>1023</v>
      </c>
      <c r="E572" s="14" t="s">
        <v>3760</v>
      </c>
      <c r="F572" s="14" t="s">
        <v>3760</v>
      </c>
      <c r="G572" s="14" t="s">
        <v>4066</v>
      </c>
    </row>
    <row r="573" spans="1:7" ht="29" x14ac:dyDescent="0.35">
      <c r="A573" s="14" t="s">
        <v>1793</v>
      </c>
      <c r="B573" s="14" t="s">
        <v>3768</v>
      </c>
      <c r="C573" s="14" t="s">
        <v>1796</v>
      </c>
      <c r="D573" s="14" t="s">
        <v>1023</v>
      </c>
      <c r="E573" s="14" t="s">
        <v>2911</v>
      </c>
      <c r="F573" s="14" t="s">
        <v>3760</v>
      </c>
      <c r="G573" s="14" t="s">
        <v>4066</v>
      </c>
    </row>
    <row r="574" spans="1:7" ht="29" x14ac:dyDescent="0.35">
      <c r="A574" s="14" t="s">
        <v>1551</v>
      </c>
      <c r="B574" s="14" t="s">
        <v>3768</v>
      </c>
      <c r="C574" s="14" t="s">
        <v>1553</v>
      </c>
      <c r="D574" s="14" t="s">
        <v>1048</v>
      </c>
      <c r="E574" s="14" t="s">
        <v>3611</v>
      </c>
      <c r="F574" s="14" t="s">
        <v>2911</v>
      </c>
      <c r="G574" s="14" t="s">
        <v>4066</v>
      </c>
    </row>
    <row r="575" spans="1:7" ht="29" x14ac:dyDescent="0.35">
      <c r="A575" s="14" t="s">
        <v>1180</v>
      </c>
      <c r="B575" s="14" t="s">
        <v>3768</v>
      </c>
      <c r="C575" s="14" t="s">
        <v>1182</v>
      </c>
      <c r="D575" s="14" t="s">
        <v>1025</v>
      </c>
      <c r="E575" s="14" t="s">
        <v>3760</v>
      </c>
      <c r="F575" s="14" t="s">
        <v>3611</v>
      </c>
      <c r="G575" s="14" t="s">
        <v>4066</v>
      </c>
    </row>
    <row r="576" spans="1:7" ht="29" x14ac:dyDescent="0.35">
      <c r="A576" s="14" t="s">
        <v>1288</v>
      </c>
      <c r="B576" s="14" t="s">
        <v>3768</v>
      </c>
      <c r="C576" s="14" t="s">
        <v>1182</v>
      </c>
      <c r="D576" s="14" t="s">
        <v>1025</v>
      </c>
      <c r="E576" s="14" t="s">
        <v>3760</v>
      </c>
      <c r="F576" s="14" t="s">
        <v>3611</v>
      </c>
      <c r="G576" s="14" t="s">
        <v>4066</v>
      </c>
    </row>
    <row r="577" spans="1:7" ht="29" x14ac:dyDescent="0.35">
      <c r="A577" s="14" t="s">
        <v>1267</v>
      </c>
      <c r="B577" s="14" t="s">
        <v>3768</v>
      </c>
      <c r="C577" s="14" t="s">
        <v>1269</v>
      </c>
      <c r="D577" s="14" t="s">
        <v>1048</v>
      </c>
      <c r="E577" s="14" t="s">
        <v>3611</v>
      </c>
      <c r="F577" s="14" t="s">
        <v>3589</v>
      </c>
      <c r="G577" s="14" t="s">
        <v>4066</v>
      </c>
    </row>
    <row r="578" spans="1:7" ht="29" x14ac:dyDescent="0.35">
      <c r="A578" s="14" t="s">
        <v>1655</v>
      </c>
      <c r="B578" s="14" t="s">
        <v>3768</v>
      </c>
      <c r="C578" s="14" t="s">
        <v>1657</v>
      </c>
      <c r="D578" s="14" t="s">
        <v>1048</v>
      </c>
      <c r="E578" s="14" t="s">
        <v>3611</v>
      </c>
      <c r="F578" s="14" t="s">
        <v>3760</v>
      </c>
      <c r="G578" s="14" t="s">
        <v>4066</v>
      </c>
    </row>
    <row r="579" spans="1:7" ht="43.5" x14ac:dyDescent="0.35">
      <c r="A579" s="14" t="s">
        <v>1085</v>
      </c>
      <c r="B579" s="14" t="s">
        <v>3768</v>
      </c>
      <c r="C579" s="14" t="s">
        <v>1092</v>
      </c>
      <c r="D579" s="14" t="s">
        <v>1048</v>
      </c>
      <c r="E579" s="14" t="s">
        <v>3611</v>
      </c>
      <c r="F579" s="14" t="s">
        <v>2832</v>
      </c>
      <c r="G579" s="14" t="s">
        <v>4066</v>
      </c>
    </row>
    <row r="580" spans="1:7" ht="29" x14ac:dyDescent="0.35">
      <c r="A580" s="14" t="s">
        <v>1190</v>
      </c>
      <c r="B580" s="14" t="s">
        <v>3768</v>
      </c>
      <c r="C580" s="14" t="s">
        <v>1193</v>
      </c>
      <c r="D580" s="14" t="s">
        <v>1048</v>
      </c>
      <c r="E580" s="14" t="s">
        <v>3611</v>
      </c>
      <c r="F580" s="14" t="s">
        <v>3760</v>
      </c>
      <c r="G580" s="14" t="s">
        <v>4066</v>
      </c>
    </row>
    <row r="581" spans="1:7" ht="29" x14ac:dyDescent="0.35">
      <c r="A581" s="14" t="s">
        <v>1339</v>
      </c>
      <c r="B581" s="14" t="s">
        <v>3768</v>
      </c>
      <c r="C581" s="14" t="s">
        <v>1342</v>
      </c>
      <c r="D581" s="14" t="s">
        <v>1048</v>
      </c>
      <c r="E581" s="14" t="s">
        <v>3611</v>
      </c>
      <c r="F581" s="14" t="s">
        <v>2911</v>
      </c>
      <c r="G581" s="14" t="s">
        <v>4066</v>
      </c>
    </row>
    <row r="582" spans="1:7" ht="29" x14ac:dyDescent="0.35">
      <c r="A582" s="14" t="s">
        <v>1376</v>
      </c>
      <c r="B582" s="14" t="s">
        <v>3768</v>
      </c>
      <c r="C582" s="14" t="s">
        <v>1379</v>
      </c>
      <c r="D582" s="14" t="s">
        <v>1048</v>
      </c>
      <c r="E582" s="14" t="s">
        <v>3611</v>
      </c>
      <c r="F582" s="14" t="s">
        <v>3760</v>
      </c>
      <c r="G582" s="14" t="s">
        <v>4066</v>
      </c>
    </row>
    <row r="583" spans="1:7" ht="29" x14ac:dyDescent="0.35">
      <c r="A583" s="14" t="s">
        <v>1755</v>
      </c>
      <c r="B583" s="14" t="s">
        <v>3768</v>
      </c>
      <c r="C583" s="14" t="s">
        <v>1757</v>
      </c>
      <c r="D583" s="14" t="s">
        <v>1048</v>
      </c>
      <c r="E583" s="14" t="s">
        <v>3611</v>
      </c>
      <c r="F583" s="14" t="s">
        <v>2911</v>
      </c>
      <c r="G583" s="14" t="s">
        <v>4066</v>
      </c>
    </row>
    <row r="584" spans="1:7" ht="29" x14ac:dyDescent="0.35">
      <c r="A584" s="14" t="s">
        <v>1743</v>
      </c>
      <c r="B584" s="14" t="s">
        <v>3768</v>
      </c>
      <c r="C584" s="14" t="s">
        <v>1745</v>
      </c>
      <c r="D584" s="14" t="s">
        <v>1048</v>
      </c>
      <c r="E584" s="14" t="s">
        <v>3611</v>
      </c>
      <c r="F584" s="14" t="s">
        <v>2911</v>
      </c>
      <c r="G584" s="14" t="s">
        <v>4066</v>
      </c>
    </row>
    <row r="585" spans="1:7" ht="29" x14ac:dyDescent="0.35">
      <c r="A585" s="14" t="s">
        <v>1317</v>
      </c>
      <c r="B585" s="14" t="s">
        <v>3768</v>
      </c>
      <c r="C585" s="14" t="s">
        <v>1319</v>
      </c>
      <c r="D585" s="14" t="s">
        <v>1048</v>
      </c>
      <c r="E585" s="14" t="s">
        <v>3611</v>
      </c>
      <c r="F585" s="14" t="s">
        <v>2911</v>
      </c>
      <c r="G585" s="14" t="s">
        <v>4066</v>
      </c>
    </row>
    <row r="586" spans="1:7" ht="29" x14ac:dyDescent="0.35">
      <c r="A586" s="14" t="s">
        <v>1733</v>
      </c>
      <c r="B586" s="14" t="s">
        <v>3768</v>
      </c>
      <c r="C586" s="14" t="s">
        <v>1735</v>
      </c>
      <c r="D586" s="14" t="s">
        <v>1048</v>
      </c>
      <c r="E586" s="14" t="s">
        <v>3611</v>
      </c>
      <c r="F586" s="14" t="s">
        <v>2911</v>
      </c>
      <c r="G586" s="14" t="s">
        <v>4066</v>
      </c>
    </row>
    <row r="587" spans="1:7" ht="29" x14ac:dyDescent="0.35">
      <c r="A587" s="14" t="s">
        <v>1468</v>
      </c>
      <c r="B587" s="14" t="s">
        <v>3768</v>
      </c>
      <c r="C587" s="14" t="s">
        <v>1470</v>
      </c>
      <c r="D587" s="14" t="s">
        <v>1048</v>
      </c>
      <c r="E587" s="14" t="s">
        <v>3611</v>
      </c>
      <c r="F587" s="14" t="s">
        <v>2911</v>
      </c>
      <c r="G587" s="14" t="s">
        <v>4066</v>
      </c>
    </row>
    <row r="588" spans="1:7" ht="29" x14ac:dyDescent="0.35">
      <c r="A588" s="14" t="s">
        <v>1625</v>
      </c>
      <c r="B588" s="14" t="s">
        <v>3768</v>
      </c>
      <c r="C588" s="14" t="s">
        <v>1631</v>
      </c>
      <c r="D588" s="14" t="s">
        <v>1048</v>
      </c>
      <c r="E588" s="14" t="s">
        <v>3611</v>
      </c>
      <c r="F588" s="14" t="s">
        <v>2911</v>
      </c>
      <c r="G588" s="14" t="s">
        <v>4066</v>
      </c>
    </row>
    <row r="589" spans="1:7" ht="29" x14ac:dyDescent="0.35">
      <c r="A589" s="14" t="s">
        <v>1444</v>
      </c>
      <c r="B589" s="14" t="s">
        <v>3768</v>
      </c>
      <c r="C589" s="14" t="s">
        <v>1448</v>
      </c>
      <c r="D589" s="14" t="s">
        <v>1048</v>
      </c>
      <c r="E589" s="14" t="s">
        <v>3611</v>
      </c>
      <c r="F589" s="14" t="s">
        <v>2911</v>
      </c>
      <c r="G589" s="14" t="s">
        <v>4066</v>
      </c>
    </row>
    <row r="590" spans="1:7" ht="29" x14ac:dyDescent="0.35">
      <c r="A590" s="14" t="s">
        <v>1212</v>
      </c>
      <c r="B590" s="14" t="s">
        <v>3768</v>
      </c>
      <c r="C590" s="14" t="s">
        <v>1216</v>
      </c>
      <c r="D590" s="14" t="s">
        <v>1048</v>
      </c>
      <c r="E590" s="14" t="s">
        <v>3611</v>
      </c>
      <c r="F590" s="14" t="s">
        <v>2911</v>
      </c>
      <c r="G590" s="14" t="s">
        <v>4066</v>
      </c>
    </row>
    <row r="591" spans="1:7" ht="29" x14ac:dyDescent="0.35">
      <c r="A591" s="14" t="s">
        <v>1436</v>
      </c>
      <c r="B591" s="14" t="s">
        <v>3768</v>
      </c>
      <c r="C591" s="14" t="s">
        <v>1438</v>
      </c>
      <c r="D591" s="14" t="s">
        <v>1048</v>
      </c>
      <c r="E591" s="14" t="s">
        <v>3611</v>
      </c>
      <c r="F591" s="14" t="s">
        <v>3760</v>
      </c>
      <c r="G591" s="14" t="s">
        <v>4066</v>
      </c>
    </row>
    <row r="592" spans="1:7" ht="29" x14ac:dyDescent="0.35">
      <c r="A592" s="14" t="s">
        <v>1253</v>
      </c>
      <c r="B592" s="14" t="s">
        <v>3768</v>
      </c>
      <c r="C592" s="14" t="s">
        <v>1255</v>
      </c>
      <c r="D592" s="14" t="s">
        <v>1048</v>
      </c>
      <c r="E592" s="14" t="s">
        <v>3611</v>
      </c>
      <c r="F592" s="14" t="s">
        <v>2911</v>
      </c>
      <c r="G592" s="14" t="s">
        <v>4066</v>
      </c>
    </row>
    <row r="593" spans="1:7" ht="29" x14ac:dyDescent="0.35">
      <c r="A593" s="14" t="s">
        <v>1126</v>
      </c>
      <c r="B593" s="14" t="s">
        <v>3768</v>
      </c>
      <c r="C593" s="14" t="s">
        <v>1131</v>
      </c>
      <c r="D593" s="14" t="s">
        <v>1048</v>
      </c>
      <c r="E593" s="14" t="s">
        <v>3611</v>
      </c>
      <c r="F593" s="14" t="s">
        <v>2911</v>
      </c>
      <c r="G593" s="14" t="s">
        <v>4066</v>
      </c>
    </row>
    <row r="594" spans="1:7" ht="29" x14ac:dyDescent="0.35">
      <c r="A594" s="14" t="s">
        <v>1388</v>
      </c>
      <c r="B594" s="14" t="s">
        <v>3768</v>
      </c>
      <c r="C594" s="14" t="s">
        <v>1390</v>
      </c>
      <c r="D594" s="14" t="s">
        <v>1048</v>
      </c>
      <c r="E594" s="14" t="s">
        <v>3611</v>
      </c>
      <c r="F594" s="14" t="s">
        <v>3760</v>
      </c>
      <c r="G594" s="14" t="s">
        <v>4066</v>
      </c>
    </row>
    <row r="595" spans="1:7" ht="29" x14ac:dyDescent="0.35">
      <c r="A595" s="14" t="s">
        <v>1725</v>
      </c>
      <c r="B595" s="14" t="s">
        <v>3768</v>
      </c>
      <c r="C595" s="14" t="s">
        <v>1727</v>
      </c>
      <c r="D595" s="14" t="s">
        <v>1048</v>
      </c>
      <c r="E595" s="14" t="s">
        <v>3611</v>
      </c>
      <c r="F595" s="14" t="s">
        <v>3760</v>
      </c>
      <c r="G595" s="14" t="s">
        <v>4066</v>
      </c>
    </row>
    <row r="596" spans="1:7" ht="29" x14ac:dyDescent="0.35">
      <c r="A596" s="14" t="s">
        <v>1902</v>
      </c>
      <c r="B596" s="14" t="s">
        <v>3768</v>
      </c>
      <c r="C596" s="14" t="s">
        <v>1905</v>
      </c>
      <c r="D596" s="14" t="s">
        <v>1048</v>
      </c>
      <c r="E596" s="14" t="s">
        <v>3611</v>
      </c>
      <c r="F596" s="14" t="s">
        <v>3760</v>
      </c>
      <c r="G596" s="14" t="s">
        <v>4066</v>
      </c>
    </row>
    <row r="597" spans="1:7" ht="29" x14ac:dyDescent="0.35">
      <c r="A597" s="14" t="s">
        <v>1715</v>
      </c>
      <c r="B597" s="14" t="s">
        <v>3768</v>
      </c>
      <c r="C597" s="14" t="s">
        <v>1717</v>
      </c>
      <c r="D597" s="14" t="s">
        <v>1050</v>
      </c>
      <c r="E597" s="14" t="s">
        <v>3611</v>
      </c>
      <c r="F597" s="14" t="s">
        <v>3611</v>
      </c>
      <c r="G597" s="14" t="s">
        <v>4066</v>
      </c>
    </row>
    <row r="598" spans="1:7" ht="29" x14ac:dyDescent="0.35">
      <c r="A598" s="14" t="s">
        <v>1322</v>
      </c>
      <c r="B598" s="14" t="s">
        <v>3768</v>
      </c>
      <c r="C598" s="14" t="s">
        <v>1326</v>
      </c>
      <c r="D598" s="14" t="s">
        <v>1025</v>
      </c>
      <c r="E598" s="14" t="s">
        <v>3760</v>
      </c>
      <c r="F598" s="14" t="s">
        <v>3611</v>
      </c>
      <c r="G598" s="14" t="s">
        <v>4066</v>
      </c>
    </row>
    <row r="599" spans="1:7" ht="29" x14ac:dyDescent="0.35">
      <c r="A599" s="14" t="s">
        <v>1294</v>
      </c>
      <c r="B599" s="14" t="s">
        <v>3768</v>
      </c>
      <c r="C599" s="14" t="s">
        <v>1297</v>
      </c>
      <c r="D599" s="14" t="s">
        <v>1048</v>
      </c>
      <c r="E599" s="14" t="s">
        <v>3611</v>
      </c>
      <c r="F599" s="14" t="s">
        <v>3760</v>
      </c>
      <c r="G599" s="14" t="s">
        <v>4066</v>
      </c>
    </row>
    <row r="600" spans="1:7" ht="29" x14ac:dyDescent="0.35">
      <c r="A600" s="14" t="s">
        <v>1799</v>
      </c>
      <c r="B600" s="14" t="s">
        <v>3768</v>
      </c>
      <c r="C600" s="14" t="s">
        <v>1801</v>
      </c>
      <c r="D600" s="14" t="s">
        <v>1050</v>
      </c>
      <c r="E600" s="14" t="s">
        <v>3611</v>
      </c>
      <c r="F600" s="14" t="s">
        <v>3611</v>
      </c>
      <c r="G600" s="14" t="s">
        <v>4066</v>
      </c>
    </row>
    <row r="601" spans="1:7" ht="29" x14ac:dyDescent="0.35">
      <c r="A601" s="14" t="s">
        <v>1922</v>
      </c>
      <c r="B601" s="14" t="s">
        <v>3768</v>
      </c>
      <c r="C601" s="14" t="s">
        <v>1924</v>
      </c>
      <c r="D601" s="14" t="s">
        <v>1048</v>
      </c>
      <c r="E601" s="14" t="s">
        <v>3611</v>
      </c>
      <c r="F601" s="14" t="s">
        <v>3760</v>
      </c>
      <c r="G601" s="14" t="s">
        <v>4066</v>
      </c>
    </row>
    <row r="602" spans="1:7" ht="29" x14ac:dyDescent="0.35">
      <c r="A602" s="14" t="s">
        <v>1770</v>
      </c>
      <c r="B602" s="14" t="s">
        <v>3768</v>
      </c>
      <c r="C602" s="14" t="s">
        <v>1772</v>
      </c>
      <c r="D602" s="14" t="s">
        <v>1048</v>
      </c>
      <c r="E602" s="14" t="s">
        <v>3611</v>
      </c>
      <c r="F602" s="14" t="s">
        <v>3760</v>
      </c>
      <c r="G602" s="14" t="s">
        <v>4066</v>
      </c>
    </row>
    <row r="603" spans="1:7" ht="29" x14ac:dyDescent="0.35">
      <c r="A603" s="14" t="s">
        <v>1607</v>
      </c>
      <c r="B603" s="14" t="s">
        <v>3768</v>
      </c>
      <c r="C603" s="14" t="s">
        <v>1609</v>
      </c>
      <c r="D603" s="14" t="s">
        <v>1050</v>
      </c>
      <c r="E603" s="14" t="s">
        <v>3611</v>
      </c>
      <c r="F603" s="14" t="s">
        <v>3611</v>
      </c>
      <c r="G603" s="14" t="s">
        <v>4066</v>
      </c>
    </row>
    <row r="604" spans="1:7" ht="29" x14ac:dyDescent="0.35">
      <c r="A604" s="14" t="s">
        <v>1827</v>
      </c>
      <c r="B604" s="14" t="s">
        <v>3768</v>
      </c>
      <c r="C604" s="14" t="s">
        <v>1829</v>
      </c>
      <c r="D604" s="14" t="s">
        <v>1048</v>
      </c>
      <c r="E604" s="14" t="s">
        <v>3611</v>
      </c>
      <c r="F604" s="14" t="s">
        <v>3760</v>
      </c>
      <c r="G604" s="14" t="s">
        <v>4066</v>
      </c>
    </row>
    <row r="605" spans="1:7" ht="29" x14ac:dyDescent="0.35">
      <c r="A605" s="14" t="s">
        <v>1278</v>
      </c>
      <c r="B605" s="14" t="s">
        <v>3768</v>
      </c>
      <c r="C605" s="14" t="s">
        <v>1282</v>
      </c>
      <c r="D605" s="14" t="s">
        <v>1048</v>
      </c>
      <c r="E605" s="14" t="s">
        <v>3611</v>
      </c>
      <c r="F605" s="14" t="s">
        <v>3760</v>
      </c>
      <c r="G605" s="14" t="s">
        <v>4066</v>
      </c>
    </row>
    <row r="606" spans="1:7" ht="29" x14ac:dyDescent="0.35">
      <c r="A606" s="14" t="s">
        <v>1042</v>
      </c>
      <c r="B606" s="14" t="s">
        <v>3768</v>
      </c>
      <c r="C606" s="14" t="s">
        <v>1047</v>
      </c>
      <c r="D606" s="14" t="s">
        <v>1048</v>
      </c>
      <c r="E606" s="14" t="s">
        <v>3611</v>
      </c>
      <c r="F606" s="14" t="s">
        <v>3760</v>
      </c>
      <c r="G606" s="14" t="s">
        <v>4066</v>
      </c>
    </row>
    <row r="607" spans="1:7" ht="29" x14ac:dyDescent="0.35">
      <c r="A607" s="14" t="s">
        <v>1382</v>
      </c>
      <c r="B607" s="14" t="s">
        <v>3768</v>
      </c>
      <c r="C607" s="14" t="s">
        <v>1385</v>
      </c>
      <c r="D607" s="14" t="s">
        <v>1048</v>
      </c>
      <c r="E607" s="14" t="s">
        <v>3611</v>
      </c>
      <c r="F607" s="14" t="s">
        <v>3760</v>
      </c>
      <c r="G607" s="14" t="s">
        <v>4066</v>
      </c>
    </row>
    <row r="608" spans="1:7" ht="29" x14ac:dyDescent="0.35">
      <c r="A608" s="14" t="s">
        <v>1345</v>
      </c>
      <c r="B608" s="14" t="s">
        <v>3768</v>
      </c>
      <c r="C608" s="14" t="s">
        <v>1347</v>
      </c>
      <c r="D608" s="14" t="s">
        <v>1048</v>
      </c>
      <c r="E608" s="14" t="s">
        <v>3611</v>
      </c>
      <c r="F608" s="14" t="s">
        <v>3760</v>
      </c>
      <c r="G608" s="14" t="s">
        <v>4066</v>
      </c>
    </row>
    <row r="609" spans="1:7" ht="29" x14ac:dyDescent="0.35">
      <c r="A609" s="14" t="s">
        <v>1075</v>
      </c>
      <c r="B609" s="14" t="s">
        <v>3768</v>
      </c>
      <c r="C609" s="14" t="s">
        <v>1082</v>
      </c>
      <c r="D609" s="14" t="s">
        <v>1050</v>
      </c>
      <c r="E609" s="14" t="s">
        <v>3611</v>
      </c>
      <c r="F609" s="14" t="s">
        <v>3611</v>
      </c>
      <c r="G609" s="14" t="s">
        <v>4066</v>
      </c>
    </row>
    <row r="610" spans="1:7" ht="29" x14ac:dyDescent="0.35">
      <c r="A610" s="14" t="s">
        <v>1748</v>
      </c>
      <c r="B610" s="14" t="s">
        <v>3768</v>
      </c>
      <c r="C610" s="14" t="s">
        <v>1752</v>
      </c>
      <c r="D610" s="14" t="s">
        <v>1048</v>
      </c>
      <c r="E610" s="14" t="s">
        <v>3611</v>
      </c>
      <c r="F610" s="14" t="s">
        <v>3760</v>
      </c>
      <c r="G610" s="14" t="s">
        <v>4066</v>
      </c>
    </row>
    <row r="611" spans="1:7" ht="29" x14ac:dyDescent="0.35">
      <c r="A611" s="14" t="s">
        <v>1517</v>
      </c>
      <c r="B611" s="14" t="s">
        <v>3768</v>
      </c>
      <c r="C611" s="14" t="s">
        <v>1523</v>
      </c>
      <c r="D611" s="14" t="s">
        <v>1048</v>
      </c>
      <c r="E611" s="14" t="s">
        <v>3611</v>
      </c>
      <c r="F611" s="14" t="s">
        <v>3760</v>
      </c>
      <c r="G611" s="14" t="s">
        <v>4066</v>
      </c>
    </row>
    <row r="612" spans="1:7" ht="29" x14ac:dyDescent="0.35">
      <c r="A612" s="14" t="s">
        <v>1661</v>
      </c>
      <c r="B612" s="14" t="s">
        <v>3768</v>
      </c>
      <c r="C612" s="14" t="s">
        <v>1663</v>
      </c>
      <c r="D612" s="14" t="s">
        <v>1048</v>
      </c>
      <c r="E612" s="14" t="s">
        <v>3611</v>
      </c>
      <c r="F612" s="14" t="s">
        <v>3760</v>
      </c>
      <c r="G612" s="14" t="s">
        <v>4066</v>
      </c>
    </row>
    <row r="613" spans="1:7" ht="29" x14ac:dyDescent="0.35">
      <c r="A613" s="14" t="s">
        <v>1451</v>
      </c>
      <c r="B613" s="14" t="s">
        <v>3768</v>
      </c>
      <c r="C613" s="14" t="s">
        <v>1457</v>
      </c>
      <c r="D613" s="14" t="s">
        <v>1048</v>
      </c>
      <c r="E613" s="14" t="s">
        <v>3611</v>
      </c>
      <c r="F613" s="14" t="s">
        <v>3760</v>
      </c>
      <c r="G613" s="14" t="s">
        <v>4066</v>
      </c>
    </row>
    <row r="614" spans="1:7" ht="29" x14ac:dyDescent="0.35">
      <c r="A614" s="14" t="s">
        <v>1813</v>
      </c>
      <c r="B614" s="14" t="s">
        <v>3768</v>
      </c>
      <c r="C614" s="14" t="s">
        <v>1815</v>
      </c>
      <c r="D614" s="14" t="s">
        <v>1050</v>
      </c>
      <c r="E614" s="14" t="s">
        <v>3611</v>
      </c>
      <c r="F614" s="14" t="s">
        <v>3611</v>
      </c>
      <c r="G614" s="14" t="s">
        <v>4066</v>
      </c>
    </row>
    <row r="615" spans="1:7" ht="29" x14ac:dyDescent="0.35">
      <c r="A615" s="14" t="s">
        <v>1170</v>
      </c>
      <c r="B615" s="14" t="s">
        <v>3768</v>
      </c>
      <c r="C615" s="14" t="s">
        <v>1172</v>
      </c>
      <c r="D615" s="14" t="s">
        <v>1048</v>
      </c>
      <c r="E615" s="14" t="s">
        <v>3611</v>
      </c>
      <c r="F615" s="14" t="s">
        <v>3760</v>
      </c>
      <c r="G615" s="14" t="s">
        <v>4066</v>
      </c>
    </row>
    <row r="616" spans="1:7" ht="29" x14ac:dyDescent="0.35">
      <c r="A616" s="14" t="s">
        <v>1063</v>
      </c>
      <c r="B616" s="14" t="s">
        <v>3768</v>
      </c>
      <c r="C616" s="14" t="s">
        <v>1071</v>
      </c>
      <c r="D616" s="14" t="s">
        <v>1048</v>
      </c>
      <c r="E616" s="14" t="s">
        <v>3611</v>
      </c>
      <c r="F616" s="14" t="s">
        <v>3760</v>
      </c>
      <c r="G616" s="14" t="s">
        <v>4066</v>
      </c>
    </row>
    <row r="617" spans="1:7" ht="29" x14ac:dyDescent="0.35">
      <c r="A617" s="14" t="s">
        <v>1362</v>
      </c>
      <c r="B617" s="14" t="s">
        <v>3768</v>
      </c>
      <c r="C617" s="14" t="s">
        <v>1364</v>
      </c>
      <c r="D617" s="14" t="s">
        <v>1048</v>
      </c>
      <c r="E617" s="14" t="s">
        <v>3611</v>
      </c>
      <c r="F617" s="14" t="s">
        <v>3760</v>
      </c>
      <c r="G617" s="14" t="s">
        <v>4066</v>
      </c>
    </row>
    <row r="618" spans="1:7" ht="29" x14ac:dyDescent="0.35">
      <c r="A618" s="14" t="s">
        <v>1424</v>
      </c>
      <c r="B618" s="14" t="s">
        <v>3768</v>
      </c>
      <c r="C618" s="14" t="s">
        <v>1426</v>
      </c>
      <c r="D618" s="14" t="s">
        <v>1048</v>
      </c>
      <c r="E618" s="14" t="s">
        <v>3611</v>
      </c>
      <c r="F618" s="14" t="s">
        <v>3760</v>
      </c>
      <c r="G618" s="14" t="s">
        <v>4066</v>
      </c>
    </row>
    <row r="619" spans="1:7" ht="29" x14ac:dyDescent="0.35">
      <c r="A619" s="14" t="s">
        <v>1710</v>
      </c>
      <c r="B619" s="14" t="s">
        <v>3768</v>
      </c>
      <c r="C619" s="14" t="s">
        <v>1712</v>
      </c>
      <c r="D619" s="14" t="s">
        <v>1048</v>
      </c>
      <c r="E619" s="14" t="s">
        <v>3611</v>
      </c>
      <c r="F619" s="14" t="s">
        <v>3760</v>
      </c>
      <c r="G619" s="14" t="s">
        <v>4066</v>
      </c>
    </row>
    <row r="620" spans="1:7" ht="29" x14ac:dyDescent="0.35">
      <c r="A620" s="14" t="s">
        <v>1908</v>
      </c>
      <c r="B620" s="14" t="s">
        <v>3768</v>
      </c>
      <c r="C620" s="14" t="s">
        <v>1910</v>
      </c>
      <c r="D620" s="14" t="s">
        <v>1050</v>
      </c>
      <c r="E620" s="14" t="s">
        <v>3611</v>
      </c>
      <c r="F620" s="14" t="s">
        <v>3611</v>
      </c>
      <c r="G620" s="14" t="s">
        <v>4066</v>
      </c>
    </row>
    <row r="621" spans="1:7" ht="29" x14ac:dyDescent="0.35">
      <c r="A621" s="14" t="s">
        <v>1588</v>
      </c>
      <c r="B621" s="14" t="s">
        <v>3768</v>
      </c>
      <c r="C621" s="14" t="s">
        <v>1590</v>
      </c>
      <c r="D621" s="14" t="s">
        <v>1050</v>
      </c>
      <c r="E621" s="14" t="s">
        <v>3611</v>
      </c>
      <c r="F621" s="14" t="s">
        <v>3611</v>
      </c>
      <c r="G621" s="14" t="s">
        <v>4066</v>
      </c>
    </row>
    <row r="622" spans="1:7" ht="29" x14ac:dyDescent="0.35">
      <c r="A622" s="14" t="s">
        <v>1546</v>
      </c>
      <c r="B622" s="14" t="s">
        <v>3768</v>
      </c>
      <c r="C622" s="14" t="s">
        <v>1548</v>
      </c>
      <c r="D622" s="14" t="s">
        <v>1050</v>
      </c>
      <c r="E622" s="14" t="s">
        <v>3611</v>
      </c>
      <c r="F622" s="14" t="s">
        <v>3611</v>
      </c>
      <c r="G622" s="14" t="s">
        <v>4066</v>
      </c>
    </row>
    <row r="623" spans="1:7" ht="29" x14ac:dyDescent="0.35">
      <c r="A623" s="14" t="s">
        <v>1394</v>
      </c>
      <c r="B623" s="14" t="s">
        <v>3768</v>
      </c>
      <c r="C623" s="14" t="s">
        <v>1400</v>
      </c>
      <c r="D623" s="14" t="s">
        <v>1050</v>
      </c>
      <c r="E623" s="14" t="s">
        <v>3611</v>
      </c>
      <c r="F623" s="14" t="s">
        <v>3611</v>
      </c>
      <c r="G623" s="14" t="s">
        <v>4066</v>
      </c>
    </row>
    <row r="624" spans="1:7" ht="29" x14ac:dyDescent="0.35">
      <c r="A624" s="14" t="s">
        <v>1541</v>
      </c>
      <c r="B624" s="14" t="s">
        <v>3768</v>
      </c>
      <c r="C624" s="14" t="s">
        <v>1543</v>
      </c>
      <c r="D624" s="14" t="s">
        <v>1050</v>
      </c>
      <c r="E624" s="14" t="s">
        <v>3611</v>
      </c>
      <c r="F624" s="14" t="s">
        <v>3611</v>
      </c>
      <c r="G624" s="14" t="s">
        <v>4066</v>
      </c>
    </row>
    <row r="625" spans="1:7" ht="29" x14ac:dyDescent="0.35">
      <c r="A625" s="14" t="s">
        <v>1483</v>
      </c>
      <c r="B625" s="14" t="s">
        <v>3768</v>
      </c>
      <c r="C625" s="14" t="s">
        <v>1485</v>
      </c>
      <c r="D625" s="14" t="s">
        <v>1050</v>
      </c>
      <c r="E625" s="14" t="s">
        <v>3611</v>
      </c>
      <c r="F625" s="14" t="s">
        <v>3611</v>
      </c>
      <c r="G625" s="14" t="s">
        <v>4066</v>
      </c>
    </row>
    <row r="626" spans="1:7" ht="29" x14ac:dyDescent="0.35">
      <c r="A626" s="14" t="s">
        <v>1134</v>
      </c>
      <c r="B626" s="14" t="s">
        <v>3768</v>
      </c>
      <c r="C626" s="14" t="s">
        <v>1136</v>
      </c>
      <c r="D626" s="14" t="s">
        <v>1050</v>
      </c>
      <c r="E626" s="14" t="s">
        <v>3611</v>
      </c>
      <c r="F626" s="14" t="s">
        <v>3611</v>
      </c>
      <c r="G626" s="14" t="s">
        <v>4066</v>
      </c>
    </row>
    <row r="627" spans="1:7" ht="29" x14ac:dyDescent="0.35">
      <c r="A627" s="14" t="s">
        <v>1670</v>
      </c>
      <c r="B627" s="14" t="s">
        <v>3768</v>
      </c>
      <c r="C627" s="14" t="s">
        <v>1672</v>
      </c>
      <c r="D627" s="14" t="s">
        <v>1050</v>
      </c>
      <c r="E627" s="14" t="s">
        <v>3611</v>
      </c>
      <c r="F627" s="14" t="s">
        <v>3611</v>
      </c>
      <c r="G627" s="14" t="s">
        <v>4066</v>
      </c>
    </row>
    <row r="628" spans="1:7" ht="29" x14ac:dyDescent="0.35">
      <c r="A628" s="14" t="s">
        <v>1334</v>
      </c>
      <c r="B628" s="14" t="s">
        <v>3768</v>
      </c>
      <c r="C628" s="14" t="s">
        <v>1336</v>
      </c>
      <c r="D628" s="14" t="s">
        <v>1050</v>
      </c>
      <c r="E628" s="14" t="s">
        <v>3611</v>
      </c>
      <c r="F628" s="14" t="s">
        <v>3611</v>
      </c>
      <c r="G628" s="14" t="s">
        <v>4066</v>
      </c>
    </row>
    <row r="629" spans="1:7" ht="29" x14ac:dyDescent="0.35">
      <c r="A629" s="14" t="s">
        <v>1644</v>
      </c>
      <c r="B629" s="14" t="s">
        <v>3768</v>
      </c>
      <c r="C629" s="14" t="s">
        <v>1646</v>
      </c>
      <c r="D629" s="14" t="s">
        <v>1050</v>
      </c>
      <c r="E629" s="14" t="s">
        <v>3611</v>
      </c>
      <c r="F629" s="14" t="s">
        <v>3611</v>
      </c>
      <c r="G629" s="14" t="s">
        <v>4066</v>
      </c>
    </row>
    <row r="630" spans="1:7" ht="29" x14ac:dyDescent="0.35">
      <c r="A630" s="14" t="s">
        <v>1649</v>
      </c>
      <c r="B630" s="14" t="s">
        <v>3768</v>
      </c>
      <c r="C630" s="14" t="s">
        <v>1652</v>
      </c>
      <c r="D630" s="14" t="s">
        <v>1050</v>
      </c>
      <c r="E630" s="14" t="s">
        <v>3611</v>
      </c>
      <c r="F630" s="14" t="s">
        <v>3611</v>
      </c>
      <c r="G630" s="14" t="s">
        <v>4066</v>
      </c>
    </row>
    <row r="631" spans="1:7" ht="29" x14ac:dyDescent="0.35">
      <c r="A631" s="14" t="s">
        <v>1808</v>
      </c>
      <c r="B631" s="14" t="s">
        <v>3768</v>
      </c>
      <c r="C631" s="14" t="s">
        <v>1810</v>
      </c>
      <c r="D631" s="14" t="s">
        <v>1050</v>
      </c>
      <c r="E631" s="14" t="s">
        <v>3611</v>
      </c>
      <c r="F631" s="14" t="s">
        <v>3611</v>
      </c>
      <c r="G631" s="14" t="s">
        <v>4066</v>
      </c>
    </row>
    <row r="632" spans="1:7" ht="29" x14ac:dyDescent="0.35">
      <c r="A632" s="14" t="s">
        <v>1556</v>
      </c>
      <c r="B632" s="14" t="s">
        <v>3768</v>
      </c>
      <c r="C632" s="14" t="s">
        <v>1558</v>
      </c>
      <c r="D632" s="14" t="s">
        <v>1048</v>
      </c>
      <c r="E632" s="14" t="s">
        <v>3611</v>
      </c>
      <c r="F632" s="14" t="s">
        <v>3760</v>
      </c>
      <c r="G632" s="14" t="s">
        <v>4066</v>
      </c>
    </row>
    <row r="633" spans="1:7" ht="29" x14ac:dyDescent="0.35">
      <c r="A633" s="14" t="s">
        <v>1876</v>
      </c>
      <c r="B633" s="14" t="s">
        <v>3768</v>
      </c>
      <c r="C633" s="14" t="s">
        <v>1883</v>
      </c>
      <c r="D633" s="14" t="s">
        <v>1048</v>
      </c>
      <c r="E633" s="14" t="s">
        <v>3611</v>
      </c>
      <c r="F633" s="14" t="s">
        <v>3760</v>
      </c>
      <c r="G633" s="14" t="s">
        <v>4066</v>
      </c>
    </row>
    <row r="634" spans="1:7" ht="29" x14ac:dyDescent="0.35">
      <c r="A634" s="14" t="s">
        <v>1095</v>
      </c>
      <c r="B634" s="14" t="s">
        <v>3768</v>
      </c>
      <c r="C634" s="14" t="s">
        <v>1101</v>
      </c>
      <c r="D634" s="14" t="s">
        <v>1050</v>
      </c>
      <c r="E634" s="14" t="s">
        <v>3611</v>
      </c>
      <c r="F634" s="14" t="s">
        <v>3611</v>
      </c>
      <c r="G634" s="14" t="s">
        <v>4066</v>
      </c>
    </row>
    <row r="635" spans="1:7" ht="29" x14ac:dyDescent="0.35">
      <c r="A635" s="14" t="s">
        <v>1666</v>
      </c>
      <c r="B635" s="14" t="s">
        <v>3768</v>
      </c>
      <c r="C635" s="14" t="s">
        <v>1668</v>
      </c>
      <c r="D635" s="14" t="s">
        <v>1050</v>
      </c>
      <c r="E635" s="14" t="s">
        <v>3611</v>
      </c>
      <c r="F635" s="14" t="s">
        <v>3611</v>
      </c>
      <c r="G635" s="14" t="s">
        <v>4066</v>
      </c>
    </row>
    <row r="636" spans="1:7" ht="29" x14ac:dyDescent="0.35">
      <c r="A636" s="14" t="s">
        <v>1640</v>
      </c>
      <c r="B636" s="14" t="s">
        <v>3768</v>
      </c>
      <c r="C636" s="14" t="s">
        <v>1642</v>
      </c>
      <c r="D636" s="14" t="s">
        <v>1050</v>
      </c>
      <c r="E636" s="14" t="s">
        <v>3611</v>
      </c>
      <c r="F636" s="14" t="s">
        <v>3611</v>
      </c>
      <c r="G636" s="14" t="s">
        <v>4066</v>
      </c>
    </row>
    <row r="637" spans="1:7" x14ac:dyDescent="0.35">
      <c r="A637" s="14" t="s">
        <v>2509</v>
      </c>
      <c r="B637" s="14" t="s">
        <v>3768</v>
      </c>
      <c r="C637" s="14" t="s">
        <v>1722</v>
      </c>
      <c r="D637" s="14" t="s">
        <v>1025</v>
      </c>
      <c r="E637" s="14" t="s">
        <v>3765</v>
      </c>
      <c r="F637" s="14" t="s">
        <v>3611</v>
      </c>
      <c r="G637" s="14" t="s">
        <v>4066</v>
      </c>
    </row>
    <row r="638" spans="1:7" x14ac:dyDescent="0.35">
      <c r="A638" s="14" t="s">
        <v>2531</v>
      </c>
      <c r="B638" s="14" t="s">
        <v>3768</v>
      </c>
      <c r="C638" s="14" t="s">
        <v>1243</v>
      </c>
      <c r="D638" s="14" t="s">
        <v>1048</v>
      </c>
      <c r="E638" s="14" t="s">
        <v>3611</v>
      </c>
      <c r="F638" s="14" t="s">
        <v>3760</v>
      </c>
      <c r="G638" s="14" t="s">
        <v>4066</v>
      </c>
    </row>
    <row r="639" spans="1:7" ht="43.5" x14ac:dyDescent="0.35">
      <c r="A639" s="14" t="s">
        <v>2681</v>
      </c>
      <c r="B639" s="14" t="s">
        <v>3768</v>
      </c>
      <c r="C639" s="14" t="s">
        <v>1373</v>
      </c>
      <c r="D639" s="14" t="s">
        <v>1023</v>
      </c>
      <c r="E639" s="14" t="s">
        <v>3765</v>
      </c>
      <c r="F639" s="14" t="s">
        <v>2832</v>
      </c>
      <c r="G639" s="14" t="s">
        <v>4066</v>
      </c>
    </row>
    <row r="640" spans="1:7" ht="43.5" x14ac:dyDescent="0.35">
      <c r="A640" s="14" t="s">
        <v>2635</v>
      </c>
      <c r="B640" s="14" t="s">
        <v>3768</v>
      </c>
      <c r="C640" s="14" t="s">
        <v>1373</v>
      </c>
      <c r="D640" s="14" t="s">
        <v>1023</v>
      </c>
      <c r="E640" s="14" t="s">
        <v>3765</v>
      </c>
      <c r="F640" s="14" t="s">
        <v>2832</v>
      </c>
      <c r="G640" s="14" t="s">
        <v>4066</v>
      </c>
    </row>
    <row r="641" spans="1:7" ht="43.5" x14ac:dyDescent="0.35">
      <c r="A641" s="14" t="s">
        <v>2620</v>
      </c>
      <c r="B641" s="14" t="s">
        <v>3768</v>
      </c>
      <c r="C641" s="14" t="s">
        <v>1373</v>
      </c>
      <c r="D641" s="14" t="s">
        <v>1023</v>
      </c>
      <c r="E641" s="14" t="s">
        <v>3765</v>
      </c>
      <c r="F641" s="14" t="s">
        <v>2832</v>
      </c>
      <c r="G641" s="14" t="s">
        <v>4066</v>
      </c>
    </row>
    <row r="642" spans="1:7" ht="43.5" x14ac:dyDescent="0.35">
      <c r="A642" s="14" t="s">
        <v>2634</v>
      </c>
      <c r="B642" s="14" t="s">
        <v>3768</v>
      </c>
      <c r="C642" s="14" t="s">
        <v>1373</v>
      </c>
      <c r="D642" s="14" t="s">
        <v>1023</v>
      </c>
      <c r="E642" s="14" t="s">
        <v>3765</v>
      </c>
      <c r="F642" s="14" t="s">
        <v>2832</v>
      </c>
      <c r="G642" s="14" t="s">
        <v>4066</v>
      </c>
    </row>
    <row r="643" spans="1:7" ht="43.5" x14ac:dyDescent="0.35">
      <c r="A643" s="14" t="s">
        <v>2680</v>
      </c>
      <c r="B643" s="14" t="s">
        <v>3768</v>
      </c>
      <c r="C643" s="14" t="s">
        <v>1373</v>
      </c>
      <c r="D643" s="14" t="s">
        <v>1023</v>
      </c>
      <c r="E643" s="14" t="s">
        <v>3765</v>
      </c>
      <c r="F643" s="14" t="s">
        <v>2832</v>
      </c>
      <c r="G643" s="14" t="s">
        <v>4066</v>
      </c>
    </row>
    <row r="644" spans="1:7" ht="43.5" x14ac:dyDescent="0.35">
      <c r="A644" s="14" t="s">
        <v>2675</v>
      </c>
      <c r="B644" s="14" t="s">
        <v>3768</v>
      </c>
      <c r="C644" s="14" t="s">
        <v>1373</v>
      </c>
      <c r="D644" s="14" t="s">
        <v>1023</v>
      </c>
      <c r="E644" s="14" t="s">
        <v>3765</v>
      </c>
      <c r="F644" s="14" t="s">
        <v>2832</v>
      </c>
      <c r="G644" s="14" t="s">
        <v>4066</v>
      </c>
    </row>
    <row r="645" spans="1:7" x14ac:dyDescent="0.35">
      <c r="A645" s="14" t="s">
        <v>2669</v>
      </c>
      <c r="B645" s="14" t="s">
        <v>3768</v>
      </c>
      <c r="C645" s="14" t="s">
        <v>2672</v>
      </c>
      <c r="D645" s="14" t="s">
        <v>1023</v>
      </c>
      <c r="E645" s="14" t="s">
        <v>2911</v>
      </c>
      <c r="F645" s="14" t="s">
        <v>3760</v>
      </c>
      <c r="G645" s="14" t="s">
        <v>4066</v>
      </c>
    </row>
    <row r="646" spans="1:7" ht="43.5" x14ac:dyDescent="0.35">
      <c r="A646" s="14" t="s">
        <v>2649</v>
      </c>
      <c r="B646" s="14" t="s">
        <v>3768</v>
      </c>
      <c r="C646" s="14" t="s">
        <v>1060</v>
      </c>
      <c r="D646" s="14" t="s">
        <v>1023</v>
      </c>
      <c r="E646" s="14" t="s">
        <v>3589</v>
      </c>
      <c r="F646" s="14" t="s">
        <v>3765</v>
      </c>
      <c r="G646" s="14" t="s">
        <v>4066</v>
      </c>
    </row>
    <row r="647" spans="1:7" ht="43.5" x14ac:dyDescent="0.35">
      <c r="A647" s="14" t="s">
        <v>2645</v>
      </c>
      <c r="B647" s="14" t="s">
        <v>3768</v>
      </c>
      <c r="C647" s="14" t="s">
        <v>1060</v>
      </c>
      <c r="D647" s="14" t="s">
        <v>1023</v>
      </c>
      <c r="E647" s="14" t="s">
        <v>3589</v>
      </c>
      <c r="F647" s="14" t="s">
        <v>3765</v>
      </c>
      <c r="G647" s="14" t="s">
        <v>4066</v>
      </c>
    </row>
    <row r="648" spans="1:7" ht="43.5" x14ac:dyDescent="0.35">
      <c r="A648" s="14" t="s">
        <v>2600</v>
      </c>
      <c r="B648" s="14" t="s">
        <v>3768</v>
      </c>
      <c r="C648" s="14" t="s">
        <v>1060</v>
      </c>
      <c r="D648" s="14" t="s">
        <v>1023</v>
      </c>
      <c r="E648" s="14" t="s">
        <v>3589</v>
      </c>
      <c r="F648" s="14" t="s">
        <v>3765</v>
      </c>
      <c r="G648" s="14" t="s">
        <v>4066</v>
      </c>
    </row>
    <row r="649" spans="1:7" ht="43.5" x14ac:dyDescent="0.35">
      <c r="A649" s="14" t="s">
        <v>2579</v>
      </c>
      <c r="B649" s="14" t="s">
        <v>3768</v>
      </c>
      <c r="C649" s="14" t="s">
        <v>1060</v>
      </c>
      <c r="D649" s="14" t="s">
        <v>1023</v>
      </c>
      <c r="E649" s="14" t="s">
        <v>3589</v>
      </c>
      <c r="F649" s="14" t="s">
        <v>3765</v>
      </c>
      <c r="G649" s="14" t="s">
        <v>4066</v>
      </c>
    </row>
    <row r="650" spans="1:7" ht="29" x14ac:dyDescent="0.35">
      <c r="A650" s="14" t="s">
        <v>2563</v>
      </c>
      <c r="B650" s="14" t="s">
        <v>3768</v>
      </c>
      <c r="C650" s="14" t="s">
        <v>1187</v>
      </c>
      <c r="D650" s="14" t="s">
        <v>1023</v>
      </c>
      <c r="E650" s="14" t="s">
        <v>2832</v>
      </c>
      <c r="F650" s="14" t="s">
        <v>2911</v>
      </c>
      <c r="G650" s="14" t="s">
        <v>4066</v>
      </c>
    </row>
    <row r="651" spans="1:7" ht="29" x14ac:dyDescent="0.35">
      <c r="A651" s="14" t="s">
        <v>2454</v>
      </c>
      <c r="B651" s="14" t="s">
        <v>3768</v>
      </c>
      <c r="C651" s="14" t="s">
        <v>1187</v>
      </c>
      <c r="D651" s="14" t="s">
        <v>1023</v>
      </c>
      <c r="E651" s="14" t="s">
        <v>2832</v>
      </c>
      <c r="F651" s="14" t="s">
        <v>2911</v>
      </c>
      <c r="G651" s="14" t="s">
        <v>4066</v>
      </c>
    </row>
    <row r="652" spans="1:7" ht="29" x14ac:dyDescent="0.35">
      <c r="A652" s="14" t="s">
        <v>2682</v>
      </c>
      <c r="B652" s="14" t="s">
        <v>3768</v>
      </c>
      <c r="C652" s="14" t="s">
        <v>1187</v>
      </c>
      <c r="D652" s="14" t="s">
        <v>1023</v>
      </c>
      <c r="E652" s="14" t="s">
        <v>2832</v>
      </c>
      <c r="F652" s="14" t="s">
        <v>2911</v>
      </c>
      <c r="G652" s="14" t="s">
        <v>4066</v>
      </c>
    </row>
    <row r="653" spans="1:7" ht="29" x14ac:dyDescent="0.35">
      <c r="A653" s="14" t="s">
        <v>2584</v>
      </c>
      <c r="B653" s="14" t="s">
        <v>3768</v>
      </c>
      <c r="C653" s="14" t="s">
        <v>1187</v>
      </c>
      <c r="D653" s="14" t="s">
        <v>1023</v>
      </c>
      <c r="E653" s="14" t="s">
        <v>2832</v>
      </c>
      <c r="F653" s="14" t="s">
        <v>2911</v>
      </c>
      <c r="G653" s="14" t="s">
        <v>4066</v>
      </c>
    </row>
    <row r="654" spans="1:7" x14ac:dyDescent="0.35">
      <c r="A654" s="14" t="s">
        <v>2436</v>
      </c>
      <c r="B654" s="14" t="s">
        <v>3768</v>
      </c>
      <c r="C654" s="14" t="s">
        <v>2165</v>
      </c>
      <c r="D654" s="14" t="s">
        <v>1025</v>
      </c>
      <c r="E654" s="14" t="s">
        <v>2832</v>
      </c>
      <c r="F654" s="14" t="s">
        <v>3611</v>
      </c>
      <c r="G654" s="14" t="s">
        <v>4066</v>
      </c>
    </row>
    <row r="655" spans="1:7" x14ac:dyDescent="0.35">
      <c r="A655" s="14" t="s">
        <v>2447</v>
      </c>
      <c r="B655" s="14" t="s">
        <v>3768</v>
      </c>
      <c r="C655" s="14" t="s">
        <v>1779</v>
      </c>
      <c r="D655" s="14" t="s">
        <v>1025</v>
      </c>
      <c r="E655" s="14" t="s">
        <v>3760</v>
      </c>
      <c r="F655" s="14" t="s">
        <v>3611</v>
      </c>
      <c r="G655" s="14" t="s">
        <v>4066</v>
      </c>
    </row>
    <row r="656" spans="1:7" ht="43.5" x14ac:dyDescent="0.35">
      <c r="A656" s="14" t="s">
        <v>2693</v>
      </c>
      <c r="B656" s="14" t="s">
        <v>3768</v>
      </c>
      <c r="C656" s="14" t="s">
        <v>1894</v>
      </c>
      <c r="D656" s="14" t="s">
        <v>1048</v>
      </c>
      <c r="E656" s="14" t="s">
        <v>3611</v>
      </c>
      <c r="F656" s="14" t="s">
        <v>2832</v>
      </c>
      <c r="G656" s="14" t="s">
        <v>4066</v>
      </c>
    </row>
    <row r="657" spans="1:7" ht="29" x14ac:dyDescent="0.35">
      <c r="A657" s="14" t="s">
        <v>2712</v>
      </c>
      <c r="B657" s="14" t="s">
        <v>3768</v>
      </c>
      <c r="C657" s="14" t="s">
        <v>1689</v>
      </c>
      <c r="D657" s="14" t="s">
        <v>1048</v>
      </c>
      <c r="E657" s="14" t="s">
        <v>3611</v>
      </c>
      <c r="F657" s="14" t="s">
        <v>2911</v>
      </c>
      <c r="G657" s="14" t="s">
        <v>4066</v>
      </c>
    </row>
    <row r="658" spans="1:7" ht="43.5" x14ac:dyDescent="0.35">
      <c r="A658" s="14" t="s">
        <v>2587</v>
      </c>
      <c r="B658" s="14" t="s">
        <v>3768</v>
      </c>
      <c r="C658" s="14" t="s">
        <v>1481</v>
      </c>
      <c r="D658" s="14" t="s">
        <v>1023</v>
      </c>
      <c r="E658" s="14" t="s">
        <v>2911</v>
      </c>
      <c r="F658" s="14" t="s">
        <v>2832</v>
      </c>
      <c r="G658" s="14" t="s">
        <v>4066</v>
      </c>
    </row>
    <row r="659" spans="1:7" ht="43.5" x14ac:dyDescent="0.35">
      <c r="A659" s="14" t="s">
        <v>2519</v>
      </c>
      <c r="B659" s="14" t="s">
        <v>3768</v>
      </c>
      <c r="C659" s="14" t="s">
        <v>1481</v>
      </c>
      <c r="D659" s="14" t="s">
        <v>1023</v>
      </c>
      <c r="E659" s="14" t="s">
        <v>2911</v>
      </c>
      <c r="F659" s="14" t="s">
        <v>2832</v>
      </c>
      <c r="G659" s="14" t="s">
        <v>4066</v>
      </c>
    </row>
    <row r="660" spans="1:7" ht="43.5" x14ac:dyDescent="0.35">
      <c r="A660" s="14" t="s">
        <v>2737</v>
      </c>
      <c r="B660" s="14" t="s">
        <v>3768</v>
      </c>
      <c r="C660" s="14" t="s">
        <v>1481</v>
      </c>
      <c r="D660" s="14" t="s">
        <v>1023</v>
      </c>
      <c r="E660" s="14" t="s">
        <v>2911</v>
      </c>
      <c r="F660" s="14" t="s">
        <v>2832</v>
      </c>
      <c r="G660" s="14" t="s">
        <v>4066</v>
      </c>
    </row>
    <row r="661" spans="1:7" x14ac:dyDescent="0.35">
      <c r="A661" s="14" t="s">
        <v>2621</v>
      </c>
      <c r="B661" s="14" t="s">
        <v>3768</v>
      </c>
      <c r="C661" s="14" t="s">
        <v>1260</v>
      </c>
      <c r="D661" s="14" t="s">
        <v>1023</v>
      </c>
      <c r="E661" s="14" t="s">
        <v>3589</v>
      </c>
      <c r="F661" s="14" t="s">
        <v>3760</v>
      </c>
      <c r="G661" s="14" t="s">
        <v>4066</v>
      </c>
    </row>
    <row r="662" spans="1:7" ht="43.5" x14ac:dyDescent="0.35">
      <c r="A662" s="14" t="s">
        <v>2523</v>
      </c>
      <c r="B662" s="14" t="s">
        <v>3768</v>
      </c>
      <c r="C662" s="14" t="s">
        <v>1785</v>
      </c>
      <c r="D662" s="14" t="s">
        <v>1023</v>
      </c>
      <c r="E662" s="14" t="s">
        <v>3760</v>
      </c>
      <c r="F662" s="14" t="s">
        <v>3765</v>
      </c>
      <c r="G662" s="14" t="s">
        <v>4066</v>
      </c>
    </row>
    <row r="663" spans="1:7" ht="43.5" x14ac:dyDescent="0.35">
      <c r="A663" s="14" t="s">
        <v>2604</v>
      </c>
      <c r="B663" s="14" t="s">
        <v>3768</v>
      </c>
      <c r="C663" s="14" t="s">
        <v>1785</v>
      </c>
      <c r="D663" s="14" t="s">
        <v>1023</v>
      </c>
      <c r="E663" s="14" t="s">
        <v>3760</v>
      </c>
      <c r="F663" s="14" t="s">
        <v>3765</v>
      </c>
      <c r="G663" s="14" t="s">
        <v>4066</v>
      </c>
    </row>
    <row r="664" spans="1:7" ht="29" x14ac:dyDescent="0.35">
      <c r="A664" s="14" t="s">
        <v>2627</v>
      </c>
      <c r="B664" s="14" t="s">
        <v>3768</v>
      </c>
      <c r="C664" s="14" t="s">
        <v>1352</v>
      </c>
      <c r="D664" s="14" t="s">
        <v>1023</v>
      </c>
      <c r="E664" s="14" t="s">
        <v>2911</v>
      </c>
      <c r="F664" s="14" t="s">
        <v>3589</v>
      </c>
      <c r="G664" s="14" t="s">
        <v>4066</v>
      </c>
    </row>
    <row r="665" spans="1:7" ht="29" x14ac:dyDescent="0.35">
      <c r="A665" s="14" t="s">
        <v>2456</v>
      </c>
      <c r="B665" s="14" t="s">
        <v>3768</v>
      </c>
      <c r="C665" s="14" t="s">
        <v>1352</v>
      </c>
      <c r="D665" s="14" t="s">
        <v>1023</v>
      </c>
      <c r="E665" s="14" t="s">
        <v>2911</v>
      </c>
      <c r="F665" s="14" t="s">
        <v>3589</v>
      </c>
      <c r="G665" s="14" t="s">
        <v>4066</v>
      </c>
    </row>
    <row r="666" spans="1:7" ht="29" x14ac:dyDescent="0.35">
      <c r="A666" s="14" t="s">
        <v>2483</v>
      </c>
      <c r="B666" s="14" t="s">
        <v>3768</v>
      </c>
      <c r="C666" s="14" t="s">
        <v>1352</v>
      </c>
      <c r="D666" s="14" t="s">
        <v>1023</v>
      </c>
      <c r="E666" s="14" t="s">
        <v>2911</v>
      </c>
      <c r="F666" s="14" t="s">
        <v>3589</v>
      </c>
      <c r="G666" s="14" t="s">
        <v>4066</v>
      </c>
    </row>
    <row r="667" spans="1:7" x14ac:dyDescent="0.35">
      <c r="A667" s="14" t="s">
        <v>2536</v>
      </c>
      <c r="B667" s="14" t="s">
        <v>3768</v>
      </c>
      <c r="C667" s="14" t="s">
        <v>1463</v>
      </c>
      <c r="D667" s="14" t="s">
        <v>1048</v>
      </c>
      <c r="E667" s="14" t="s">
        <v>3611</v>
      </c>
      <c r="F667" s="14" t="s">
        <v>3760</v>
      </c>
      <c r="G667" s="14" t="s">
        <v>4066</v>
      </c>
    </row>
    <row r="668" spans="1:7" x14ac:dyDescent="0.35">
      <c r="A668" s="14" t="s">
        <v>2515</v>
      </c>
      <c r="B668" s="14" t="s">
        <v>3768</v>
      </c>
      <c r="C668" s="14" t="s">
        <v>1221</v>
      </c>
      <c r="D668" s="14" t="s">
        <v>1025</v>
      </c>
      <c r="E668" s="14" t="s">
        <v>2911</v>
      </c>
      <c r="F668" s="14" t="s">
        <v>3611</v>
      </c>
      <c r="G668" s="14" t="s">
        <v>4066</v>
      </c>
    </row>
    <row r="669" spans="1:7" ht="29" x14ac:dyDescent="0.35">
      <c r="A669" s="14" t="s">
        <v>2619</v>
      </c>
      <c r="B669" s="14" t="s">
        <v>3768</v>
      </c>
      <c r="C669" s="14" t="s">
        <v>1431</v>
      </c>
      <c r="D669" s="14" t="s">
        <v>1048</v>
      </c>
      <c r="E669" s="14" t="s">
        <v>3611</v>
      </c>
      <c r="F669" s="14" t="s">
        <v>2911</v>
      </c>
      <c r="G669" s="14" t="s">
        <v>4066</v>
      </c>
    </row>
    <row r="670" spans="1:7" ht="29" x14ac:dyDescent="0.35">
      <c r="A670" s="14" t="s">
        <v>2396</v>
      </c>
      <c r="B670" s="14" t="s">
        <v>3768</v>
      </c>
      <c r="C670" s="14" t="s">
        <v>1564</v>
      </c>
      <c r="D670" s="14" t="s">
        <v>1023</v>
      </c>
      <c r="E670" s="14" t="s">
        <v>3760</v>
      </c>
      <c r="F670" s="14" t="s">
        <v>3589</v>
      </c>
      <c r="G670" s="14" t="s">
        <v>4066</v>
      </c>
    </row>
    <row r="671" spans="1:7" ht="29" x14ac:dyDescent="0.35">
      <c r="A671" s="14" t="s">
        <v>2403</v>
      </c>
      <c r="B671" s="14" t="s">
        <v>3768</v>
      </c>
      <c r="C671" s="14" t="s">
        <v>1564</v>
      </c>
      <c r="D671" s="14" t="s">
        <v>1023</v>
      </c>
      <c r="E671" s="14" t="s">
        <v>3760</v>
      </c>
      <c r="F671" s="14" t="s">
        <v>3589</v>
      </c>
      <c r="G671" s="14" t="s">
        <v>4066</v>
      </c>
    </row>
    <row r="672" spans="1:7" ht="58" x14ac:dyDescent="0.35">
      <c r="A672" s="14" t="s">
        <v>2461</v>
      </c>
      <c r="B672" s="14" t="s">
        <v>3768</v>
      </c>
      <c r="C672" s="14" t="s">
        <v>1852</v>
      </c>
      <c r="D672" s="14" t="s">
        <v>1048</v>
      </c>
      <c r="E672" s="14" t="s">
        <v>3611</v>
      </c>
      <c r="F672" s="14" t="s">
        <v>2955</v>
      </c>
      <c r="G672" s="14" t="s">
        <v>4066</v>
      </c>
    </row>
    <row r="673" spans="1:7" x14ac:dyDescent="0.35">
      <c r="A673" s="14" t="s">
        <v>2478</v>
      </c>
      <c r="B673" s="14" t="s">
        <v>3768</v>
      </c>
      <c r="C673" s="14" t="s">
        <v>1581</v>
      </c>
      <c r="D673" s="14" t="s">
        <v>1048</v>
      </c>
      <c r="E673" s="14" t="s">
        <v>3611</v>
      </c>
      <c r="F673" s="14" t="s">
        <v>3760</v>
      </c>
      <c r="G673" s="14" t="s">
        <v>4066</v>
      </c>
    </row>
    <row r="674" spans="1:7" ht="58" x14ac:dyDescent="0.35">
      <c r="A674" s="14" t="s">
        <v>2721</v>
      </c>
      <c r="B674" s="14" t="s">
        <v>3768</v>
      </c>
      <c r="C674" s="14" t="s">
        <v>1209</v>
      </c>
      <c r="D674" s="14" t="s">
        <v>1048</v>
      </c>
      <c r="E674" s="14" t="s">
        <v>3611</v>
      </c>
      <c r="F674" s="14" t="s">
        <v>2955</v>
      </c>
      <c r="G674" s="14" t="s">
        <v>4066</v>
      </c>
    </row>
    <row r="675" spans="1:7" ht="43.5" x14ac:dyDescent="0.35">
      <c r="A675" s="14" t="s">
        <v>2433</v>
      </c>
      <c r="B675" s="14" t="s">
        <v>3768</v>
      </c>
      <c r="C675" s="14" t="s">
        <v>1916</v>
      </c>
      <c r="D675" s="14" t="s">
        <v>1023</v>
      </c>
      <c r="E675" s="14" t="s">
        <v>3760</v>
      </c>
      <c r="F675" s="14" t="s">
        <v>3589</v>
      </c>
      <c r="G675" s="14" t="s">
        <v>4066</v>
      </c>
    </row>
    <row r="676" spans="1:7" ht="29" x14ac:dyDescent="0.35">
      <c r="A676" s="14" t="s">
        <v>2427</v>
      </c>
      <c r="B676" s="14" t="s">
        <v>3768</v>
      </c>
      <c r="C676" s="14" t="s">
        <v>1306</v>
      </c>
      <c r="D676" s="14" t="s">
        <v>1023</v>
      </c>
      <c r="E676" s="14" t="s">
        <v>3760</v>
      </c>
      <c r="F676" s="14" t="s">
        <v>3589</v>
      </c>
      <c r="G676" s="14" t="s">
        <v>4066</v>
      </c>
    </row>
    <row r="677" spans="1:7" x14ac:dyDescent="0.35">
      <c r="A677" s="14" t="s">
        <v>2720</v>
      </c>
      <c r="B677" s="14" t="s">
        <v>3768</v>
      </c>
      <c r="C677" s="14" t="s">
        <v>1838</v>
      </c>
      <c r="D677" s="14" t="s">
        <v>1023</v>
      </c>
      <c r="E677" s="14" t="s">
        <v>2911</v>
      </c>
      <c r="F677" s="14" t="s">
        <v>3760</v>
      </c>
      <c r="G677" s="14" t="s">
        <v>4066</v>
      </c>
    </row>
    <row r="678" spans="1:7" x14ac:dyDescent="0.35">
      <c r="A678" s="14" t="s">
        <v>2699</v>
      </c>
      <c r="B678" s="14" t="s">
        <v>3768</v>
      </c>
      <c r="C678" s="14" t="s">
        <v>1838</v>
      </c>
      <c r="D678" s="14" t="s">
        <v>1023</v>
      </c>
      <c r="E678" s="14" t="s">
        <v>2911</v>
      </c>
      <c r="F678" s="14" t="s">
        <v>3760</v>
      </c>
      <c r="G678" s="14" t="s">
        <v>4066</v>
      </c>
    </row>
    <row r="679" spans="1:7" x14ac:dyDescent="0.35">
      <c r="A679" s="14" t="s">
        <v>2701</v>
      </c>
      <c r="B679" s="14" t="s">
        <v>3768</v>
      </c>
      <c r="C679" s="14" t="s">
        <v>1838</v>
      </c>
      <c r="D679" s="14" t="s">
        <v>1023</v>
      </c>
      <c r="E679" s="14" t="s">
        <v>2911</v>
      </c>
      <c r="F679" s="14" t="s">
        <v>3760</v>
      </c>
      <c r="G679" s="14" t="s">
        <v>4066</v>
      </c>
    </row>
    <row r="680" spans="1:7" x14ac:dyDescent="0.35">
      <c r="A680" s="14" t="s">
        <v>2434</v>
      </c>
      <c r="B680" s="14" t="s">
        <v>3768</v>
      </c>
      <c r="C680" s="14" t="s">
        <v>1513</v>
      </c>
      <c r="D680" s="14" t="s">
        <v>1048</v>
      </c>
      <c r="E680" s="14" t="s">
        <v>3611</v>
      </c>
      <c r="F680" s="14" t="s">
        <v>3760</v>
      </c>
      <c r="G680" s="14" t="s">
        <v>4066</v>
      </c>
    </row>
    <row r="681" spans="1:7" ht="29" x14ac:dyDescent="0.35">
      <c r="A681" s="14" t="s">
        <v>2590</v>
      </c>
      <c r="B681" s="14" t="s">
        <v>3768</v>
      </c>
      <c r="C681" s="14" t="s">
        <v>1022</v>
      </c>
      <c r="D681" s="14" t="s">
        <v>1023</v>
      </c>
      <c r="E681" s="14" t="s">
        <v>3760</v>
      </c>
      <c r="F681" s="14" t="s">
        <v>2911</v>
      </c>
      <c r="G681" s="14" t="s">
        <v>4066</v>
      </c>
    </row>
    <row r="682" spans="1:7" ht="29" x14ac:dyDescent="0.35">
      <c r="A682" s="14" t="s">
        <v>2729</v>
      </c>
      <c r="B682" s="14" t="s">
        <v>3768</v>
      </c>
      <c r="C682" s="14" t="s">
        <v>1022</v>
      </c>
      <c r="D682" s="14" t="s">
        <v>1023</v>
      </c>
      <c r="E682" s="14" t="s">
        <v>3760</v>
      </c>
      <c r="F682" s="14" t="s">
        <v>2911</v>
      </c>
      <c r="G682" s="14" t="s">
        <v>4066</v>
      </c>
    </row>
    <row r="683" spans="1:7" ht="43.5" x14ac:dyDescent="0.35">
      <c r="A683" s="14" t="s">
        <v>2667</v>
      </c>
      <c r="B683" s="14" t="s">
        <v>3768</v>
      </c>
      <c r="C683" s="14" t="s">
        <v>1740</v>
      </c>
      <c r="D683" s="14" t="s">
        <v>1048</v>
      </c>
      <c r="E683" s="14" t="s">
        <v>3611</v>
      </c>
      <c r="F683" s="14" t="s">
        <v>3765</v>
      </c>
      <c r="G683" s="14" t="s">
        <v>4066</v>
      </c>
    </row>
    <row r="684" spans="1:7" ht="29" x14ac:dyDescent="0.35">
      <c r="A684" s="14" t="s">
        <v>2373</v>
      </c>
      <c r="B684" s="14" t="s">
        <v>3768</v>
      </c>
      <c r="C684" s="14" t="s">
        <v>1491</v>
      </c>
      <c r="D684" s="14" t="s">
        <v>1023</v>
      </c>
      <c r="E684" s="14" t="s">
        <v>3760</v>
      </c>
      <c r="F684" s="14" t="s">
        <v>2911</v>
      </c>
      <c r="G684" s="14" t="s">
        <v>4066</v>
      </c>
    </row>
    <row r="685" spans="1:7" ht="29" x14ac:dyDescent="0.35">
      <c r="A685" s="14" t="s">
        <v>2696</v>
      </c>
      <c r="B685" s="14" t="s">
        <v>3768</v>
      </c>
      <c r="C685" s="14" t="s">
        <v>1491</v>
      </c>
      <c r="D685" s="14" t="s">
        <v>1023</v>
      </c>
      <c r="E685" s="14" t="s">
        <v>3760</v>
      </c>
      <c r="F685" s="14" t="s">
        <v>2911</v>
      </c>
      <c r="G685" s="14" t="s">
        <v>4066</v>
      </c>
    </row>
    <row r="686" spans="1:7" ht="29" x14ac:dyDescent="0.35">
      <c r="A686" s="14" t="s">
        <v>2411</v>
      </c>
      <c r="B686" s="14" t="s">
        <v>3768</v>
      </c>
      <c r="C686" s="14" t="s">
        <v>1504</v>
      </c>
      <c r="D686" s="14" t="s">
        <v>1048</v>
      </c>
      <c r="E686" s="14" t="s">
        <v>3611</v>
      </c>
      <c r="F686" s="14" t="s">
        <v>3589</v>
      </c>
      <c r="G686" s="14" t="s">
        <v>4066</v>
      </c>
    </row>
    <row r="687" spans="1:7" ht="29" x14ac:dyDescent="0.35">
      <c r="A687" s="14" t="s">
        <v>2656</v>
      </c>
      <c r="B687" s="14" t="s">
        <v>3768</v>
      </c>
      <c r="C687" s="14" t="s">
        <v>1414</v>
      </c>
      <c r="D687" s="14" t="s">
        <v>1048</v>
      </c>
      <c r="E687" s="14" t="s">
        <v>3611</v>
      </c>
      <c r="F687" s="14" t="s">
        <v>2911</v>
      </c>
      <c r="G687" s="14" t="s">
        <v>4066</v>
      </c>
    </row>
    <row r="688" spans="1:7" ht="43.5" x14ac:dyDescent="0.35">
      <c r="A688" s="14" t="s">
        <v>2678</v>
      </c>
      <c r="B688" s="14" t="s">
        <v>3768</v>
      </c>
      <c r="C688" s="14" t="s">
        <v>1684</v>
      </c>
      <c r="D688" s="14" t="s">
        <v>1048</v>
      </c>
      <c r="E688" s="14" t="s">
        <v>3611</v>
      </c>
      <c r="F688" s="14" t="s">
        <v>2832</v>
      </c>
      <c r="G688" s="14" t="s">
        <v>4066</v>
      </c>
    </row>
    <row r="689" spans="1:7" x14ac:dyDescent="0.35">
      <c r="A689" s="14" t="s">
        <v>2641</v>
      </c>
      <c r="B689" s="14" t="s">
        <v>3768</v>
      </c>
      <c r="C689" s="14" t="s">
        <v>1596</v>
      </c>
      <c r="D689" s="14" t="s">
        <v>1023</v>
      </c>
      <c r="E689" s="14" t="s">
        <v>3760</v>
      </c>
      <c r="F689" s="14" t="s">
        <v>3760</v>
      </c>
      <c r="G689" s="14" t="s">
        <v>4066</v>
      </c>
    </row>
    <row r="690" spans="1:7" x14ac:dyDescent="0.35">
      <c r="A690" s="14" t="s">
        <v>2618</v>
      </c>
      <c r="B690" s="14" t="s">
        <v>3768</v>
      </c>
      <c r="C690" s="14" t="s">
        <v>1596</v>
      </c>
      <c r="D690" s="14" t="s">
        <v>1023</v>
      </c>
      <c r="E690" s="14" t="s">
        <v>3760</v>
      </c>
      <c r="F690" s="14" t="s">
        <v>3760</v>
      </c>
      <c r="G690" s="14" t="s">
        <v>4066</v>
      </c>
    </row>
    <row r="691" spans="1:7" ht="29" x14ac:dyDescent="0.35">
      <c r="A691" s="14" t="s">
        <v>2505</v>
      </c>
      <c r="B691" s="14" t="s">
        <v>3768</v>
      </c>
      <c r="C691" s="14" t="s">
        <v>1275</v>
      </c>
      <c r="D691" s="14" t="s">
        <v>1023</v>
      </c>
      <c r="E691" s="14" t="s">
        <v>3760</v>
      </c>
      <c r="F691" s="14" t="s">
        <v>2911</v>
      </c>
      <c r="G691" s="14" t="s">
        <v>4066</v>
      </c>
    </row>
    <row r="692" spans="1:7" ht="29" x14ac:dyDescent="0.35">
      <c r="A692" s="14" t="s">
        <v>2654</v>
      </c>
      <c r="B692" s="14" t="s">
        <v>3768</v>
      </c>
      <c r="C692" s="14" t="s">
        <v>1275</v>
      </c>
      <c r="D692" s="14" t="s">
        <v>1023</v>
      </c>
      <c r="E692" s="14" t="s">
        <v>3760</v>
      </c>
      <c r="F692" s="14" t="s">
        <v>2911</v>
      </c>
      <c r="G692" s="14" t="s">
        <v>4066</v>
      </c>
    </row>
    <row r="693" spans="1:7" x14ac:dyDescent="0.35">
      <c r="A693" s="14" t="s">
        <v>2506</v>
      </c>
      <c r="B693" s="14" t="s">
        <v>3768</v>
      </c>
      <c r="C693" s="14" t="s">
        <v>1574</v>
      </c>
      <c r="D693" s="14" t="s">
        <v>1023</v>
      </c>
      <c r="E693" s="14" t="s">
        <v>3760</v>
      </c>
      <c r="F693" s="14" t="s">
        <v>3760</v>
      </c>
      <c r="G693" s="14" t="s">
        <v>4066</v>
      </c>
    </row>
    <row r="694" spans="1:7" ht="43.5" x14ac:dyDescent="0.35">
      <c r="A694" s="14" t="s">
        <v>2393</v>
      </c>
      <c r="B694" s="14" t="s">
        <v>3768</v>
      </c>
      <c r="C694" s="14" t="s">
        <v>1707</v>
      </c>
      <c r="D694" s="14" t="s">
        <v>1048</v>
      </c>
      <c r="E694" s="14" t="s">
        <v>3611</v>
      </c>
      <c r="F694" s="14" t="s">
        <v>2832</v>
      </c>
      <c r="G694" s="14" t="s">
        <v>4066</v>
      </c>
    </row>
    <row r="695" spans="1:7" ht="29" x14ac:dyDescent="0.35">
      <c r="A695" s="14" t="s">
        <v>2574</v>
      </c>
      <c r="B695" s="14" t="s">
        <v>3768</v>
      </c>
      <c r="C695" s="14" t="s">
        <v>1528</v>
      </c>
      <c r="D695" s="14" t="s">
        <v>1048</v>
      </c>
      <c r="E695" s="14" t="s">
        <v>3611</v>
      </c>
      <c r="F695" s="14" t="s">
        <v>2911</v>
      </c>
      <c r="G695" s="14" t="s">
        <v>4066</v>
      </c>
    </row>
    <row r="696" spans="1:7" ht="29" x14ac:dyDescent="0.35">
      <c r="A696" s="14" t="s">
        <v>2570</v>
      </c>
      <c r="B696" s="14" t="s">
        <v>3768</v>
      </c>
      <c r="C696" s="14" t="s">
        <v>1536</v>
      </c>
      <c r="D696" s="14" t="s">
        <v>1048</v>
      </c>
      <c r="E696" s="14" t="s">
        <v>3611</v>
      </c>
      <c r="F696" s="14" t="s">
        <v>3589</v>
      </c>
      <c r="G696" s="14" t="s">
        <v>4066</v>
      </c>
    </row>
    <row r="697" spans="1:7" x14ac:dyDescent="0.35">
      <c r="A697" s="14" t="s">
        <v>2558</v>
      </c>
      <c r="B697" s="14" t="s">
        <v>3768</v>
      </c>
      <c r="C697" s="14" t="s">
        <v>1314</v>
      </c>
      <c r="D697" s="14" t="s">
        <v>1023</v>
      </c>
      <c r="E697" s="14" t="s">
        <v>3760</v>
      </c>
      <c r="F697" s="14" t="s">
        <v>3760</v>
      </c>
      <c r="G697" s="14" t="s">
        <v>4066</v>
      </c>
    </row>
    <row r="698" spans="1:7" x14ac:dyDescent="0.35">
      <c r="A698" s="14" t="s">
        <v>2547</v>
      </c>
      <c r="B698" s="14" t="s">
        <v>3768</v>
      </c>
      <c r="C698" s="14" t="s">
        <v>1314</v>
      </c>
      <c r="D698" s="14" t="s">
        <v>1023</v>
      </c>
      <c r="E698" s="14" t="s">
        <v>3760</v>
      </c>
      <c r="F698" s="14" t="s">
        <v>3760</v>
      </c>
      <c r="G698" s="14" t="s">
        <v>4066</v>
      </c>
    </row>
    <row r="699" spans="1:7" x14ac:dyDescent="0.35">
      <c r="A699" s="14" t="s">
        <v>2492</v>
      </c>
      <c r="B699" s="14" t="s">
        <v>3768</v>
      </c>
      <c r="C699" s="14" t="s">
        <v>1167</v>
      </c>
      <c r="D699" s="14" t="s">
        <v>1023</v>
      </c>
      <c r="E699" s="14" t="s">
        <v>3760</v>
      </c>
      <c r="F699" s="14" t="s">
        <v>3760</v>
      </c>
      <c r="G699" s="14" t="s">
        <v>4066</v>
      </c>
    </row>
    <row r="700" spans="1:7" ht="43.5" x14ac:dyDescent="0.35">
      <c r="A700" s="14" t="s">
        <v>2405</v>
      </c>
      <c r="B700" s="14" t="s">
        <v>3768</v>
      </c>
      <c r="C700" s="14" t="s">
        <v>1162</v>
      </c>
      <c r="D700" s="14" t="s">
        <v>1048</v>
      </c>
      <c r="E700" s="14" t="s">
        <v>3611</v>
      </c>
      <c r="F700" s="14" t="s">
        <v>3589</v>
      </c>
      <c r="G700" s="14" t="s">
        <v>4066</v>
      </c>
    </row>
    <row r="701" spans="1:7" ht="29" x14ac:dyDescent="0.35">
      <c r="A701" s="14" t="s">
        <v>2714</v>
      </c>
      <c r="B701" s="14" t="s">
        <v>3768</v>
      </c>
      <c r="C701" s="14" t="s">
        <v>1622</v>
      </c>
      <c r="D701" s="14" t="s">
        <v>1048</v>
      </c>
      <c r="E701" s="14" t="s">
        <v>3611</v>
      </c>
      <c r="F701" s="14" t="s">
        <v>3589</v>
      </c>
      <c r="G701" s="14" t="s">
        <v>4066</v>
      </c>
    </row>
    <row r="702" spans="1:7" ht="29" x14ac:dyDescent="0.35">
      <c r="A702" s="14" t="s">
        <v>2484</v>
      </c>
      <c r="B702" s="14" t="s">
        <v>3768</v>
      </c>
      <c r="C702" s="14" t="s">
        <v>1899</v>
      </c>
      <c r="D702" s="14" t="s">
        <v>1048</v>
      </c>
      <c r="E702" s="14" t="s">
        <v>3611</v>
      </c>
      <c r="F702" s="14" t="s">
        <v>3589</v>
      </c>
      <c r="G702" s="14" t="s">
        <v>4066</v>
      </c>
    </row>
    <row r="703" spans="1:7" ht="29" x14ac:dyDescent="0.35">
      <c r="A703" s="14" t="s">
        <v>2502</v>
      </c>
      <c r="B703" s="14" t="s">
        <v>3768</v>
      </c>
      <c r="C703" s="14" t="s">
        <v>1860</v>
      </c>
      <c r="D703" s="14" t="s">
        <v>1048</v>
      </c>
      <c r="E703" s="14" t="s">
        <v>3611</v>
      </c>
      <c r="F703" s="14" t="s">
        <v>3589</v>
      </c>
      <c r="G703" s="14" t="s">
        <v>4066</v>
      </c>
    </row>
    <row r="704" spans="1:7" x14ac:dyDescent="0.35">
      <c r="A704" s="14" t="s">
        <v>2375</v>
      </c>
      <c r="B704" s="14" t="s">
        <v>3768</v>
      </c>
      <c r="C704" s="14" t="s">
        <v>1177</v>
      </c>
      <c r="D704" s="14" t="s">
        <v>1025</v>
      </c>
      <c r="E704" s="14" t="s">
        <v>3760</v>
      </c>
      <c r="F704" s="14" t="s">
        <v>3611</v>
      </c>
      <c r="G704" s="14" t="s">
        <v>4066</v>
      </c>
    </row>
    <row r="705" spans="1:7" x14ac:dyDescent="0.35">
      <c r="A705" s="14" t="s">
        <v>2468</v>
      </c>
      <c r="B705" s="14" t="s">
        <v>3768</v>
      </c>
      <c r="C705" s="14" t="s">
        <v>1177</v>
      </c>
      <c r="D705" s="14" t="s">
        <v>1025</v>
      </c>
      <c r="E705" s="14" t="s">
        <v>3760</v>
      </c>
      <c r="F705" s="14" t="s">
        <v>3611</v>
      </c>
      <c r="G705" s="14" t="s">
        <v>4066</v>
      </c>
    </row>
    <row r="706" spans="1:7" x14ac:dyDescent="0.35">
      <c r="A706" s="14" t="s">
        <v>2378</v>
      </c>
      <c r="B706" s="14" t="s">
        <v>3768</v>
      </c>
      <c r="C706" s="14" t="s">
        <v>1107</v>
      </c>
      <c r="D706" s="14" t="s">
        <v>1023</v>
      </c>
      <c r="E706" s="14" t="s">
        <v>3760</v>
      </c>
      <c r="F706" s="14" t="s">
        <v>3760</v>
      </c>
      <c r="G706" s="14" t="s">
        <v>4066</v>
      </c>
    </row>
    <row r="707" spans="1:7" x14ac:dyDescent="0.35">
      <c r="A707" s="14" t="s">
        <v>2733</v>
      </c>
      <c r="B707" s="14" t="s">
        <v>3768</v>
      </c>
      <c r="C707" s="14" t="s">
        <v>1796</v>
      </c>
      <c r="D707" s="14" t="s">
        <v>1048</v>
      </c>
      <c r="E707" s="14" t="s">
        <v>3611</v>
      </c>
      <c r="F707" s="14" t="s">
        <v>3760</v>
      </c>
      <c r="G707" s="14" t="s">
        <v>4066</v>
      </c>
    </row>
    <row r="708" spans="1:7" ht="29" x14ac:dyDescent="0.35">
      <c r="A708" s="14" t="s">
        <v>2514</v>
      </c>
      <c r="B708" s="14" t="s">
        <v>3768</v>
      </c>
      <c r="C708" s="14" t="s">
        <v>1553</v>
      </c>
      <c r="D708" s="14" t="s">
        <v>1048</v>
      </c>
      <c r="E708" s="14" t="s">
        <v>3611</v>
      </c>
      <c r="F708" s="14" t="s">
        <v>2911</v>
      </c>
      <c r="G708" s="14" t="s">
        <v>4066</v>
      </c>
    </row>
    <row r="709" spans="1:7" x14ac:dyDescent="0.35">
      <c r="A709" s="14" t="s">
        <v>2414</v>
      </c>
      <c r="B709" s="14" t="s">
        <v>3768</v>
      </c>
      <c r="C709" s="14" t="s">
        <v>1182</v>
      </c>
      <c r="D709" s="14" t="s">
        <v>1025</v>
      </c>
      <c r="E709" s="14" t="s">
        <v>3760</v>
      </c>
      <c r="F709" s="14" t="s">
        <v>3611</v>
      </c>
      <c r="G709" s="14" t="s">
        <v>4066</v>
      </c>
    </row>
    <row r="710" spans="1:7" x14ac:dyDescent="0.35">
      <c r="A710" s="14" t="s">
        <v>2539</v>
      </c>
      <c r="B710" s="14" t="s">
        <v>3768</v>
      </c>
      <c r="C710" s="14" t="s">
        <v>1182</v>
      </c>
      <c r="D710" s="14" t="s">
        <v>1025</v>
      </c>
      <c r="E710" s="14" t="s">
        <v>3760</v>
      </c>
      <c r="F710" s="14" t="s">
        <v>3611</v>
      </c>
      <c r="G710" s="14" t="s">
        <v>4066</v>
      </c>
    </row>
    <row r="711" spans="1:7" ht="29" x14ac:dyDescent="0.35">
      <c r="A711" s="14" t="s">
        <v>2387</v>
      </c>
      <c r="B711" s="14" t="s">
        <v>3768</v>
      </c>
      <c r="C711" s="14" t="s">
        <v>1269</v>
      </c>
      <c r="D711" s="14" t="s">
        <v>1048</v>
      </c>
      <c r="E711" s="14" t="s">
        <v>3611</v>
      </c>
      <c r="F711" s="14" t="s">
        <v>3589</v>
      </c>
      <c r="G711" s="14" t="s">
        <v>4066</v>
      </c>
    </row>
    <row r="712" spans="1:7" x14ac:dyDescent="0.35">
      <c r="A712" s="14" t="s">
        <v>2665</v>
      </c>
      <c r="B712" s="14" t="s">
        <v>3768</v>
      </c>
      <c r="C712" s="14" t="s">
        <v>1657</v>
      </c>
      <c r="D712" s="14" t="s">
        <v>1048</v>
      </c>
      <c r="E712" s="14" t="s">
        <v>3611</v>
      </c>
      <c r="F712" s="14" t="s">
        <v>3760</v>
      </c>
      <c r="G712" s="14" t="s">
        <v>4066</v>
      </c>
    </row>
    <row r="713" spans="1:7" ht="43.5" x14ac:dyDescent="0.35">
      <c r="A713" s="14" t="s">
        <v>2494</v>
      </c>
      <c r="B713" s="14" t="s">
        <v>3768</v>
      </c>
      <c r="C713" s="14" t="s">
        <v>1092</v>
      </c>
      <c r="D713" s="14" t="s">
        <v>1048</v>
      </c>
      <c r="E713" s="14" t="s">
        <v>3611</v>
      </c>
      <c r="F713" s="14" t="s">
        <v>2832</v>
      </c>
      <c r="G713" s="14" t="s">
        <v>4066</v>
      </c>
    </row>
    <row r="714" spans="1:7" x14ac:dyDescent="0.35">
      <c r="A714" s="14" t="s">
        <v>2652</v>
      </c>
      <c r="B714" s="14" t="s">
        <v>3768</v>
      </c>
      <c r="C714" s="14" t="s">
        <v>1193</v>
      </c>
      <c r="D714" s="14" t="s">
        <v>1048</v>
      </c>
      <c r="E714" s="14" t="s">
        <v>3611</v>
      </c>
      <c r="F714" s="14" t="s">
        <v>3760</v>
      </c>
      <c r="G714" s="14" t="s">
        <v>4066</v>
      </c>
    </row>
    <row r="715" spans="1:7" ht="29" x14ac:dyDescent="0.35">
      <c r="A715" s="14" t="s">
        <v>2471</v>
      </c>
      <c r="B715" s="14" t="s">
        <v>3768</v>
      </c>
      <c r="C715" s="14" t="s">
        <v>1342</v>
      </c>
      <c r="D715" s="14" t="s">
        <v>1048</v>
      </c>
      <c r="E715" s="14" t="s">
        <v>3611</v>
      </c>
      <c r="F715" s="14" t="s">
        <v>2911</v>
      </c>
      <c r="G715" s="14" t="s">
        <v>4066</v>
      </c>
    </row>
    <row r="716" spans="1:7" x14ac:dyDescent="0.35">
      <c r="A716" s="14" t="s">
        <v>2710</v>
      </c>
      <c r="B716" s="14" t="s">
        <v>3768</v>
      </c>
      <c r="C716" s="14" t="s">
        <v>1379</v>
      </c>
      <c r="D716" s="14" t="s">
        <v>1048</v>
      </c>
      <c r="E716" s="14" t="s">
        <v>3611</v>
      </c>
      <c r="F716" s="14" t="s">
        <v>3760</v>
      </c>
      <c r="G716" s="14" t="s">
        <v>4066</v>
      </c>
    </row>
    <row r="717" spans="1:7" ht="29" x14ac:dyDescent="0.35">
      <c r="A717" s="14" t="s">
        <v>2593</v>
      </c>
      <c r="B717" s="14" t="s">
        <v>3768</v>
      </c>
      <c r="C717" s="14" t="s">
        <v>1757</v>
      </c>
      <c r="D717" s="14" t="s">
        <v>1048</v>
      </c>
      <c r="E717" s="14" t="s">
        <v>3611</v>
      </c>
      <c r="F717" s="14" t="s">
        <v>2911</v>
      </c>
      <c r="G717" s="14" t="s">
        <v>4066</v>
      </c>
    </row>
    <row r="718" spans="1:7" ht="29" x14ac:dyDescent="0.35">
      <c r="A718" s="14" t="s">
        <v>2440</v>
      </c>
      <c r="B718" s="14" t="s">
        <v>3768</v>
      </c>
      <c r="C718" s="14" t="s">
        <v>1745</v>
      </c>
      <c r="D718" s="14" t="s">
        <v>1048</v>
      </c>
      <c r="E718" s="14" t="s">
        <v>3611</v>
      </c>
      <c r="F718" s="14" t="s">
        <v>2911</v>
      </c>
      <c r="G718" s="14" t="s">
        <v>4066</v>
      </c>
    </row>
    <row r="719" spans="1:7" ht="29" x14ac:dyDescent="0.35">
      <c r="A719" s="14" t="s">
        <v>2718</v>
      </c>
      <c r="B719" s="14" t="s">
        <v>3768</v>
      </c>
      <c r="C719" s="14" t="s">
        <v>1319</v>
      </c>
      <c r="D719" s="14" t="s">
        <v>1048</v>
      </c>
      <c r="E719" s="14" t="s">
        <v>3611</v>
      </c>
      <c r="F719" s="14" t="s">
        <v>2911</v>
      </c>
      <c r="G719" s="14" t="s">
        <v>4066</v>
      </c>
    </row>
    <row r="720" spans="1:7" ht="29" x14ac:dyDescent="0.35">
      <c r="A720" s="14" t="s">
        <v>2486</v>
      </c>
      <c r="B720" s="14" t="s">
        <v>3768</v>
      </c>
      <c r="C720" s="14" t="s">
        <v>1470</v>
      </c>
      <c r="D720" s="14" t="s">
        <v>1048</v>
      </c>
      <c r="E720" s="14" t="s">
        <v>3611</v>
      </c>
      <c r="F720" s="14" t="s">
        <v>2911</v>
      </c>
      <c r="G720" s="14" t="s">
        <v>4066</v>
      </c>
    </row>
    <row r="721" spans="1:7" ht="29" x14ac:dyDescent="0.35">
      <c r="A721" s="14" t="s">
        <v>2511</v>
      </c>
      <c r="B721" s="14" t="s">
        <v>3768</v>
      </c>
      <c r="C721" s="14" t="s">
        <v>1631</v>
      </c>
      <c r="D721" s="14" t="s">
        <v>1048</v>
      </c>
      <c r="E721" s="14" t="s">
        <v>3611</v>
      </c>
      <c r="F721" s="14" t="s">
        <v>2911</v>
      </c>
      <c r="G721" s="14" t="s">
        <v>4066</v>
      </c>
    </row>
    <row r="722" spans="1:7" ht="29" x14ac:dyDescent="0.35">
      <c r="A722" s="14" t="s">
        <v>2555</v>
      </c>
      <c r="B722" s="14" t="s">
        <v>3768</v>
      </c>
      <c r="C722" s="14" t="s">
        <v>1448</v>
      </c>
      <c r="D722" s="14" t="s">
        <v>1048</v>
      </c>
      <c r="E722" s="14" t="s">
        <v>3611</v>
      </c>
      <c r="F722" s="14" t="s">
        <v>2911</v>
      </c>
      <c r="G722" s="14" t="s">
        <v>4066</v>
      </c>
    </row>
    <row r="723" spans="1:7" ht="29" x14ac:dyDescent="0.35">
      <c r="A723" s="14" t="s">
        <v>2526</v>
      </c>
      <c r="B723" s="14" t="s">
        <v>3768</v>
      </c>
      <c r="C723" s="14" t="s">
        <v>1216</v>
      </c>
      <c r="D723" s="14" t="s">
        <v>1048</v>
      </c>
      <c r="E723" s="14" t="s">
        <v>3611</v>
      </c>
      <c r="F723" s="14" t="s">
        <v>2911</v>
      </c>
      <c r="G723" s="14" t="s">
        <v>4066</v>
      </c>
    </row>
    <row r="724" spans="1:7" x14ac:dyDescent="0.35">
      <c r="A724" s="14" t="s">
        <v>2660</v>
      </c>
      <c r="B724" s="14" t="s">
        <v>3768</v>
      </c>
      <c r="C724" s="14" t="s">
        <v>1438</v>
      </c>
      <c r="D724" s="14" t="s">
        <v>1048</v>
      </c>
      <c r="E724" s="14" t="s">
        <v>3611</v>
      </c>
      <c r="F724" s="14" t="s">
        <v>3760</v>
      </c>
      <c r="G724" s="14" t="s">
        <v>4066</v>
      </c>
    </row>
    <row r="725" spans="1:7" ht="29" x14ac:dyDescent="0.35">
      <c r="A725" s="14" t="s">
        <v>2424</v>
      </c>
      <c r="B725" s="14" t="s">
        <v>3768</v>
      </c>
      <c r="C725" s="14" t="s">
        <v>1255</v>
      </c>
      <c r="D725" s="14" t="s">
        <v>1048</v>
      </c>
      <c r="E725" s="14" t="s">
        <v>3611</v>
      </c>
      <c r="F725" s="14" t="s">
        <v>2911</v>
      </c>
      <c r="G725" s="14" t="s">
        <v>4066</v>
      </c>
    </row>
    <row r="726" spans="1:7" ht="29" x14ac:dyDescent="0.35">
      <c r="A726" s="14" t="s">
        <v>2476</v>
      </c>
      <c r="B726" s="14" t="s">
        <v>3768</v>
      </c>
      <c r="C726" s="14" t="s">
        <v>1131</v>
      </c>
      <c r="D726" s="14" t="s">
        <v>1048</v>
      </c>
      <c r="E726" s="14" t="s">
        <v>3611</v>
      </c>
      <c r="F726" s="14" t="s">
        <v>2911</v>
      </c>
      <c r="G726" s="14" t="s">
        <v>4066</v>
      </c>
    </row>
    <row r="727" spans="1:7" x14ac:dyDescent="0.35">
      <c r="A727" s="14" t="s">
        <v>2439</v>
      </c>
      <c r="B727" s="14" t="s">
        <v>3768</v>
      </c>
      <c r="C727" s="14" t="s">
        <v>1390</v>
      </c>
      <c r="D727" s="14" t="s">
        <v>1048</v>
      </c>
      <c r="E727" s="14" t="s">
        <v>3611</v>
      </c>
      <c r="F727" s="14" t="s">
        <v>3760</v>
      </c>
      <c r="G727" s="14" t="s">
        <v>4066</v>
      </c>
    </row>
    <row r="728" spans="1:7" ht="29" x14ac:dyDescent="0.35">
      <c r="A728" s="14" t="s">
        <v>2446</v>
      </c>
      <c r="B728" s="14" t="s">
        <v>3768</v>
      </c>
      <c r="C728" s="14" t="s">
        <v>1727</v>
      </c>
      <c r="D728" s="14" t="s">
        <v>1048</v>
      </c>
      <c r="E728" s="14" t="s">
        <v>3611</v>
      </c>
      <c r="F728" s="14" t="s">
        <v>3760</v>
      </c>
      <c r="G728" s="14" t="s">
        <v>4066</v>
      </c>
    </row>
    <row r="729" spans="1:7" x14ac:dyDescent="0.35">
      <c r="A729" s="14" t="s">
        <v>2412</v>
      </c>
      <c r="B729" s="14" t="s">
        <v>3768</v>
      </c>
      <c r="C729" s="14" t="s">
        <v>1905</v>
      </c>
      <c r="D729" s="14" t="s">
        <v>1048</v>
      </c>
      <c r="E729" s="14" t="s">
        <v>3611</v>
      </c>
      <c r="F729" s="14" t="s">
        <v>3760</v>
      </c>
      <c r="G729" s="14" t="s">
        <v>4066</v>
      </c>
    </row>
    <row r="730" spans="1:7" x14ac:dyDescent="0.35">
      <c r="A730" s="14" t="s">
        <v>2538</v>
      </c>
      <c r="B730" s="14" t="s">
        <v>3768</v>
      </c>
      <c r="C730" s="14" t="s">
        <v>1717</v>
      </c>
      <c r="D730" s="14" t="s">
        <v>1050</v>
      </c>
      <c r="E730" s="14" t="s">
        <v>3611</v>
      </c>
      <c r="F730" s="14" t="s">
        <v>3611</v>
      </c>
      <c r="G730" s="14" t="s">
        <v>4066</v>
      </c>
    </row>
    <row r="731" spans="1:7" x14ac:dyDescent="0.35">
      <c r="A731" s="14" t="s">
        <v>2637</v>
      </c>
      <c r="B731" s="14" t="s">
        <v>3768</v>
      </c>
      <c r="C731" s="14" t="s">
        <v>1326</v>
      </c>
      <c r="D731" s="14" t="s">
        <v>1050</v>
      </c>
      <c r="E731" s="14" t="s">
        <v>3611</v>
      </c>
      <c r="F731" s="14" t="s">
        <v>3611</v>
      </c>
      <c r="G731" s="14" t="s">
        <v>4066</v>
      </c>
    </row>
    <row r="732" spans="1:7" x14ac:dyDescent="0.35">
      <c r="A732" s="14" t="s">
        <v>2473</v>
      </c>
      <c r="B732" s="14" t="s">
        <v>3768</v>
      </c>
      <c r="C732" s="14" t="s">
        <v>1297</v>
      </c>
      <c r="D732" s="14" t="s">
        <v>1048</v>
      </c>
      <c r="E732" s="14" t="s">
        <v>3611</v>
      </c>
      <c r="F732" s="14" t="s">
        <v>3760</v>
      </c>
      <c r="G732" s="14" t="s">
        <v>4066</v>
      </c>
    </row>
    <row r="733" spans="1:7" x14ac:dyDescent="0.35">
      <c r="A733" s="14" t="s">
        <v>2458</v>
      </c>
      <c r="B733" s="14" t="s">
        <v>3768</v>
      </c>
      <c r="C733" s="14" t="s">
        <v>1801</v>
      </c>
      <c r="D733" s="14" t="s">
        <v>1050</v>
      </c>
      <c r="E733" s="14" t="s">
        <v>3611</v>
      </c>
      <c r="F733" s="14" t="s">
        <v>3611</v>
      </c>
      <c r="G733" s="14" t="s">
        <v>4066</v>
      </c>
    </row>
    <row r="734" spans="1:7" x14ac:dyDescent="0.35">
      <c r="A734" s="14" t="s">
        <v>2636</v>
      </c>
      <c r="B734" s="14" t="s">
        <v>3768</v>
      </c>
      <c r="C734" s="14" t="s">
        <v>1924</v>
      </c>
      <c r="D734" s="14" t="s">
        <v>1048</v>
      </c>
      <c r="E734" s="14" t="s">
        <v>3611</v>
      </c>
      <c r="F734" s="14" t="s">
        <v>3760</v>
      </c>
      <c r="G734" s="14" t="s">
        <v>4066</v>
      </c>
    </row>
    <row r="735" spans="1:7" x14ac:dyDescent="0.35">
      <c r="A735" s="14" t="s">
        <v>2451</v>
      </c>
      <c r="B735" s="14" t="s">
        <v>3768</v>
      </c>
      <c r="C735" s="14" t="s">
        <v>1772</v>
      </c>
      <c r="D735" s="14" t="s">
        <v>1048</v>
      </c>
      <c r="E735" s="14" t="s">
        <v>3611</v>
      </c>
      <c r="F735" s="14" t="s">
        <v>3760</v>
      </c>
      <c r="G735" s="14" t="s">
        <v>4066</v>
      </c>
    </row>
    <row r="736" spans="1:7" x14ac:dyDescent="0.35">
      <c r="A736" s="14" t="s">
        <v>2602</v>
      </c>
      <c r="B736" s="14" t="s">
        <v>3768</v>
      </c>
      <c r="C736" s="14" t="s">
        <v>1609</v>
      </c>
      <c r="D736" s="14" t="s">
        <v>1050</v>
      </c>
      <c r="E736" s="14" t="s">
        <v>3611</v>
      </c>
      <c r="F736" s="14" t="s">
        <v>3611</v>
      </c>
      <c r="G736" s="14" t="s">
        <v>4066</v>
      </c>
    </row>
    <row r="737" spans="1:7" x14ac:dyDescent="0.35">
      <c r="A737" s="14" t="s">
        <v>2496</v>
      </c>
      <c r="B737" s="14" t="s">
        <v>3768</v>
      </c>
      <c r="C737" s="14" t="s">
        <v>1829</v>
      </c>
      <c r="D737" s="14" t="s">
        <v>1048</v>
      </c>
      <c r="E737" s="14" t="s">
        <v>3611</v>
      </c>
      <c r="F737" s="14" t="s">
        <v>3760</v>
      </c>
      <c r="G737" s="14" t="s">
        <v>4066</v>
      </c>
    </row>
    <row r="738" spans="1:7" ht="29" x14ac:dyDescent="0.35">
      <c r="A738" s="14" t="s">
        <v>2605</v>
      </c>
      <c r="B738" s="14" t="s">
        <v>3768</v>
      </c>
      <c r="C738" s="14" t="s">
        <v>2210</v>
      </c>
      <c r="D738" s="14" t="s">
        <v>1048</v>
      </c>
      <c r="E738" s="14" t="s">
        <v>3611</v>
      </c>
      <c r="F738" s="14" t="s">
        <v>2911</v>
      </c>
      <c r="G738" s="14" t="s">
        <v>4066</v>
      </c>
    </row>
    <row r="739" spans="1:7" x14ac:dyDescent="0.35">
      <c r="A739" s="14" t="s">
        <v>2550</v>
      </c>
      <c r="B739" s="14" t="s">
        <v>3768</v>
      </c>
      <c r="C739" s="14" t="s">
        <v>1047</v>
      </c>
      <c r="D739" s="14" t="s">
        <v>1048</v>
      </c>
      <c r="E739" s="14" t="s">
        <v>3611</v>
      </c>
      <c r="F739" s="14" t="s">
        <v>3760</v>
      </c>
      <c r="G739" s="14" t="s">
        <v>4066</v>
      </c>
    </row>
    <row r="740" spans="1:7" x14ac:dyDescent="0.35">
      <c r="A740" s="14" t="s">
        <v>2401</v>
      </c>
      <c r="B740" s="14" t="s">
        <v>3768</v>
      </c>
      <c r="C740" s="14" t="s">
        <v>1385</v>
      </c>
      <c r="D740" s="14" t="s">
        <v>1048</v>
      </c>
      <c r="E740" s="14" t="s">
        <v>3611</v>
      </c>
      <c r="F740" s="14" t="s">
        <v>3760</v>
      </c>
      <c r="G740" s="14" t="s">
        <v>4066</v>
      </c>
    </row>
    <row r="741" spans="1:7" x14ac:dyDescent="0.35">
      <c r="A741" s="14" t="s">
        <v>2470</v>
      </c>
      <c r="B741" s="14" t="s">
        <v>3768</v>
      </c>
      <c r="C741" s="14" t="s">
        <v>1347</v>
      </c>
      <c r="D741" s="14" t="s">
        <v>1048</v>
      </c>
      <c r="E741" s="14" t="s">
        <v>3611</v>
      </c>
      <c r="F741" s="14" t="s">
        <v>3760</v>
      </c>
      <c r="G741" s="14" t="s">
        <v>4066</v>
      </c>
    </row>
    <row r="742" spans="1:7" x14ac:dyDescent="0.35">
      <c r="A742" s="14" t="s">
        <v>2381</v>
      </c>
      <c r="B742" s="14" t="s">
        <v>3768</v>
      </c>
      <c r="C742" s="14" t="s">
        <v>1082</v>
      </c>
      <c r="D742" s="14" t="s">
        <v>1050</v>
      </c>
      <c r="E742" s="14" t="s">
        <v>3611</v>
      </c>
      <c r="F742" s="14" t="s">
        <v>3611</v>
      </c>
      <c r="G742" s="14" t="s">
        <v>4066</v>
      </c>
    </row>
    <row r="743" spans="1:7" x14ac:dyDescent="0.35">
      <c r="A743" s="14" t="s">
        <v>2615</v>
      </c>
      <c r="B743" s="14" t="s">
        <v>3768</v>
      </c>
      <c r="C743" s="14" t="s">
        <v>1752</v>
      </c>
      <c r="D743" s="14" t="s">
        <v>1048</v>
      </c>
      <c r="E743" s="14" t="s">
        <v>3611</v>
      </c>
      <c r="F743" s="14" t="s">
        <v>3760</v>
      </c>
      <c r="G743" s="14" t="s">
        <v>4066</v>
      </c>
    </row>
    <row r="744" spans="1:7" x14ac:dyDescent="0.35">
      <c r="A744" s="14" t="s">
        <v>2575</v>
      </c>
      <c r="B744" s="14" t="s">
        <v>3768</v>
      </c>
      <c r="C744" s="14" t="s">
        <v>1523</v>
      </c>
      <c r="D744" s="14" t="s">
        <v>1048</v>
      </c>
      <c r="E744" s="14" t="s">
        <v>3611</v>
      </c>
      <c r="F744" s="14" t="s">
        <v>3760</v>
      </c>
      <c r="G744" s="14" t="s">
        <v>4066</v>
      </c>
    </row>
    <row r="745" spans="1:7" x14ac:dyDescent="0.35">
      <c r="A745" s="14" t="s">
        <v>2425</v>
      </c>
      <c r="B745" s="14" t="s">
        <v>3768</v>
      </c>
      <c r="C745" s="14" t="s">
        <v>1663</v>
      </c>
      <c r="D745" s="14" t="s">
        <v>1048</v>
      </c>
      <c r="E745" s="14" t="s">
        <v>3611</v>
      </c>
      <c r="F745" s="14" t="s">
        <v>3760</v>
      </c>
      <c r="G745" s="14" t="s">
        <v>4066</v>
      </c>
    </row>
    <row r="746" spans="1:7" x14ac:dyDescent="0.35">
      <c r="A746" s="14" t="s">
        <v>2513</v>
      </c>
      <c r="B746" s="14" t="s">
        <v>3768</v>
      </c>
      <c r="C746" s="14" t="s">
        <v>1172</v>
      </c>
      <c r="D746" s="14" t="s">
        <v>1048</v>
      </c>
      <c r="E746" s="14" t="s">
        <v>3611</v>
      </c>
      <c r="F746" s="14" t="s">
        <v>3760</v>
      </c>
      <c r="G746" s="14" t="s">
        <v>4066</v>
      </c>
    </row>
    <row r="747" spans="1:7" x14ac:dyDescent="0.35">
      <c r="A747" s="14" t="s">
        <v>2690</v>
      </c>
      <c r="B747" s="14" t="s">
        <v>3768</v>
      </c>
      <c r="C747" s="14" t="s">
        <v>1071</v>
      </c>
      <c r="D747" s="14" t="s">
        <v>1048</v>
      </c>
      <c r="E747" s="14" t="s">
        <v>3611</v>
      </c>
      <c r="F747" s="14" t="s">
        <v>3760</v>
      </c>
      <c r="G747" s="14" t="s">
        <v>4066</v>
      </c>
    </row>
    <row r="748" spans="1:7" x14ac:dyDescent="0.35">
      <c r="A748" s="14" t="s">
        <v>2583</v>
      </c>
      <c r="B748" s="14" t="s">
        <v>3768</v>
      </c>
      <c r="C748" s="14" t="s">
        <v>1364</v>
      </c>
      <c r="D748" s="14" t="s">
        <v>1048</v>
      </c>
      <c r="E748" s="14" t="s">
        <v>3611</v>
      </c>
      <c r="F748" s="14" t="s">
        <v>3760</v>
      </c>
      <c r="G748" s="14" t="s">
        <v>4066</v>
      </c>
    </row>
    <row r="749" spans="1:7" x14ac:dyDescent="0.35">
      <c r="A749" s="14" t="s">
        <v>2684</v>
      </c>
      <c r="B749" s="14" t="s">
        <v>3768</v>
      </c>
      <c r="C749" s="14" t="s">
        <v>1426</v>
      </c>
      <c r="D749" s="14" t="s">
        <v>1048</v>
      </c>
      <c r="E749" s="14" t="s">
        <v>3611</v>
      </c>
      <c r="F749" s="14" t="s">
        <v>3760</v>
      </c>
      <c r="G749" s="14" t="s">
        <v>4066</v>
      </c>
    </row>
    <row r="750" spans="1:7" x14ac:dyDescent="0.35">
      <c r="A750" s="14" t="s">
        <v>2431</v>
      </c>
      <c r="B750" s="14" t="s">
        <v>3768</v>
      </c>
      <c r="C750" s="14" t="s">
        <v>1712</v>
      </c>
      <c r="D750" s="14" t="s">
        <v>1048</v>
      </c>
      <c r="E750" s="14" t="s">
        <v>3611</v>
      </c>
      <c r="F750" s="14" t="s">
        <v>3760</v>
      </c>
      <c r="G750" s="14" t="s">
        <v>4066</v>
      </c>
    </row>
    <row r="751" spans="1:7" x14ac:dyDescent="0.35">
      <c r="A751" s="14" t="s">
        <v>2623</v>
      </c>
      <c r="B751" s="14" t="s">
        <v>3768</v>
      </c>
      <c r="C751" s="14" t="s">
        <v>2625</v>
      </c>
      <c r="D751" s="14" t="s">
        <v>1050</v>
      </c>
      <c r="E751" s="14" t="s">
        <v>3611</v>
      </c>
      <c r="F751" s="14" t="s">
        <v>3611</v>
      </c>
      <c r="G751" s="14" t="s">
        <v>4066</v>
      </c>
    </row>
    <row r="752" spans="1:7" x14ac:dyDescent="0.35">
      <c r="A752" s="14" t="s">
        <v>2477</v>
      </c>
      <c r="B752" s="14" t="s">
        <v>3768</v>
      </c>
      <c r="C752" s="14" t="s">
        <v>1910</v>
      </c>
      <c r="D752" s="14" t="s">
        <v>1050</v>
      </c>
      <c r="E752" s="14" t="s">
        <v>3611</v>
      </c>
      <c r="F752" s="14" t="s">
        <v>3611</v>
      </c>
      <c r="G752" s="14" t="s">
        <v>4066</v>
      </c>
    </row>
    <row r="753" spans="1:7" x14ac:dyDescent="0.35">
      <c r="A753" s="14" t="s">
        <v>2658</v>
      </c>
      <c r="B753" s="14" t="s">
        <v>3768</v>
      </c>
      <c r="C753" s="14" t="s">
        <v>1590</v>
      </c>
      <c r="D753" s="14" t="s">
        <v>1050</v>
      </c>
      <c r="E753" s="14" t="s">
        <v>3611</v>
      </c>
      <c r="F753" s="14" t="s">
        <v>3611</v>
      </c>
      <c r="G753" s="14" t="s">
        <v>4066</v>
      </c>
    </row>
    <row r="754" spans="1:7" x14ac:dyDescent="0.35">
      <c r="A754" s="14" t="s">
        <v>2741</v>
      </c>
      <c r="B754" s="14" t="s">
        <v>3768</v>
      </c>
      <c r="C754" s="14" t="s">
        <v>1548</v>
      </c>
      <c r="D754" s="14" t="s">
        <v>1050</v>
      </c>
      <c r="E754" s="14" t="s">
        <v>3611</v>
      </c>
      <c r="F754" s="14" t="s">
        <v>3611</v>
      </c>
      <c r="G754" s="14" t="s">
        <v>4066</v>
      </c>
    </row>
    <row r="755" spans="1:7" x14ac:dyDescent="0.35">
      <c r="A755" s="14" t="s">
        <v>2443</v>
      </c>
      <c r="B755" s="14" t="s">
        <v>3768</v>
      </c>
      <c r="C755" s="14" t="s">
        <v>1400</v>
      </c>
      <c r="D755" s="14" t="s">
        <v>1050</v>
      </c>
      <c r="E755" s="14" t="s">
        <v>3611</v>
      </c>
      <c r="F755" s="14" t="s">
        <v>3611</v>
      </c>
      <c r="G755" s="14" t="s">
        <v>4066</v>
      </c>
    </row>
    <row r="756" spans="1:7" x14ac:dyDescent="0.35">
      <c r="A756" s="14" t="s">
        <v>2380</v>
      </c>
      <c r="B756" s="14" t="s">
        <v>3768</v>
      </c>
      <c r="C756" s="14" t="s">
        <v>1543</v>
      </c>
      <c r="D756" s="14" t="s">
        <v>1050</v>
      </c>
      <c r="E756" s="14" t="s">
        <v>3611</v>
      </c>
      <c r="F756" s="14" t="s">
        <v>3611</v>
      </c>
      <c r="G756" s="14" t="s">
        <v>4066</v>
      </c>
    </row>
    <row r="757" spans="1:7" x14ac:dyDescent="0.35">
      <c r="A757" s="14" t="s">
        <v>2450</v>
      </c>
      <c r="B757" s="14" t="s">
        <v>3768</v>
      </c>
      <c r="C757" s="14" t="s">
        <v>1485</v>
      </c>
      <c r="D757" s="14" t="s">
        <v>1050</v>
      </c>
      <c r="E757" s="14" t="s">
        <v>3611</v>
      </c>
      <c r="F757" s="14" t="s">
        <v>3611</v>
      </c>
      <c r="G757" s="14" t="s">
        <v>4066</v>
      </c>
    </row>
    <row r="758" spans="1:7" x14ac:dyDescent="0.35">
      <c r="A758" s="14" t="s">
        <v>2588</v>
      </c>
      <c r="B758" s="14" t="s">
        <v>3768</v>
      </c>
      <c r="C758" s="14" t="s">
        <v>1136</v>
      </c>
      <c r="D758" s="14" t="s">
        <v>1050</v>
      </c>
      <c r="E758" s="14" t="s">
        <v>3611</v>
      </c>
      <c r="F758" s="14" t="s">
        <v>3611</v>
      </c>
      <c r="G758" s="14" t="s">
        <v>4066</v>
      </c>
    </row>
    <row r="759" spans="1:7" x14ac:dyDescent="0.35">
      <c r="A759" s="14" t="s">
        <v>2521</v>
      </c>
      <c r="B759" s="14" t="s">
        <v>3768</v>
      </c>
      <c r="C759" s="14" t="s">
        <v>1672</v>
      </c>
      <c r="D759" s="14" t="s">
        <v>1050</v>
      </c>
      <c r="E759" s="14" t="s">
        <v>3611</v>
      </c>
      <c r="F759" s="14" t="s">
        <v>3611</v>
      </c>
      <c r="G759" s="14" t="s">
        <v>4066</v>
      </c>
    </row>
    <row r="760" spans="1:7" x14ac:dyDescent="0.35">
      <c r="A760" s="14" t="s">
        <v>2465</v>
      </c>
      <c r="B760" s="14" t="s">
        <v>3768</v>
      </c>
      <c r="C760" s="14" t="s">
        <v>1336</v>
      </c>
      <c r="D760" s="14" t="s">
        <v>1050</v>
      </c>
      <c r="E760" s="14" t="s">
        <v>3611</v>
      </c>
      <c r="F760" s="14" t="s">
        <v>3611</v>
      </c>
      <c r="G760" s="14" t="s">
        <v>4066</v>
      </c>
    </row>
    <row r="761" spans="1:7" x14ac:dyDescent="0.35">
      <c r="A761" s="14" t="s">
        <v>2464</v>
      </c>
      <c r="B761" s="14" t="s">
        <v>3768</v>
      </c>
      <c r="C761" s="14" t="s">
        <v>1646</v>
      </c>
      <c r="D761" s="14" t="s">
        <v>1050</v>
      </c>
      <c r="E761" s="14" t="s">
        <v>3611</v>
      </c>
      <c r="F761" s="14" t="s">
        <v>3611</v>
      </c>
      <c r="G761" s="14" t="s">
        <v>4066</v>
      </c>
    </row>
    <row r="762" spans="1:7" x14ac:dyDescent="0.35">
      <c r="A762" s="14" t="s">
        <v>2662</v>
      </c>
      <c r="B762" s="14" t="s">
        <v>3768</v>
      </c>
      <c r="C762" s="14" t="s">
        <v>1652</v>
      </c>
      <c r="D762" s="14" t="s">
        <v>1050</v>
      </c>
      <c r="E762" s="14" t="s">
        <v>3611</v>
      </c>
      <c r="F762" s="14" t="s">
        <v>3611</v>
      </c>
      <c r="G762" s="14" t="s">
        <v>4066</v>
      </c>
    </row>
    <row r="763" spans="1:7" x14ac:dyDescent="0.35">
      <c r="A763" s="14" t="s">
        <v>2566</v>
      </c>
      <c r="B763" s="14" t="s">
        <v>3768</v>
      </c>
      <c r="C763" s="14" t="s">
        <v>1810</v>
      </c>
      <c r="D763" s="14" t="s">
        <v>1050</v>
      </c>
      <c r="E763" s="14" t="s">
        <v>3611</v>
      </c>
      <c r="F763" s="14" t="s">
        <v>3611</v>
      </c>
      <c r="G763" s="14" t="s">
        <v>4066</v>
      </c>
    </row>
    <row r="764" spans="1:7" x14ac:dyDescent="0.35">
      <c r="A764" s="14" t="s">
        <v>2697</v>
      </c>
      <c r="B764" s="14" t="s">
        <v>3768</v>
      </c>
      <c r="C764" s="14" t="s">
        <v>1558</v>
      </c>
      <c r="D764" s="14" t="s">
        <v>1048</v>
      </c>
      <c r="E764" s="14" t="s">
        <v>3611</v>
      </c>
      <c r="F764" s="14" t="s">
        <v>3760</v>
      </c>
      <c r="G764" s="14" t="s">
        <v>4066</v>
      </c>
    </row>
    <row r="765" spans="1:7" x14ac:dyDescent="0.35">
      <c r="A765" s="14" t="s">
        <v>2390</v>
      </c>
      <c r="B765" s="14" t="s">
        <v>3768</v>
      </c>
      <c r="C765" s="14" t="s">
        <v>1883</v>
      </c>
      <c r="D765" s="14" t="s">
        <v>1048</v>
      </c>
      <c r="E765" s="14" t="s">
        <v>3611</v>
      </c>
      <c r="F765" s="14" t="s">
        <v>3760</v>
      </c>
      <c r="G765" s="14" t="s">
        <v>4066</v>
      </c>
    </row>
    <row r="766" spans="1:7" x14ac:dyDescent="0.35">
      <c r="A766" s="14" t="s">
        <v>2498</v>
      </c>
      <c r="B766" s="14" t="s">
        <v>3768</v>
      </c>
      <c r="C766" s="14" t="s">
        <v>2317</v>
      </c>
      <c r="D766" s="14" t="s">
        <v>1050</v>
      </c>
      <c r="E766" s="14" t="s">
        <v>3611</v>
      </c>
      <c r="F766" s="14" t="s">
        <v>3611</v>
      </c>
      <c r="G766" s="14" t="s">
        <v>4066</v>
      </c>
    </row>
    <row r="767" spans="1:7" x14ac:dyDescent="0.35">
      <c r="A767" s="14" t="s">
        <v>2383</v>
      </c>
      <c r="B767" s="14" t="s">
        <v>3768</v>
      </c>
      <c r="C767" s="14" t="s">
        <v>1101</v>
      </c>
      <c r="D767" s="14" t="s">
        <v>1050</v>
      </c>
      <c r="E767" s="14" t="s">
        <v>3611</v>
      </c>
      <c r="F767" s="14" t="s">
        <v>3611</v>
      </c>
      <c r="G767" s="14" t="s">
        <v>4066</v>
      </c>
    </row>
    <row r="768" spans="1:7" x14ac:dyDescent="0.35">
      <c r="A768" s="14" t="s">
        <v>2551</v>
      </c>
      <c r="B768" s="14" t="s">
        <v>3768</v>
      </c>
      <c r="C768" s="14" t="s">
        <v>2175</v>
      </c>
      <c r="D768" s="14" t="s">
        <v>1050</v>
      </c>
      <c r="E768" s="14" t="s">
        <v>3611</v>
      </c>
      <c r="F768" s="14" t="s">
        <v>3611</v>
      </c>
      <c r="G768" s="14" t="s">
        <v>4066</v>
      </c>
    </row>
    <row r="769" spans="1:7" x14ac:dyDescent="0.35">
      <c r="A769" s="14" t="s">
        <v>2467</v>
      </c>
      <c r="B769" s="14" t="s">
        <v>3768</v>
      </c>
      <c r="C769" s="14" t="s">
        <v>1938</v>
      </c>
      <c r="D769" s="14" t="s">
        <v>1050</v>
      </c>
      <c r="E769" s="14" t="s">
        <v>3611</v>
      </c>
      <c r="F769" s="14" t="s">
        <v>3611</v>
      </c>
      <c r="G769" s="14" t="s">
        <v>4066</v>
      </c>
    </row>
    <row r="770" spans="1:7" x14ac:dyDescent="0.35">
      <c r="A770" s="14" t="s">
        <v>2543</v>
      </c>
      <c r="B770" s="14" t="s">
        <v>3768</v>
      </c>
      <c r="C770" s="14" t="s">
        <v>1668</v>
      </c>
      <c r="D770" s="14" t="s">
        <v>1050</v>
      </c>
      <c r="E770" s="14" t="s">
        <v>3611</v>
      </c>
      <c r="F770" s="14" t="s">
        <v>3611</v>
      </c>
      <c r="G770" s="14" t="s">
        <v>4066</v>
      </c>
    </row>
    <row r="771" spans="1:7" x14ac:dyDescent="0.35">
      <c r="A771" s="14" t="s">
        <v>2686</v>
      </c>
      <c r="B771" s="14" t="s">
        <v>3768</v>
      </c>
      <c r="C771" s="14" t="s">
        <v>2302</v>
      </c>
      <c r="D771" s="14" t="s">
        <v>1048</v>
      </c>
      <c r="E771" s="14" t="s">
        <v>3611</v>
      </c>
      <c r="F771" s="14" t="s">
        <v>3760</v>
      </c>
      <c r="G771" s="14" t="s">
        <v>4066</v>
      </c>
    </row>
    <row r="772" spans="1:7" x14ac:dyDescent="0.35">
      <c r="A772" s="14" t="s">
        <v>2480</v>
      </c>
      <c r="B772" s="14" t="s">
        <v>3768</v>
      </c>
      <c r="C772" s="14" t="s">
        <v>2482</v>
      </c>
      <c r="D772" s="14" t="s">
        <v>1050</v>
      </c>
      <c r="E772" s="14" t="s">
        <v>3611</v>
      </c>
      <c r="F772" s="14" t="s">
        <v>3611</v>
      </c>
      <c r="G772" s="14" t="s">
        <v>4066</v>
      </c>
    </row>
    <row r="773" spans="1:7" x14ac:dyDescent="0.35">
      <c r="A773" s="14" t="s">
        <v>2688</v>
      </c>
      <c r="B773" s="14" t="s">
        <v>3768</v>
      </c>
      <c r="C773" s="14" t="s">
        <v>1642</v>
      </c>
      <c r="D773" s="14" t="s">
        <v>1050</v>
      </c>
      <c r="E773" s="14" t="s">
        <v>3611</v>
      </c>
      <c r="F773" s="14" t="s">
        <v>3611</v>
      </c>
      <c r="G773" s="14" t="s">
        <v>4066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4"/>
  <sheetViews>
    <sheetView workbookViewId="0">
      <selection sqref="A1:D1"/>
    </sheetView>
  </sheetViews>
  <sheetFormatPr defaultRowHeight="14.5" x14ac:dyDescent="0.35"/>
  <cols>
    <col min="1" max="1" width="38" customWidth="1"/>
    <col min="2" max="2" width="14" customWidth="1"/>
    <col min="3" max="3" width="12" customWidth="1"/>
    <col min="4" max="4" width="24" customWidth="1"/>
    <col min="5" max="5" width="42" customWidth="1"/>
    <col min="6" max="6" width="48" customWidth="1"/>
  </cols>
  <sheetData>
    <row r="1" spans="1:6" ht="18.5" x14ac:dyDescent="0.35">
      <c r="A1" s="20" t="s">
        <v>4068</v>
      </c>
      <c r="B1" s="20"/>
      <c r="C1" s="20"/>
      <c r="D1" s="20"/>
    </row>
    <row r="3" spans="1:6" x14ac:dyDescent="0.35">
      <c r="A3" s="17" t="s">
        <v>4069</v>
      </c>
      <c r="B3" s="17" t="s">
        <v>4070</v>
      </c>
      <c r="C3" s="17" t="s">
        <v>4071</v>
      </c>
      <c r="D3" s="18" t="s">
        <v>4072</v>
      </c>
      <c r="E3" s="18" t="s">
        <v>4073</v>
      </c>
      <c r="F3" s="18" t="s">
        <v>4074</v>
      </c>
    </row>
    <row r="4" spans="1:6" x14ac:dyDescent="0.35">
      <c r="A4" t="s">
        <v>4075</v>
      </c>
      <c r="B4">
        <f>COUNTA(Orthology_candidate_report!A2:A478)</f>
        <v>477</v>
      </c>
      <c r="C4" s="19">
        <f t="shared" ref="C4:C14" si="0">B4/$B$4</f>
        <v>1</v>
      </c>
      <c r="D4" s="14" t="s">
        <v>1050</v>
      </c>
      <c r="E4" s="14" t="s">
        <v>4076</v>
      </c>
      <c r="F4" s="14" t="s">
        <v>4077</v>
      </c>
    </row>
    <row r="5" spans="1:6" ht="29" x14ac:dyDescent="0.35">
      <c r="A5" t="s">
        <v>4078</v>
      </c>
      <c r="B5">
        <f>COUNTIF(Orthology_candidate_report!J2:J478,"shared HOG")</f>
        <v>404</v>
      </c>
      <c r="C5" s="19">
        <f t="shared" si="0"/>
        <v>0.84696016771488469</v>
      </c>
      <c r="D5" s="14" t="s">
        <v>1048</v>
      </c>
      <c r="E5" s="14" t="s">
        <v>4079</v>
      </c>
      <c r="F5" s="14" t="s">
        <v>4080</v>
      </c>
    </row>
    <row r="6" spans="1:6" ht="29" x14ac:dyDescent="0.35">
      <c r="A6" t="s">
        <v>1114</v>
      </c>
      <c r="B6">
        <f>COUNTIF(Orthology_candidate_report!J2:J478,"Schistosoma-only in sampled HOG")</f>
        <v>68</v>
      </c>
      <c r="C6" s="19">
        <f t="shared" si="0"/>
        <v>0.14255765199161424</v>
      </c>
      <c r="D6" s="14" t="s">
        <v>1025</v>
      </c>
      <c r="E6" s="14" t="s">
        <v>4081</v>
      </c>
      <c r="F6" s="14" t="s">
        <v>4082</v>
      </c>
    </row>
    <row r="7" spans="1:6" ht="29" x14ac:dyDescent="0.35">
      <c r="A7" t="s">
        <v>4083</v>
      </c>
      <c r="B7">
        <f>COUNTIF(Orthology_candidate_report!J2:J478,"not found in selected HOG table")</f>
        <v>5</v>
      </c>
      <c r="C7" s="19">
        <f t="shared" si="0"/>
        <v>1.0482180293501049E-2</v>
      </c>
      <c r="D7" s="14" t="s">
        <v>1023</v>
      </c>
      <c r="E7" s="14" t="s">
        <v>4084</v>
      </c>
      <c r="F7" s="14" t="s">
        <v>4085</v>
      </c>
    </row>
    <row r="8" spans="1:6" ht="29" x14ac:dyDescent="0.35">
      <c r="A8" t="s">
        <v>4086</v>
      </c>
      <c r="B8">
        <f>COUNTIF(Orthology_candidate_report!G2:G478,"&lt;&gt;no direct pairwise orthologue detected")</f>
        <v>396</v>
      </c>
      <c r="C8" s="19">
        <f t="shared" si="0"/>
        <v>0.83018867924528306</v>
      </c>
      <c r="D8" s="14" t="s">
        <v>1034</v>
      </c>
      <c r="E8" s="14" t="s">
        <v>4087</v>
      </c>
      <c r="F8" s="14" t="s">
        <v>4088</v>
      </c>
    </row>
    <row r="9" spans="1:6" x14ac:dyDescent="0.35">
      <c r="A9" t="s">
        <v>4089</v>
      </c>
      <c r="B9">
        <f>COUNTIF(Orthology_candidate_report!I2:I478,"&lt;&gt;no direct pairwise orthologue detected")</f>
        <v>376</v>
      </c>
      <c r="C9" s="19">
        <f t="shared" si="0"/>
        <v>0.7882599580712788</v>
      </c>
    </row>
    <row r="10" spans="1:6" x14ac:dyDescent="0.35">
      <c r="A10" t="s">
        <v>4090</v>
      </c>
      <c r="B10">
        <f>COUNTIFS(Orthology_candidate_report!G2:G478,"&lt;&gt;no direct pairwise orthologue detected",Orthology_candidate_report!I2:I478,"&lt;&gt;no direct pairwise orthologue detected")</f>
        <v>368</v>
      </c>
      <c r="C10" s="19">
        <f t="shared" si="0"/>
        <v>0.77148846960167716</v>
      </c>
    </row>
    <row r="11" spans="1:6" x14ac:dyDescent="0.35">
      <c r="A11" t="s">
        <v>4091</v>
      </c>
      <c r="B11">
        <f>COUNTIF(Orthology_candidate_report!G2:G478,"one-to-one")</f>
        <v>66</v>
      </c>
      <c r="C11" s="19">
        <f t="shared" si="0"/>
        <v>0.13836477987421383</v>
      </c>
    </row>
    <row r="12" spans="1:6" x14ac:dyDescent="0.35">
      <c r="A12" t="s">
        <v>4092</v>
      </c>
      <c r="B12">
        <f>COUNTIF(Orthology_candidate_report!I2:I478,"one-to-one")</f>
        <v>179</v>
      </c>
      <c r="C12" s="19">
        <f t="shared" si="0"/>
        <v>0.37526205450733752</v>
      </c>
    </row>
    <row r="13" spans="1:6" x14ac:dyDescent="0.35">
      <c r="A13" t="s">
        <v>4093</v>
      </c>
      <c r="B13">
        <f>COUNTIFS(Orthology_candidate_report!K2:K478,1,Orthology_candidate_report!L2:L478,1,Orthology_candidate_report!M2:M478,1)</f>
        <v>264</v>
      </c>
      <c r="C13" s="19">
        <f t="shared" si="0"/>
        <v>0.55345911949685533</v>
      </c>
    </row>
    <row r="14" spans="1:6" x14ac:dyDescent="0.35">
      <c r="A14" t="s">
        <v>4094</v>
      </c>
      <c r="B14">
        <f>COUNTIFS(Orthology_candidate_report!K2:K478,"&gt;0",Orthology_candidate_report!L2:L478,"&gt;0",Orthology_candidate_report!M2:M478,"&gt;0")</f>
        <v>0</v>
      </c>
      <c r="C14" s="19">
        <f t="shared" si="0"/>
        <v>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MotifScan_hits</vt:lpstr>
      <vt:lpstr>Orthology_candidate_report</vt:lpstr>
      <vt:lpstr>Orthology_HOGs</vt:lpstr>
      <vt:lpstr>Direct_orthologues</vt:lpstr>
      <vt:lpstr>Orthology_summary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Evans Asamoah Adu</cp:lastModifiedBy>
  <dcterms:modified xsi:type="dcterms:W3CDTF">2026-09-20T20:39:23Z</dcterms:modified>
</cp:coreProperties>
</file>