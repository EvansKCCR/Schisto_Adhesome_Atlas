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orthology\"/>
    </mc:Choice>
  </mc:AlternateContent>
  <xr:revisionPtr revIDLastSave="0" documentId="13_ncr:1_{1DC2C9B8-D85D-4B1A-87E0-562A21877C2C}" xr6:coauthVersionLast="47" xr6:coauthVersionMax="47" xr10:uidLastSave="{00000000-0000-0000-0000-000000000000}"/>
  <bookViews>
    <workbookView xWindow="-19290" yWindow="-8980" windowWidth="19380" windowHeight="20970" activeTab="2" xr2:uid="{00000000-000D-0000-FFFF-FFFF00000000}"/>
  </bookViews>
  <sheets>
    <sheet name="Marked differences" sheetId="1" r:id="rId1"/>
    <sheet name="Pronounced differences" sheetId="2" r:id="rId2"/>
    <sheet name="All orthogroups" sheetId="3" r:id="rId3"/>
  </sheets>
  <definedNames>
    <definedName name="_xlnm._FilterDatabase" localSheetId="0" hidden="1">'Marked differences'!$A$4:$R$50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1" i="3" l="1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</calcChain>
</file>

<file path=xl/sharedStrings.xml><?xml version="1.0" encoding="utf-8"?>
<sst xmlns="http://schemas.openxmlformats.org/spreadsheetml/2006/main" count="3213" uniqueCount="930">
  <si>
    <t>Marked interspecific copy-number differences (Δ ≥ 2)</t>
  </si>
  <si>
    <t>Descriptive threshold; not statistical significance. Counts from unique protein IDs; missing species = 0.</t>
  </si>
  <si>
    <t>Orthogroup</t>
  </si>
  <si>
    <t>Supported family identity</t>
  </si>
  <si>
    <t>Supported n</t>
  </si>
  <si>
    <t>S. mansoni</t>
  </si>
  <si>
    <t>S. japonicum</t>
  </si>
  <si>
    <t>S. haematobium</t>
  </si>
  <si>
    <t>S. bovis</t>
  </si>
  <si>
    <t>S. curassoni</t>
  </si>
  <si>
    <t>S. intercalatum</t>
  </si>
  <si>
    <t>S. rodhaini</t>
  </si>
  <si>
    <t>Max−min Δ</t>
  </si>
  <si>
    <t>Species present</t>
  </si>
  <si>
    <t>Total candidates</t>
  </si>
  <si>
    <t>Unresolved n</t>
  </si>
  <si>
    <t>Reference taxa count</t>
  </si>
  <si>
    <t>Reference species support</t>
  </si>
  <si>
    <t>All candidate family labels</t>
  </si>
  <si>
    <t>Family-support breakdown</t>
  </si>
  <si>
    <t>OG0000303</t>
  </si>
  <si>
    <t>tetraspanin-like (29)</t>
  </si>
  <si>
    <t>Fasciola hepatica</t>
  </si>
  <si>
    <t>specific supported: 29</t>
  </si>
  <si>
    <t>OG0000082</t>
  </si>
  <si>
    <t>HSP70-like (23)</t>
  </si>
  <si>
    <t>Caenorhabditis elegans; Canis familiaris; Ciona intestinali; Danio rerio; Drosophila melanogaster;Gallus gallus; Homo sapiens; Monodelphis domestica; Mus musculus; Pan troglodytes; Rattus norvegicus; Tetraodon nigroviridis; Fasciola hepatica; Taenia solium</t>
  </si>
  <si>
    <t>HSP70-like (23); unassigned (1)</t>
  </si>
  <si>
    <t>specific supported: 23; unresolved: 1</t>
  </si>
  <si>
    <t>OG0000625</t>
  </si>
  <si>
    <t>Fes Fps-like (7)</t>
  </si>
  <si>
    <t>Fes Fps-like (7); unassigned (7)</t>
  </si>
  <si>
    <t>specific supported: 7; unresolved: 7</t>
  </si>
  <si>
    <t>OG0000012</t>
  </si>
  <si>
    <t>actin (4); actin conventional (3)</t>
  </si>
  <si>
    <t>Caenorhabditis elegans; Ciona intestinali; Fasciola hepatica</t>
  </si>
  <si>
    <t>broad supported: 4; specific supported: 3</t>
  </si>
  <si>
    <t>OG0001980</t>
  </si>
  <si>
    <t>spectrin-like (7)</t>
  </si>
  <si>
    <t>Caenorhabditis elegans; Canis familiaris; Danio rerio; Drosophila melanogaster;Gallus gallus; Homo sapiens; Mus musculus; Pan troglodytes; Rattus norvegicus; Fasciola hepatica; Taenia solium</t>
  </si>
  <si>
    <t>spectrin-like (7); unassigned (9)</t>
  </si>
  <si>
    <t>specific supported: 7; unresolved: 9</t>
  </si>
  <si>
    <t>OG0002204</t>
  </si>
  <si>
    <t>Unresolved / no supported family</t>
  </si>
  <si>
    <t>Drosophila melanogaster; Homo sapiens; Monodelphis domestica; Pan troglodytes; Tetraodon nigroviridis; Taenia solium</t>
  </si>
  <si>
    <t>unassigned (17)</t>
  </si>
  <si>
    <t>unresolved: 17</t>
  </si>
  <si>
    <t>OG0006350</t>
  </si>
  <si>
    <t>Tetraodon nigroviridis; Fasciola hepatica; Taenia solium</t>
  </si>
  <si>
    <t>unassigned (14)</t>
  </si>
  <si>
    <t>unresolved: 14</t>
  </si>
  <si>
    <t>OG0002918</t>
  </si>
  <si>
    <t>Caenorhabditis elegans; Canis familiaris; Ciona intestinali; Danio rerio;Gallus gallus; Homo sapiens; Monodelphis domestica; Mus musculus; Pan troglodytes; Rattus norvegicus; Fasciola hepatica; Taenia solium</t>
  </si>
  <si>
    <t>unassigned (13)</t>
  </si>
  <si>
    <t>unresolved: 13</t>
  </si>
  <si>
    <t>OG0000122</t>
  </si>
  <si>
    <t>Src (23)</t>
  </si>
  <si>
    <t>Src (23); unassigned (8)</t>
  </si>
  <si>
    <t>specific supported: 23; unresolved: 8</t>
  </si>
  <si>
    <t>OG0000333</t>
  </si>
  <si>
    <t>unassigned (28)</t>
  </si>
  <si>
    <t>unresolved: 28</t>
  </si>
  <si>
    <t>OG0001078</t>
  </si>
  <si>
    <t>tetraspanin-like (28)</t>
  </si>
  <si>
    <t>Drosophila melanogaster; Fasciola hepatica; Taenia solium</t>
  </si>
  <si>
    <t>specific supported: 28</t>
  </si>
  <si>
    <t>OG0000542</t>
  </si>
  <si>
    <t>unassigned (22)</t>
  </si>
  <si>
    <t>unresolved: 22</t>
  </si>
  <si>
    <t>OG0000130</t>
  </si>
  <si>
    <t>tubulin-like (21)</t>
  </si>
  <si>
    <t>specific supported: 21</t>
  </si>
  <si>
    <t>OG0000416</t>
  </si>
  <si>
    <t>ADF cofilin (11); cofilin (8)</t>
  </si>
  <si>
    <t>specific supported: 19</t>
  </si>
  <si>
    <t>OG0000534</t>
  </si>
  <si>
    <t>tetraspanin-like (19)</t>
  </si>
  <si>
    <t>Canis familiaris; Danio rerio; Drosophila melanogaster;Gallus gallus; Homo sapiens; Monodelphis domestica; Mus musculus; Pan troglodytes; Rattus norvegicus; Tetraodon nigroviridis; Fasciola hepatica; Taenia solium</t>
  </si>
  <si>
    <t>OG0000180</t>
  </si>
  <si>
    <t>tetraspanin-like (18)</t>
  </si>
  <si>
    <t>Caenorhabditis elegans; Fasciola hepatica; Taenia solium</t>
  </si>
  <si>
    <t>specific supported: 18</t>
  </si>
  <si>
    <t>OG0000218</t>
  </si>
  <si>
    <t>unassigned (16)</t>
  </si>
  <si>
    <t>unresolved: 16</t>
  </si>
  <si>
    <t>OG0001120</t>
  </si>
  <si>
    <t>Caenorhabditis elegans; Ciona intestinali; Danio rerio; Drosophila melanogaster; Monodelphis domestica; Fasciola hepatica; Taenia solium</t>
  </si>
  <si>
    <t>OG0000355</t>
  </si>
  <si>
    <t>OG0004695</t>
  </si>
  <si>
    <t>Canis familiaris; Ciona intestinali; Fasciola hepatica; Taenia solium</t>
  </si>
  <si>
    <t>OG0006649</t>
  </si>
  <si>
    <t>actin (1); actin conventional (13)</t>
  </si>
  <si>
    <t>Fasciola hepatica; Taenia solium</t>
  </si>
  <si>
    <t>broad supported: 1; specific supported: 13</t>
  </si>
  <si>
    <t>OG0001306</t>
  </si>
  <si>
    <t>Caenorhabditis elegans; Canis familiaris; Danio rerio; Drosophila melanogaster;Gallus gallus; Homo sapiens; Monodelphis domestica; Mus musculus; Pan troglodytes; Rattus norvegicus; Tetraodon nigroviridis; Taenia solium</t>
  </si>
  <si>
    <t>OG0000347</t>
  </si>
  <si>
    <t>Caenorhabditis elegans; Canis familiaris; Ciona intestinali; Danio rerio; Drosophila melanogaster;Gallus gallus; Homo sapiens; Monodelphis domestica; Mus musculus; Pan troglodytes; Rattus norvegicus; Tetraodon nigroviridis; Taenia solium</t>
  </si>
  <si>
    <t>unassigned (12)</t>
  </si>
  <si>
    <t>unresolved: 12</t>
  </si>
  <si>
    <t>OG0000730</t>
  </si>
  <si>
    <t>INSR-like (6)</t>
  </si>
  <si>
    <t>INSR-like (6); unassigned (6)</t>
  </si>
  <si>
    <t>specific supported: 6; unresolved: 6</t>
  </si>
  <si>
    <t>OG0001662</t>
  </si>
  <si>
    <t>OG0007724</t>
  </si>
  <si>
    <t>actin conventional (12)</t>
  </si>
  <si>
    <t>specific supported: 12</t>
  </si>
  <si>
    <t>OG0008033</t>
  </si>
  <si>
    <t>Rho GTPase-like (10)</t>
  </si>
  <si>
    <t>Rho GTPase-like (10); unassigned (2)</t>
  </si>
  <si>
    <t>specific supported: 10; unresolved: 2</t>
  </si>
  <si>
    <t>OG0002633</t>
  </si>
  <si>
    <t>unassigned (9)</t>
  </si>
  <si>
    <t>unresolved: 9</t>
  </si>
  <si>
    <t>OG0005918</t>
  </si>
  <si>
    <t>Canis familiaris; Ciona intestinali; Danio rerio;Gallus gallus; Homo sapiens; Monodelphis domestica; Mus musculus; Pan troglodytes; Rattus norvegicus; Fasciola hepatica; Taenia solium</t>
  </si>
  <si>
    <t>OG0007114</t>
  </si>
  <si>
    <t>Caenorhabditis elegans; Ciona intestinali; Drosophila melanogaster; Fasciola hepatica; Taenia solium</t>
  </si>
  <si>
    <t>unassigned (8)</t>
  </si>
  <si>
    <t>unresolved: 8</t>
  </si>
  <si>
    <t>OG0000049</t>
  </si>
  <si>
    <t>unassigned (7)</t>
  </si>
  <si>
    <t>unresolved: 7</t>
  </si>
  <si>
    <t>OG0000346</t>
  </si>
  <si>
    <t>OG0001162</t>
  </si>
  <si>
    <t>OG0001434</t>
  </si>
  <si>
    <t>SHP PTPN6 11-like (6)</t>
  </si>
  <si>
    <t>Canis familiaris; Ciona intestinali; Danio rerio; Drosophila melanogaster;Gallus gallus; Homo sapiens; Monodelphis domestica; Mus musculus; Pan troglodytes; Rattus norvegicus; Tetraodon nigroviridis; Fasciola hepatica; Taenia solium</t>
  </si>
  <si>
    <t>SHP PTPN6 11-like (6); unassigned (1)</t>
  </si>
  <si>
    <t>specific supported: 6; unresolved: 1</t>
  </si>
  <si>
    <t>OG0002893</t>
  </si>
  <si>
    <t>OG0003885</t>
  </si>
  <si>
    <t>Ciona intestinali; Fasciola hepatica; Taenia solium</t>
  </si>
  <si>
    <t>OG0004285</t>
  </si>
  <si>
    <t>OG0006338</t>
  </si>
  <si>
    <t>OG0009074</t>
  </si>
  <si>
    <t>OG0001747</t>
  </si>
  <si>
    <t>Drosophila melanogaster; Monodelphis domestica; Tetraodon nigroviridis; Fasciola hepatica; Taenia solium</t>
  </si>
  <si>
    <t>unassigned (5)</t>
  </si>
  <si>
    <t>unresolved: 5</t>
  </si>
  <si>
    <t>OG0008012</t>
  </si>
  <si>
    <t>unassigned (4)</t>
  </si>
  <si>
    <t>unresolved: 4</t>
  </si>
  <si>
    <t>OG0000297</t>
  </si>
  <si>
    <t>unassigned (3)</t>
  </si>
  <si>
    <t>unresolved: 3</t>
  </si>
  <si>
    <t>OG0014370</t>
  </si>
  <si>
    <t>actin conventional (1)</t>
  </si>
  <si>
    <t>actin conventional (1); unassigned (2)</t>
  </si>
  <si>
    <t>specific supported: 1; unresolved: 2</t>
  </si>
  <si>
    <t>OG0000202</t>
  </si>
  <si>
    <t>unassigned (2)</t>
  </si>
  <si>
    <t>unresolved: 2</t>
  </si>
  <si>
    <t>OG0000425</t>
  </si>
  <si>
    <t>OG0003997</t>
  </si>
  <si>
    <t>Pronounced differences (Δ ≥ 3)</t>
  </si>
  <si>
    <t>Largest candidate-copy imbalances; investigate annotation and gene-model quality before inferring expansions.</t>
  </si>
  <si>
    <t>All 579 orthogroups</t>
  </si>
  <si>
    <t>OG0000006</t>
  </si>
  <si>
    <t>Caenorhabditis elegans; Canis familiaris; Ciona intestinali; Danio rerio;Gallus gallus; Homo sapiens; Monodelphis domestica; Mus musculus; Pan troglodytes; Rattus norvegicus; Tetraodon nigroviridis; Fasciola hepatica; Taenia solium</t>
  </si>
  <si>
    <t>OG0000048</t>
  </si>
  <si>
    <t>MMP-like (4)</t>
  </si>
  <si>
    <t>MMP-like (4); unassigned (3)</t>
  </si>
  <si>
    <t>specific supported: 4; unresolved: 3</t>
  </si>
  <si>
    <t>OG0000054</t>
  </si>
  <si>
    <t>OG0000056</t>
  </si>
  <si>
    <t>ADAM-like (6)</t>
  </si>
  <si>
    <t>specific supported: 6</t>
  </si>
  <si>
    <t>OG0000076</t>
  </si>
  <si>
    <t>integrin alpha (7)</t>
  </si>
  <si>
    <t>specific supported: 7</t>
  </si>
  <si>
    <t>OG0000094</t>
  </si>
  <si>
    <t>unassigned (6)</t>
  </si>
  <si>
    <t>unresolved: 6</t>
  </si>
  <si>
    <t>OG0000106</t>
  </si>
  <si>
    <t>myosin-like (7)</t>
  </si>
  <si>
    <t>OG0000148</t>
  </si>
  <si>
    <t>calpain-like (14)</t>
  </si>
  <si>
    <t>specific supported: 14</t>
  </si>
  <si>
    <t>OG0000197</t>
  </si>
  <si>
    <t>OG0000199</t>
  </si>
  <si>
    <t>OG0000211</t>
  </si>
  <si>
    <t>OG0000216</t>
  </si>
  <si>
    <t>OG0000219</t>
  </si>
  <si>
    <t>collagen-like (14)</t>
  </si>
  <si>
    <t>Canis familiaris; Ciona intestinali; Danio rerio;Gallus gallus; Homo sapiens; Monodelphis domestica; Mus musculus; Pan troglodytes; Rattus norvegicus; Tetraodon nigroviridis; Fasciola hepatica; Taenia solium</t>
  </si>
  <si>
    <t>broad supported: 14</t>
  </si>
  <si>
    <t>OG0000242</t>
  </si>
  <si>
    <t>OG0000245</t>
  </si>
  <si>
    <t>zyxin ajuba-like (7)</t>
  </si>
  <si>
    <t>OG0000246</t>
  </si>
  <si>
    <t>OG0000247</t>
  </si>
  <si>
    <t>collagen-like (29)</t>
  </si>
  <si>
    <t>broad supported: 29</t>
  </si>
  <si>
    <t>OG0000250</t>
  </si>
  <si>
    <t>collagen-like (26)</t>
  </si>
  <si>
    <t>broad supported: 26</t>
  </si>
  <si>
    <t>OG0000253</t>
  </si>
  <si>
    <t>integrin beta (7)</t>
  </si>
  <si>
    <t>OG0000263</t>
  </si>
  <si>
    <t>OG0000290</t>
  </si>
  <si>
    <t>tetraspanin-like (7)</t>
  </si>
  <si>
    <t>OG0000294</t>
  </si>
  <si>
    <t>OG0000311</t>
  </si>
  <si>
    <t>kindlin (14)</t>
  </si>
  <si>
    <t>kindlin (14); unassigned (1)</t>
  </si>
  <si>
    <t>specific supported: 14; unresolved: 1</t>
  </si>
  <si>
    <t>OG0000328</t>
  </si>
  <si>
    <t>OG0000329</t>
  </si>
  <si>
    <t>Caenorhabditis elegans; Canis familiaris; Danio rerio; Drosophila melanogaster;Gallus gallus; Homo sapiens; Monodelphis domestica; Mus musculus; Pan troglodytes; Rattus norvegicus; Tetraodon nigroviridis; Fasciola hepatica; Taenia solium</t>
  </si>
  <si>
    <t>unassigned (18)</t>
  </si>
  <si>
    <t>unresolved: 18</t>
  </si>
  <si>
    <t>OG0000334</t>
  </si>
  <si>
    <t>OG0000335</t>
  </si>
  <si>
    <t>coronin-like (7)</t>
  </si>
  <si>
    <t>OG0000340</t>
  </si>
  <si>
    <t>OG0000344</t>
  </si>
  <si>
    <t>unassigned (19)</t>
  </si>
  <si>
    <t>unresolved: 19</t>
  </si>
  <si>
    <t>OG0000354</t>
  </si>
  <si>
    <t>OG0000365</t>
  </si>
  <si>
    <t>OG0000393</t>
  </si>
  <si>
    <t>OG0000397</t>
  </si>
  <si>
    <t>OG0000405</t>
  </si>
  <si>
    <t>tetraspanin-like (6)</t>
  </si>
  <si>
    <t>OG0000406</t>
  </si>
  <si>
    <t>unassigned (15)</t>
  </si>
  <si>
    <t>unresolved: 15</t>
  </si>
  <si>
    <t>OG0000412</t>
  </si>
  <si>
    <t>OG0000437</t>
  </si>
  <si>
    <t>actin conventional (13)</t>
  </si>
  <si>
    <t>Canis familiaris; Ciona intestinali;Gallus gallus; Homo sapiens; Monodelphis domestica; Mus musculus; Pan troglodytes; Rattus norvegicus; Fasciola hepatica; Taenia solium</t>
  </si>
  <si>
    <t>specific supported: 13</t>
  </si>
  <si>
    <t>OG0000454</t>
  </si>
  <si>
    <t>OG0000468</t>
  </si>
  <si>
    <t>OG0000471</t>
  </si>
  <si>
    <t>OG0000496</t>
  </si>
  <si>
    <t>unassigned (21)</t>
  </si>
  <si>
    <t>unresolved: 21</t>
  </si>
  <si>
    <t>OG0000497</t>
  </si>
  <si>
    <t>PAK-like (2)</t>
  </si>
  <si>
    <t>PAK-like (2); unassigned (10)</t>
  </si>
  <si>
    <t>specific supported: 2; unresolved: 10</t>
  </si>
  <si>
    <t>OG0000498</t>
  </si>
  <si>
    <t>OG0000504</t>
  </si>
  <si>
    <t>OG0000513</t>
  </si>
  <si>
    <t>OG0000539</t>
  </si>
  <si>
    <t>OG0000544</t>
  </si>
  <si>
    <t>OG0000569</t>
  </si>
  <si>
    <t>OG0000573</t>
  </si>
  <si>
    <t>OG0000574</t>
  </si>
  <si>
    <t>OG0000578</t>
  </si>
  <si>
    <t>OG0000580</t>
  </si>
  <si>
    <t>vinculin (7)</t>
  </si>
  <si>
    <t>OG0000586</t>
  </si>
  <si>
    <t>OG0000595</t>
  </si>
  <si>
    <t>OG0000601</t>
  </si>
  <si>
    <t>OG0000627</t>
  </si>
  <si>
    <t>OG0000628</t>
  </si>
  <si>
    <t>OG0000629</t>
  </si>
  <si>
    <t>KCNH-like (12)</t>
  </si>
  <si>
    <t>KCNH-like (12); unassigned (2)</t>
  </si>
  <si>
    <t>specific supported: 12; unresolved: 2</t>
  </si>
  <si>
    <t>OG0000630</t>
  </si>
  <si>
    <t>OG0000631</t>
  </si>
  <si>
    <t>Grb2 (12)</t>
  </si>
  <si>
    <t>Grb2 (13); unassigned (1)</t>
  </si>
  <si>
    <t>provisional: 1; specific supported: 12; unresolved: 1</t>
  </si>
  <si>
    <t>OG0000659</t>
  </si>
  <si>
    <t>OG0000661</t>
  </si>
  <si>
    <t>unassigned (1)</t>
  </si>
  <si>
    <t>unresolved: 1</t>
  </si>
  <si>
    <t>OG0000664</t>
  </si>
  <si>
    <t>Caenorhabditis elegans; Canis familiaris; Ciona intestinali; Danio rerio; Drosophila melanogaster;Gallus gallus; Homo sapiens; Monodelphis domestica; Mus musculus; Pan troglodytes; Rattus norvegicus; Fasciola hepatica; Taenia solium</t>
  </si>
  <si>
    <t>unassigned (23)</t>
  </si>
  <si>
    <t>unresolved: 23</t>
  </si>
  <si>
    <t>OG0000668</t>
  </si>
  <si>
    <t>OG0000671</t>
  </si>
  <si>
    <t>laminin-like (7)</t>
  </si>
  <si>
    <t>broad supported: 7</t>
  </si>
  <si>
    <t>OG0000673</t>
  </si>
  <si>
    <t>OG0000686</t>
  </si>
  <si>
    <t>Tec family (7)</t>
  </si>
  <si>
    <t>OG0000689</t>
  </si>
  <si>
    <t>OG0000690</t>
  </si>
  <si>
    <t>PKA-like (12)</t>
  </si>
  <si>
    <t>PKA-like (12); unassigned (9)</t>
  </si>
  <si>
    <t>specific supported: 12; unresolved: 9</t>
  </si>
  <si>
    <t>OG0000692</t>
  </si>
  <si>
    <t>dynamin-like (12)</t>
  </si>
  <si>
    <t>dynamin-like (12); unassigned (2)</t>
  </si>
  <si>
    <t>OG0000715</t>
  </si>
  <si>
    <t>OG0000716</t>
  </si>
  <si>
    <t>OG0000718</t>
  </si>
  <si>
    <t>OG0000719</t>
  </si>
  <si>
    <t>OG0000720</t>
  </si>
  <si>
    <t>OG0000722</t>
  </si>
  <si>
    <t>cytohesin-like (7)</t>
  </si>
  <si>
    <t>OG0000723</t>
  </si>
  <si>
    <t>OG0000753</t>
  </si>
  <si>
    <t>OG0000788</t>
  </si>
  <si>
    <t>OG0000789</t>
  </si>
  <si>
    <t>PIP5K-like (11)</t>
  </si>
  <si>
    <t>specific supported: 11</t>
  </si>
  <si>
    <t>OG0000801</t>
  </si>
  <si>
    <t>filamin (14)</t>
  </si>
  <si>
    <t>OG0000809</t>
  </si>
  <si>
    <t>OG0000810</t>
  </si>
  <si>
    <t>OG0000811</t>
  </si>
  <si>
    <t>Caenorhabditis elegans; Canis familiaris; Ciona intestinali; Danio rerio; Drosophila melanogaster;Gallus gallus; Homo sapiens; Monodelphis domestica; Mus musculus; Pan troglodytes; Rattus norvegicus; Tetraodon nigroviridis; Fasciola hepatica</t>
  </si>
  <si>
    <t>OG0000814</t>
  </si>
  <si>
    <t>OG0000818</t>
  </si>
  <si>
    <t>OG0000839</t>
  </si>
  <si>
    <t>OG0000840</t>
  </si>
  <si>
    <t>Canis familiaris; Ciona intestinali; Danio rerio; Drosophila melanogaster;Gallus gallus; Homo sapiens; Monodelphis domestica; Mus musculus; Pan troglodytes; Rattus norvegicus; Tetraodon nigroviridis; Fasciola hepatica</t>
  </si>
  <si>
    <t>OG0000852</t>
  </si>
  <si>
    <t>OG0000865</t>
  </si>
  <si>
    <t>OG0000876</t>
  </si>
  <si>
    <t>Rho GTPase-like (7)</t>
  </si>
  <si>
    <t>OG0000878</t>
  </si>
  <si>
    <t>Caenorhabditis elegans; Danio rerio; Drosophila melanogaster;Gallus gallus; Homo sapiens; Monodelphis domestica; Mus musculus; Pan troglodytes; Rattus norvegicus; Tetraodon nigroviridis; Fasciola hepatica; Taenia solium</t>
  </si>
  <si>
    <t>OG0000880</t>
  </si>
  <si>
    <t>OG0000881</t>
  </si>
  <si>
    <t>KCNH-like (14)</t>
  </si>
  <si>
    <t>OG0000895</t>
  </si>
  <si>
    <t>OG0000925</t>
  </si>
  <si>
    <t>laminin-like (14)</t>
  </si>
  <si>
    <t>OG0000929</t>
  </si>
  <si>
    <t>ASAP AGAP-like (3)</t>
  </si>
  <si>
    <t>ASAP AGAP-like (3); unassigned (3)</t>
  </si>
  <si>
    <t>specific supported: 3; unresolved: 3</t>
  </si>
  <si>
    <t>OG0000943</t>
  </si>
  <si>
    <t>OG0000956</t>
  </si>
  <si>
    <t>OG0000970</t>
  </si>
  <si>
    <t>OG0000974</t>
  </si>
  <si>
    <t>KCNH-like (11)</t>
  </si>
  <si>
    <t>KCNH-like (11); unassigned (1)</t>
  </si>
  <si>
    <t>specific supported: 11; unresolved: 1</t>
  </si>
  <si>
    <t>OG0000979</t>
  </si>
  <si>
    <t>OG0000988</t>
  </si>
  <si>
    <t>PIP5K-like (3)</t>
  </si>
  <si>
    <t>specific supported: 3</t>
  </si>
  <si>
    <t>OG0001009</t>
  </si>
  <si>
    <t>OG0001012</t>
  </si>
  <si>
    <t>ARF GTPase-like (6)</t>
  </si>
  <si>
    <t>OG0001014</t>
  </si>
  <si>
    <t>OG0001016</t>
  </si>
  <si>
    <t>OG0001022</t>
  </si>
  <si>
    <t>OG0001028</t>
  </si>
  <si>
    <t>OG0001032</t>
  </si>
  <si>
    <t>OG0001037</t>
  </si>
  <si>
    <t>talin (11)</t>
  </si>
  <si>
    <t>talin (11); unassigned (3)</t>
  </si>
  <si>
    <t>specific supported: 11; unresolved: 3</t>
  </si>
  <si>
    <t>OG0001049</t>
  </si>
  <si>
    <t>Shc (7)</t>
  </si>
  <si>
    <t>OG0001052</t>
  </si>
  <si>
    <t>OG0001070</t>
  </si>
  <si>
    <t>OG0001071</t>
  </si>
  <si>
    <t>calpain-like (13)</t>
  </si>
  <si>
    <t>OG0001079</t>
  </si>
  <si>
    <t>Caenorhabditis elegans; Canis familiaris; Ciona intestinali; Danio rerio;Gallus gallus; Homo sapiens; Monodelphis domestica; Mus musculus; Pan troglodytes; Rattus norvegicus; Tetraodon nigroviridis; Fasciola hepatica</t>
  </si>
  <si>
    <t>OG0001088</t>
  </si>
  <si>
    <t>OG0001105</t>
  </si>
  <si>
    <t>Caenorhabditis elegans; Canis familiaris; Danio rerio;Gallus gallus; Homo sapiens; Monodelphis domestica; Mus musculus; Pan troglodytes; Rattus norvegicus; Tetraodon nigroviridis; Fasciola hepatica; Taenia solium</t>
  </si>
  <si>
    <t>OG0001109</t>
  </si>
  <si>
    <t>OG0001110</t>
  </si>
  <si>
    <t>Ras GTPase-like (7)</t>
  </si>
  <si>
    <t>OG0001112</t>
  </si>
  <si>
    <t>OG0001114</t>
  </si>
  <si>
    <t>OG0001117</t>
  </si>
  <si>
    <t>OG0001118</t>
  </si>
  <si>
    <t>OG0001152</t>
  </si>
  <si>
    <t>OG0001153</t>
  </si>
  <si>
    <t>paxillin-like (7)</t>
  </si>
  <si>
    <t>OG0001159</t>
  </si>
  <si>
    <t>AKT-like (6)</t>
  </si>
  <si>
    <t>AKT-like (6); unassigned (1)</t>
  </si>
  <si>
    <t>OG0001182</t>
  </si>
  <si>
    <t>OG0001184</t>
  </si>
  <si>
    <t>OG0001198</t>
  </si>
  <si>
    <t>OG0001205</t>
  </si>
  <si>
    <t>OG0001206</t>
  </si>
  <si>
    <t>OG0001211</t>
  </si>
  <si>
    <t>OG0001212</t>
  </si>
  <si>
    <t>OG0001232</t>
  </si>
  <si>
    <t>OG0001233</t>
  </si>
  <si>
    <t>Caenorhabditis elegans; Canis familiaris; Danio rerio; Drosophila melanogaster;Gallus gallus; Homo sapiens; Monodelphis domestica; Pan troglodytes; Tetraodon nigroviridis; Fasciola hepatica; Taenia solium</t>
  </si>
  <si>
    <t>OG0001252</t>
  </si>
  <si>
    <t>OG0001270</t>
  </si>
  <si>
    <t>OG0001280</t>
  </si>
  <si>
    <t>Src (7)</t>
  </si>
  <si>
    <t>Src (7); unassigned (2)</t>
  </si>
  <si>
    <t>specific supported: 7; unresolved: 2</t>
  </si>
  <si>
    <t>OG0001281</t>
  </si>
  <si>
    <t>OG0001284</t>
  </si>
  <si>
    <t>OG0001285</t>
  </si>
  <si>
    <t>OG0001288</t>
  </si>
  <si>
    <t>OG0001292</t>
  </si>
  <si>
    <t>OG0001294</t>
  </si>
  <si>
    <t>OG0001297</t>
  </si>
  <si>
    <t>MAPK-like (10)</t>
  </si>
  <si>
    <t>MAPK-like (10); unassigned (4)</t>
  </si>
  <si>
    <t>specific supported: 10; unresolved: 4</t>
  </si>
  <si>
    <t>OG0001298</t>
  </si>
  <si>
    <t>OG0001309</t>
  </si>
  <si>
    <t>OG0001311</t>
  </si>
  <si>
    <t>OG0001355</t>
  </si>
  <si>
    <t>Abl family (12)</t>
  </si>
  <si>
    <t>Abl family (12); unassigned (2)</t>
  </si>
  <si>
    <t>OG0001359</t>
  </si>
  <si>
    <t>Canis familiaris; Danio rerio; Drosophila melanogaster;Gallus gallus; Homo sapiens; Monodelphis domestica; Mus musculus; Pan troglodytes; Rattus norvegicus; Tetraodon nigroviridis; Fasciola hepatica</t>
  </si>
  <si>
    <t>OG0001364</t>
  </si>
  <si>
    <t>OG0001365</t>
  </si>
  <si>
    <t>OG0001367</t>
  </si>
  <si>
    <t>OG0001369</t>
  </si>
  <si>
    <t>OG0001413</t>
  </si>
  <si>
    <t>OG0001438</t>
  </si>
  <si>
    <t>OG0001444</t>
  </si>
  <si>
    <t>Canis familiaris; Danio rerio;Gallus gallus; Homo sapiens; Monodelphis domestica; Mus musculus; Pan troglodytes; Rattus norvegicus; Tetraodon nigroviridis; Fasciola hepatica; Taenia solium</t>
  </si>
  <si>
    <t>OG0001445</t>
  </si>
  <si>
    <t>tetraspanin-like (12)</t>
  </si>
  <si>
    <t>Canis familiaris; Ciona intestinali; Danio rerio; Drosophila melanogaster;Gallus gallus; Homo sapiens; Mus musculus; Pan troglodytes; Rattus norvegicus; Tetraodon nigroviridis; Fasciola hepatica</t>
  </si>
  <si>
    <t>OG0001449</t>
  </si>
  <si>
    <t>OG0001450</t>
  </si>
  <si>
    <t>OG0001456</t>
  </si>
  <si>
    <t>OG0001467</t>
  </si>
  <si>
    <t>MAPK-like (6)</t>
  </si>
  <si>
    <t>OG0001472</t>
  </si>
  <si>
    <t>OG0001473</t>
  </si>
  <si>
    <t>OG0001474</t>
  </si>
  <si>
    <t>OG0001497</t>
  </si>
  <si>
    <t>Canis familiaris; Ciona intestinali; Danio rerio;Gallus gallus; Homo sapiens; Monodelphis domestica; Mus musculus; Pan troglodytes; Rattus norvegicus; Tetraodon nigroviridis; Fasciola hepatica</t>
  </si>
  <si>
    <t>OG0001512</t>
  </si>
  <si>
    <t>OG0001525</t>
  </si>
  <si>
    <t>OG0001529</t>
  </si>
  <si>
    <t>PTEN-like (7)</t>
  </si>
  <si>
    <t>OG0001546</t>
  </si>
  <si>
    <t>OG0001551</t>
  </si>
  <si>
    <t>OG0001552</t>
  </si>
  <si>
    <t>OG0001554</t>
  </si>
  <si>
    <t>PRKD-like (1)</t>
  </si>
  <si>
    <t>specific supported: 1</t>
  </si>
  <si>
    <t>OG0001560</t>
  </si>
  <si>
    <t>OG0001588</t>
  </si>
  <si>
    <t>OG0001589</t>
  </si>
  <si>
    <t>OG0001593</t>
  </si>
  <si>
    <t>RhoGEF-like (7)</t>
  </si>
  <si>
    <t>RhoGEF-like (7); unassigned (1)</t>
  </si>
  <si>
    <t>specific supported: 7; unresolved: 1</t>
  </si>
  <si>
    <t>OG0001595</t>
  </si>
  <si>
    <t>OG0001601</t>
  </si>
  <si>
    <t>OG0001605</t>
  </si>
  <si>
    <t>OG0001610</t>
  </si>
  <si>
    <t>OG0001615</t>
  </si>
  <si>
    <t>OG0001629</t>
  </si>
  <si>
    <t>OG0001649</t>
  </si>
  <si>
    <t>RAPGEF-like (3)</t>
  </si>
  <si>
    <t>RAPGEF-like (3); unassigned (2)</t>
  </si>
  <si>
    <t>specific supported: 3; unresolved: 2</t>
  </si>
  <si>
    <t>OG0001655</t>
  </si>
  <si>
    <t>Abl family (7)</t>
  </si>
  <si>
    <t>ambiguous: 7</t>
  </si>
  <si>
    <t>OG0001658</t>
  </si>
  <si>
    <t>OG0001659</t>
  </si>
  <si>
    <t>OG0001667</t>
  </si>
  <si>
    <t>OG0001673</t>
  </si>
  <si>
    <t>OG0001687</t>
  </si>
  <si>
    <t>OG0001693</t>
  </si>
  <si>
    <t>OG0001694</t>
  </si>
  <si>
    <t>OG0001733</t>
  </si>
  <si>
    <t>OG0001749</t>
  </si>
  <si>
    <t>OG0001752</t>
  </si>
  <si>
    <t>OG0001753</t>
  </si>
  <si>
    <t>OG0001754</t>
  </si>
  <si>
    <t>OG0001760</t>
  </si>
  <si>
    <t>PPP2-like (7)</t>
  </si>
  <si>
    <t>OG0001763</t>
  </si>
  <si>
    <t>Caenorhabditis elegans; Canis familiaris; Ciona intestinali; Danio rerio; Drosophila melanogaster;Gallus gallus; Homo sapiens; Monodelphis domestica; Mus musculus; Pan troglodytes; Tetraodon nigroviridis; Fasciola hepatica; Taenia solium</t>
  </si>
  <si>
    <t>OG0001773</t>
  </si>
  <si>
    <t>OG0001789</t>
  </si>
  <si>
    <t>OG0001797</t>
  </si>
  <si>
    <t>OG0001803</t>
  </si>
  <si>
    <t>OG0001811</t>
  </si>
  <si>
    <t>OG0001812</t>
  </si>
  <si>
    <t>OG0001824</t>
  </si>
  <si>
    <t>OG0001828</t>
  </si>
  <si>
    <t>OG0001857</t>
  </si>
  <si>
    <t>OG0001865</t>
  </si>
  <si>
    <t>OG0001867</t>
  </si>
  <si>
    <t>OG0001896</t>
  </si>
  <si>
    <t>calreticulin-like (7)</t>
  </si>
  <si>
    <t>OG0001901</t>
  </si>
  <si>
    <t>OG0001902</t>
  </si>
  <si>
    <t>OG0001906</t>
  </si>
  <si>
    <t>OG0001910</t>
  </si>
  <si>
    <t>OG0001932</t>
  </si>
  <si>
    <t>OG0001964</t>
  </si>
  <si>
    <t>OG0001975</t>
  </si>
  <si>
    <t>FAK (6)</t>
  </si>
  <si>
    <t>FAK (6); unassigned (1)</t>
  </si>
  <si>
    <t>OG0001979</t>
  </si>
  <si>
    <t>OG0001982</t>
  </si>
  <si>
    <t>OG0001985</t>
  </si>
  <si>
    <t>OG0001993</t>
  </si>
  <si>
    <t>OG0001999</t>
  </si>
  <si>
    <t>OG0002074</t>
  </si>
  <si>
    <t>OG0002075</t>
  </si>
  <si>
    <t>OG0002078</t>
  </si>
  <si>
    <t>ARF GTPase-like (6); unassigned (1)</t>
  </si>
  <si>
    <t>OG0002084</t>
  </si>
  <si>
    <t>Caenorhabditis elegans; Canis familiaris; Ciona intestinali; Danio rerio; Drosophila melanogaster; Homo sapiens; Monodelphis domestica; Mus musculus; Pan troglodytes; Rattus norvegicus; Tetraodon nigroviridis; Fasciola hepatica; Taenia solium</t>
  </si>
  <si>
    <t>OG0002089</t>
  </si>
  <si>
    <t>OG0002090</t>
  </si>
  <si>
    <t>OG0002094</t>
  </si>
  <si>
    <t>OG0002095</t>
  </si>
  <si>
    <t>OG0002112</t>
  </si>
  <si>
    <t>arp3-like (7)</t>
  </si>
  <si>
    <t>OG0002119</t>
  </si>
  <si>
    <t>OG0002126</t>
  </si>
  <si>
    <t>OG0002127</t>
  </si>
  <si>
    <t>Nck (7)</t>
  </si>
  <si>
    <t>OG0002136</t>
  </si>
  <si>
    <t>OG0002163</t>
  </si>
  <si>
    <t>cofilin (2)</t>
  </si>
  <si>
    <t>cofilin (2); unassigned (6)</t>
  </si>
  <si>
    <t>ambiguous: 6; specific supported: 2</t>
  </si>
  <si>
    <t>OG0002168</t>
  </si>
  <si>
    <t>OG0002201</t>
  </si>
  <si>
    <t>OG0002202</t>
  </si>
  <si>
    <t>OG0002214</t>
  </si>
  <si>
    <t>OG0002221</t>
  </si>
  <si>
    <t>cofilin (1)</t>
  </si>
  <si>
    <t>cofilin (1); unassigned (6)</t>
  </si>
  <si>
    <t>ambiguous: 6; specific supported: 1</t>
  </si>
  <si>
    <t>OG0002234</t>
  </si>
  <si>
    <t>OG0002266</t>
  </si>
  <si>
    <t>OG0002337</t>
  </si>
  <si>
    <t>OG0002363</t>
  </si>
  <si>
    <t>OG0002365</t>
  </si>
  <si>
    <t>OG0002366</t>
  </si>
  <si>
    <t>Canis familiaris; Danio rerio;Gallus gallus; Homo sapiens; Monodelphis domestica; Mus musculus; Pan troglodytes; Rattus norvegicus; Tetraodon nigroviridis; Fasciola hepatica</t>
  </si>
  <si>
    <t>OG0002371</t>
  </si>
  <si>
    <t>OG0002372</t>
  </si>
  <si>
    <t>OG0002375</t>
  </si>
  <si>
    <t>PKC-like (7)</t>
  </si>
  <si>
    <t>OG0002376</t>
  </si>
  <si>
    <t>OG0002384</t>
  </si>
  <si>
    <t>OG0002412</t>
  </si>
  <si>
    <t>OG0002414</t>
  </si>
  <si>
    <t>OG0002420</t>
  </si>
  <si>
    <t>OG0002436</t>
  </si>
  <si>
    <t>OG0002444</t>
  </si>
  <si>
    <t>OG0002480</t>
  </si>
  <si>
    <t>OG0002486</t>
  </si>
  <si>
    <t>OG0002514</t>
  </si>
  <si>
    <t>OG0002532</t>
  </si>
  <si>
    <t>Canis familiaris; Ciona intestinali; Danio rerio;Gallus gallus; Homo sapiens; Monodelphis domestica; Mus musculus; Pan troglodytes; Rattus norvegicus; Tetraodon nigroviridis; Taenia solium</t>
  </si>
  <si>
    <t>OG0002550</t>
  </si>
  <si>
    <t>OG0002556</t>
  </si>
  <si>
    <t>SYK (1)</t>
  </si>
  <si>
    <t>SYK (1); unassigned (6)</t>
  </si>
  <si>
    <t>specific supported: 1; unresolved: 6</t>
  </si>
  <si>
    <t>OG0002560</t>
  </si>
  <si>
    <t>OG0002562</t>
  </si>
  <si>
    <t>OG0002564</t>
  </si>
  <si>
    <t>OG0002604</t>
  </si>
  <si>
    <t>OG0002632</t>
  </si>
  <si>
    <t>RAPGEF-like (2)</t>
  </si>
  <si>
    <t>specific supported: 2</t>
  </si>
  <si>
    <t>OG0002639</t>
  </si>
  <si>
    <t>OG0002658</t>
  </si>
  <si>
    <t>OG0002702</t>
  </si>
  <si>
    <t>OG0002704</t>
  </si>
  <si>
    <t>arp4-like (7)</t>
  </si>
  <si>
    <t>OG0002735</t>
  </si>
  <si>
    <t>OG0002739</t>
  </si>
  <si>
    <t>Caenorhabditis elegans; Canis familiaris; Ciona intestinali; Danio rerio; Drosophila melanogaster;Gallus gallus; Homo sapiens; Monodelphis domestica; Mus musculus; Pan troglodytes; Rattus norvegicus; Tetraodon nigroviridis</t>
  </si>
  <si>
    <t>OG0002740</t>
  </si>
  <si>
    <t>actin conventional (1); arp1-like (7)</t>
  </si>
  <si>
    <t>specific supported: 8</t>
  </si>
  <si>
    <t>OG0002743</t>
  </si>
  <si>
    <t>OG0002753</t>
  </si>
  <si>
    <t>OG0002766</t>
  </si>
  <si>
    <t>OG0002771</t>
  </si>
  <si>
    <t>OG0002778</t>
  </si>
  <si>
    <t>OG0002803</t>
  </si>
  <si>
    <t>OG0002818</t>
  </si>
  <si>
    <t>OG0002862</t>
  </si>
  <si>
    <t>ARPC2-like (14)</t>
  </si>
  <si>
    <t>OG0002870</t>
  </si>
  <si>
    <t>OG0002892</t>
  </si>
  <si>
    <t>OG0002917</t>
  </si>
  <si>
    <t>OG0002926</t>
  </si>
  <si>
    <t>OG0002927</t>
  </si>
  <si>
    <t>OG0002928</t>
  </si>
  <si>
    <t>OG0002932</t>
  </si>
  <si>
    <t>Caenorhabditis elegans; Canis familiaris; Danio rerio; Homo sapiens; Monodelphis domestica; Mus musculus; Pan troglodytes; Rattus norvegicus; Tetraodon nigroviridis; Fasciola hepatica</t>
  </si>
  <si>
    <t>OG0002940</t>
  </si>
  <si>
    <t>Gallus gallus; Fasciola hepatica; Taenia solium</t>
  </si>
  <si>
    <t>OG0002945</t>
  </si>
  <si>
    <t>Pan troglodytes; Fasciola hepatica; Taenia solium</t>
  </si>
  <si>
    <t>OG0002962</t>
  </si>
  <si>
    <t>OG0002965</t>
  </si>
  <si>
    <t>OG0002993</t>
  </si>
  <si>
    <t>OG0002994</t>
  </si>
  <si>
    <t>OG0003082</t>
  </si>
  <si>
    <t>Canis familiaris; Danio rerio;Gallus gallus; Homo sapiens; Monodelphis domestica; Mus musculus; Pan troglodytes; Rattus norvegicus; Tetraodon nigroviridis; Taenia solium</t>
  </si>
  <si>
    <t>OG0003088</t>
  </si>
  <si>
    <t>OG0003089</t>
  </si>
  <si>
    <t>OG0003104</t>
  </si>
  <si>
    <t>OG0003105</t>
  </si>
  <si>
    <t>OG0003110</t>
  </si>
  <si>
    <t>OG0003127</t>
  </si>
  <si>
    <t>OG0003224</t>
  </si>
  <si>
    <t>OG0003227</t>
  </si>
  <si>
    <t>OG0003231</t>
  </si>
  <si>
    <t>OG0003235</t>
  </si>
  <si>
    <t>Caenorhabditis elegans; Canis familiaris; Drosophila melanogaster; Homo sapiens; Monodelphis domestica; Mus musculus; Pan troglodytes; Rattus norvegicus; Tetraodon nigroviridis; Fasciola hepatica; Taenia solium</t>
  </si>
  <si>
    <t>OG0003236</t>
  </si>
  <si>
    <t>Caenorhabditis elegans; Canis familiaris; Ciona intestinali; Danio rerio; Drosophila melanogaster;Gallus gallus; Homo sapiens; Mus musculus; Pan troglodytes; Tetraodon nigroviridis; Fasciola hepatica; Taenia solium</t>
  </si>
  <si>
    <t>OG0003240</t>
  </si>
  <si>
    <t>OG0003252</t>
  </si>
  <si>
    <t>OG0003264</t>
  </si>
  <si>
    <t>OG0003317</t>
  </si>
  <si>
    <t>OG0003410</t>
  </si>
  <si>
    <t>OG0003413</t>
  </si>
  <si>
    <t>Caenorhabditis elegans; Drosophila melanogaster; Fasciola hepatica; Taenia solium</t>
  </si>
  <si>
    <t>OG0003415</t>
  </si>
  <si>
    <t>OG0003416</t>
  </si>
  <si>
    <t>OG0003422</t>
  </si>
  <si>
    <t>OG0003424</t>
  </si>
  <si>
    <t>OG0003446</t>
  </si>
  <si>
    <t>OG0003491</t>
  </si>
  <si>
    <t>OG0003626</t>
  </si>
  <si>
    <t>OG0003628</t>
  </si>
  <si>
    <t>HSP70-like (7)</t>
  </si>
  <si>
    <t>OG0003629</t>
  </si>
  <si>
    <t>OG0003633</t>
  </si>
  <si>
    <t>Danio rerio; Drosophila melanogaster;Gallus gallus; Monodelphis domestica; Tetraodon nigroviridis; Fasciola hepatica; Taenia solium</t>
  </si>
  <si>
    <t>OG0003646</t>
  </si>
  <si>
    <t>dynamin-like (7)</t>
  </si>
  <si>
    <t>OG0003647</t>
  </si>
  <si>
    <t>OG0003655</t>
  </si>
  <si>
    <t>OG0003677</t>
  </si>
  <si>
    <t>arp2-like (7)</t>
  </si>
  <si>
    <t>OG0003685</t>
  </si>
  <si>
    <t>OG0003686</t>
  </si>
  <si>
    <t>OG0003720</t>
  </si>
  <si>
    <t>OG0003733</t>
  </si>
  <si>
    <t>OG0003763</t>
  </si>
  <si>
    <t>OG0003808</t>
  </si>
  <si>
    <t>OG0003819</t>
  </si>
  <si>
    <t>OG0003826</t>
  </si>
  <si>
    <t>OG0003858</t>
  </si>
  <si>
    <t>OG0003875</t>
  </si>
  <si>
    <t>OG0003908</t>
  </si>
  <si>
    <t>ambiguous: 6</t>
  </si>
  <si>
    <t>OG0003948</t>
  </si>
  <si>
    <t>Caenorhabditis elegans; Ciona intestinali; Danio rerio; Drosophila melanogaster;Gallus gallus; Homo sapiens; Monodelphis domestica; Mus musculus; Pan troglodytes; Rattus norvegicus; Tetraodon nigroviridis; Fasciola hepatica; Taenia solium</t>
  </si>
  <si>
    <t>OG0003968</t>
  </si>
  <si>
    <t>OG0003975</t>
  </si>
  <si>
    <t>OG0003979</t>
  </si>
  <si>
    <t>ILK (8)</t>
  </si>
  <si>
    <t>OG0004053</t>
  </si>
  <si>
    <t>OG0004089</t>
  </si>
  <si>
    <t>OG0004100</t>
  </si>
  <si>
    <t>Caenorhabditis elegans; Danio rerio; Drosophila melanogaster; Monodelphis domestica; Fasciola hepatica</t>
  </si>
  <si>
    <t>OG0004119</t>
  </si>
  <si>
    <t>OG0004138</t>
  </si>
  <si>
    <t>OG0004168</t>
  </si>
  <si>
    <t>Canis familiaris; Ciona intestinali; Danio rerio; Drosophila melanogaster;Gallus gallus; Homo sapiens; Monodelphis domestica; Mus musculus; Pan troglodytes; Rattus norvegicus; Fasciola hepatica; Taenia solium</t>
  </si>
  <si>
    <t>OG0004227</t>
  </si>
  <si>
    <t>OG0004230</t>
  </si>
  <si>
    <t>Caenorhabditis elegans; Canis familiaris; Ciona intestinali; Danio rerio;Gallus gallus; Homo sapiens; Monodelphis domestica; Mus musculus; Pan troglodytes; Rattus norvegicus; Tetraodon nigroviridis</t>
  </si>
  <si>
    <t>OG0004255</t>
  </si>
  <si>
    <t>Caenorhabditis elegans; Canis familiaris; Ciona intestinali; Danio rerio; Drosophila melanogaster;Gallus gallus; Homo sapiens; Mus musculus; Pan troglodytes; Rattus norvegicus; Tetraodon nigroviridis; Fasciola hepatica; Taenia solium</t>
  </si>
  <si>
    <t>OG0004287</t>
  </si>
  <si>
    <t>OG0004334</t>
  </si>
  <si>
    <t>OG0004338</t>
  </si>
  <si>
    <t>Caenorhabditis elegans; Canis familiaris; Ciona intestinali; Danio rerio; Drosophila melanogaster; Homo sapiens; Monodelphis domestica; Mus musculus; Pan troglodytes; Tetraodon nigroviridis; Fasciola hepatica</t>
  </si>
  <si>
    <t>OG0004359</t>
  </si>
  <si>
    <t>OG0004374</t>
  </si>
  <si>
    <t>PDPK1-like (6)</t>
  </si>
  <si>
    <t>OG0004421</t>
  </si>
  <si>
    <t>OG0004428</t>
  </si>
  <si>
    <t>OG0004454</t>
  </si>
  <si>
    <t>OG0004518</t>
  </si>
  <si>
    <t>OG0004589</t>
  </si>
  <si>
    <t>OG0004678</t>
  </si>
  <si>
    <t>OG0004679</t>
  </si>
  <si>
    <t>OG0004680</t>
  </si>
  <si>
    <t>OG0004699</t>
  </si>
  <si>
    <t>PKA-like (4)</t>
  </si>
  <si>
    <t>PKA-like (4); unassigned (3)</t>
  </si>
  <si>
    <t>OG0004715</t>
  </si>
  <si>
    <t>OG0004716</t>
  </si>
  <si>
    <t>OG0004718</t>
  </si>
  <si>
    <t>OG0004829</t>
  </si>
  <si>
    <t>OG0004843</t>
  </si>
  <si>
    <t>OG0004844</t>
  </si>
  <si>
    <t>OG0004849</t>
  </si>
  <si>
    <t>OG0004856</t>
  </si>
  <si>
    <t>OG0004903</t>
  </si>
  <si>
    <t>OG0004913</t>
  </si>
  <si>
    <t>OG0004928</t>
  </si>
  <si>
    <t>arp6-like (7)</t>
  </si>
  <si>
    <t>OG0004940</t>
  </si>
  <si>
    <t>OG0004963</t>
  </si>
  <si>
    <t>OG0005052</t>
  </si>
  <si>
    <t>OG0005073</t>
  </si>
  <si>
    <t>OG0005082</t>
  </si>
  <si>
    <t>arp10-like (7)</t>
  </si>
  <si>
    <t>OG0005112</t>
  </si>
  <si>
    <t>OG0005156</t>
  </si>
  <si>
    <t>OG0005206</t>
  </si>
  <si>
    <t>OG0005269</t>
  </si>
  <si>
    <t>OG0005309</t>
  </si>
  <si>
    <t>OG0005315</t>
  </si>
  <si>
    <t>OG0005316</t>
  </si>
  <si>
    <t>OG0005322</t>
  </si>
  <si>
    <t>OG0005327</t>
  </si>
  <si>
    <t>OG0005329</t>
  </si>
  <si>
    <t>OG0005335</t>
  </si>
  <si>
    <t>Canis familiaris; Ciona intestinali; Danio rerio; Drosophila melanogaster; Homo sapiens; Monodelphis domestica; Mus musculus; Pan troglodytes; Rattus norvegicus; Tetraodon nigroviridis; Fasciola hepatica; Taenia solium</t>
  </si>
  <si>
    <t>OG0005349</t>
  </si>
  <si>
    <t>OG0005368</t>
  </si>
  <si>
    <t>OG0005372</t>
  </si>
  <si>
    <t>OG0005441</t>
  </si>
  <si>
    <t>OG0005624</t>
  </si>
  <si>
    <t>OG0005634</t>
  </si>
  <si>
    <t>OG0005729</t>
  </si>
  <si>
    <t>OG0005736</t>
  </si>
  <si>
    <t>OG0005781</t>
  </si>
  <si>
    <t>OG0005783</t>
  </si>
  <si>
    <t>OG0005829</t>
  </si>
  <si>
    <t>OG0005914</t>
  </si>
  <si>
    <t>OG0005916</t>
  </si>
  <si>
    <t>Caenorhabditis elegans; Canis familiaris; Danio rerio; Drosophila melanogaster;Gallus gallus; Homo sapiens; Monodelphis domestica; Mus musculus; Pan troglodytes; Rattus norvegicus; Tetraodon nigroviridis</t>
  </si>
  <si>
    <t>OG0005923</t>
  </si>
  <si>
    <t>Ciona intestinali; Drosophila melanogaster; Taenia solium</t>
  </si>
  <si>
    <t>OG0006003</t>
  </si>
  <si>
    <t>Danio rerio; Drosophila melanogaster; Tetraodon nigroviridis; Fasciola hepatica; Taenia solium</t>
  </si>
  <si>
    <t>OG0006004</t>
  </si>
  <si>
    <t>OG0006008</t>
  </si>
  <si>
    <t>Caenorhabditis elegans; Canis familiaris; Ciona intestinali; Danio rerio;Gallus gallus; Homo sapiens; Monodelphis domestica; Mus musculus; Pan troglodytes; Rattus norvegicus; Tetraodon nigroviridis; Taenia solium</t>
  </si>
  <si>
    <t>OG0006011</t>
  </si>
  <si>
    <t>Canis familiaris; Ciona intestinali; Danio rerio; Homo sapiens; Monodelphis domestica; Mus musculus; Pan troglodytes; Rattus norvegicus; Tetraodon nigroviridis; Fasciola hepatica; Taenia solium</t>
  </si>
  <si>
    <t>OG0006012</t>
  </si>
  <si>
    <t>OG0006043</t>
  </si>
  <si>
    <t>Caenorhabditis elegans; Canis familiaris; Danio rerio; Drosophila melanogaster;Gallus gallus; Homo sapiens; Mus musculus; Pan troglodytes; Rattus norvegicus; Tetraodon nigroviridis; Fasciola hepatica; Taenia solium</t>
  </si>
  <si>
    <t>OG0006047</t>
  </si>
  <si>
    <t>tetraspanin-like (9)</t>
  </si>
  <si>
    <t>Caenorhabditis elegans; Ciona intestinali; Fasciola hepatica; Taenia solium</t>
  </si>
  <si>
    <t>specific supported: 9</t>
  </si>
  <si>
    <t>OG0006049</t>
  </si>
  <si>
    <t>OG0006149</t>
  </si>
  <si>
    <t>Caenorhabditis elegans; Canis familiaris; Ciona intestinali; Danio rerio; Drosophila melanogaster; Homo sapiens; Mus musculus; Pan troglodytes; Rattus norvegicus; Tetraodon nigroviridis; Fasciola hepatica; Taenia solium</t>
  </si>
  <si>
    <t>OG0006176</t>
  </si>
  <si>
    <t>OG0006209</t>
  </si>
  <si>
    <t>actin (6)</t>
  </si>
  <si>
    <t>broad supported: 6</t>
  </si>
  <si>
    <t>OG0006310</t>
  </si>
  <si>
    <t>OG0006346</t>
  </si>
  <si>
    <t>Canis familiaris; Ciona intestinali; Danio rerio; Drosophila melanogaster;Gallus gallus; Homo sapiens; Monodelphis domestica; Mus musculus; Rattus norvegicus; Tetraodon nigroviridis; Fasciola hepatica; Taenia solium</t>
  </si>
  <si>
    <t>OG0006353</t>
  </si>
  <si>
    <t>Caenorhabditis elegans; Tetraodon nigroviridis; Fasciola hepatica; Taenia solium</t>
  </si>
  <si>
    <t>unassigned (11)</t>
  </si>
  <si>
    <t>unresolved: 11</t>
  </si>
  <si>
    <t>OG0006355</t>
  </si>
  <si>
    <t>OG0006377</t>
  </si>
  <si>
    <t>calpain-like (7)</t>
  </si>
  <si>
    <t>OG0006394</t>
  </si>
  <si>
    <t>Caenorhabditis elegans; Canis familiaris; Ciona intestinali; Danio rerio; Drosophila melanogaster; Homo sapiens; Monodelphis domestica; Mus musculus; Pan troglodytes; Rattus norvegicus; Tetraodon nigroviridis; Fasciola hepatica</t>
  </si>
  <si>
    <t>OG0006431</t>
  </si>
  <si>
    <t>OG0006501</t>
  </si>
  <si>
    <t>Canis familiaris; Ciona intestinali; Danio rerio; Homo sapiens; Monodelphis domestica; Mus musculus; Pan troglodytes; Rattus norvegicus; Fasciola hepatica; Taenia solium</t>
  </si>
  <si>
    <t>OG0006637</t>
  </si>
  <si>
    <t>integrin alpha (3)</t>
  </si>
  <si>
    <t>integrin alpha (3); unassigned (9)</t>
  </si>
  <si>
    <t>specific supported: 3; unresolved: 9</t>
  </si>
  <si>
    <t>OG0006646</t>
  </si>
  <si>
    <t>Canis familiaris;Gallus gallus; Homo sapiens; Monodelphis domestica; Mus musculus; Pan troglodytes; Rattus norvegicus; Tetraodon nigroviridis; Taenia solium</t>
  </si>
  <si>
    <t>OG0006647</t>
  </si>
  <si>
    <t>Caenorhabditis elegans; Drosophila melanogaster; Tetraodon nigroviridis; Fasciola hepatica; Taenia solium</t>
  </si>
  <si>
    <t>OG0006651</t>
  </si>
  <si>
    <t>Ciona intestinali; Danio rerio; Drosophila melanogaster;Gallus gallus; Homo sapiens; Monodelphis domestica; Mus musculus; Pan troglodytes; Rattus norvegicus; Tetraodon nigroviridis; Taenia solium</t>
  </si>
  <si>
    <t>OG0006654</t>
  </si>
  <si>
    <t>Canis familiaris; Ciona intestinali; Danio rerio; Drosophila melanogaster; Homo sapiens; Monodelphis domestica; Mus musculus; Pan troglodytes; Rattus norvegicus; Tetraodon nigroviridis; Fasciola hepatica</t>
  </si>
  <si>
    <t>OG0006655</t>
  </si>
  <si>
    <t>Canis familiaris; Ciona intestinali; Danio rerio;Gallus gallus; Homo sapiens; Monodelphis domestica; Mus musculus; Pan troglodytes; Rattus norvegicus; Fasciola hepatica</t>
  </si>
  <si>
    <t>OG0006660</t>
  </si>
  <si>
    <t>PKC-like (13)</t>
  </si>
  <si>
    <t>OG0006680</t>
  </si>
  <si>
    <t>Caenorhabditis elegans; Fasciola hepatica</t>
  </si>
  <si>
    <t>OG0006717</t>
  </si>
  <si>
    <t>Caenorhabditis elegans; Canis familiaris; Ciona intestinali; Danio rerio; Drosophila melanogaster; Homo sapiens; Monodelphis domestica; Mus musculus; Pan troglodytes; Rattus norvegicus; Tetraodon nigroviridis</t>
  </si>
  <si>
    <t>OG0006780</t>
  </si>
  <si>
    <t>actin (4); arp8-like (2)</t>
  </si>
  <si>
    <t>broad supported: 4; specific supported: 2</t>
  </si>
  <si>
    <t>OG0006820</t>
  </si>
  <si>
    <t>OG0006901</t>
  </si>
  <si>
    <t>OG0006915</t>
  </si>
  <si>
    <t>PABP-like (1)</t>
  </si>
  <si>
    <t>Caenorhabditis elegans; Ciona intestinali; Danio rerio; Drosophila melanogaster; Fasciola hepatica; Taenia solium</t>
  </si>
  <si>
    <t>PABP-like (1); unassigned (5)</t>
  </si>
  <si>
    <t>specific supported: 1; unresolved: 5</t>
  </si>
  <si>
    <t>OG0006932</t>
  </si>
  <si>
    <t>Caenorhabditis elegans; Canis familiaris; Ciona intestinali; Danio rerio;Gallus gallus; Homo sapiens; Monodelphis domestica; Mus musculus; Pan troglodytes; Rattus norvegicus</t>
  </si>
  <si>
    <t>OG0007000</t>
  </si>
  <si>
    <t>OG0007136</t>
  </si>
  <si>
    <t>OG0007201</t>
  </si>
  <si>
    <t>Canis familiaris; Ciona intestinali;Gallus gallus; Homo sapiens; Monodelphis domestica; Mus musculus; Pan troglodytes; Rattus norvegicus; Fasciola hepatica</t>
  </si>
  <si>
    <t>OG0007296</t>
  </si>
  <si>
    <t>OG0007377</t>
  </si>
  <si>
    <t>OG0007431</t>
  </si>
  <si>
    <t>Canis familiaris; Ciona intestinali; Danio rerio; Homo sapiens; Mus musculus; Pan troglodytes; Rattus norvegicus; Fasciola hepatica</t>
  </si>
  <si>
    <t>OG0007465</t>
  </si>
  <si>
    <t>OG0007495</t>
  </si>
  <si>
    <t>Caenorhabditis elegans; Drosophila melanogaster;Gallus gallus; Fasciola hepatica; Taenia solium</t>
  </si>
  <si>
    <t>OG0007507</t>
  </si>
  <si>
    <t>OG0007731</t>
  </si>
  <si>
    <t>OG0007752</t>
  </si>
  <si>
    <t>Canis familiaris; Homo sapiens; Mus musculus; Pan troglodytes; Rattus norvegicus; Fasciola hepatica</t>
  </si>
  <si>
    <t>OG0008032</t>
  </si>
  <si>
    <t>Ciona intestinali; Homo sapiens; Monodelphis domestica; Mus musculus; Pan troglodytes; Rattus norvegicus; Fasciola hepatica</t>
  </si>
  <si>
    <t>OG0008036</t>
  </si>
  <si>
    <t>unassigned (10)</t>
  </si>
  <si>
    <t>unresolved: 10</t>
  </si>
  <si>
    <t>OG0008065</t>
  </si>
  <si>
    <t>OG0008451</t>
  </si>
  <si>
    <t>OG0008484</t>
  </si>
  <si>
    <t>actin conventional (8)</t>
  </si>
  <si>
    <t>OG0008491</t>
  </si>
  <si>
    <t>Ciona intestinali; Drosophila melanogaster; Fasciola hepatica; Taenia solium</t>
  </si>
  <si>
    <t>OG0008492</t>
  </si>
  <si>
    <t>Danio rerio; Tetraodon nigroviridis; Fasciola hepatica; Taenia solium</t>
  </si>
  <si>
    <t>OG0008497</t>
  </si>
  <si>
    <t>Drosophila melanogaster; Fasciola hepatica</t>
  </si>
  <si>
    <t>OG0008499</t>
  </si>
  <si>
    <t>OG0008502</t>
  </si>
  <si>
    <t>Gallus gallus; Monodelphis domestica; Fasciola hepatica; Taenia solium</t>
  </si>
  <si>
    <t>OG0008511</t>
  </si>
  <si>
    <t>OG0008512</t>
  </si>
  <si>
    <t>alpha actinin (7)</t>
  </si>
  <si>
    <t>alpha actinin (8)</t>
  </si>
  <si>
    <t>provisional: 1; specific supported: 7</t>
  </si>
  <si>
    <t>OG0009008</t>
  </si>
  <si>
    <t>Gallus gallus; Tetraodon nigroviridis; Fasciola hepatica; Taenia solium</t>
  </si>
  <si>
    <t>OG0009054</t>
  </si>
  <si>
    <t>OG0009057</t>
  </si>
  <si>
    <t>OG0009061</t>
  </si>
  <si>
    <t>OG0009102</t>
  </si>
  <si>
    <t>OG0009109</t>
  </si>
  <si>
    <t>OG0009113</t>
  </si>
  <si>
    <t>Rho GTPase-like (8)</t>
  </si>
  <si>
    <t>Taenia solium</t>
  </si>
  <si>
    <t>OG0009122</t>
  </si>
  <si>
    <t>tubulin-like (7)</t>
  </si>
  <si>
    <t>OG0009123</t>
  </si>
  <si>
    <t>OG0009130</t>
  </si>
  <si>
    <t>OG0009134</t>
  </si>
  <si>
    <t>PAK-like (7)</t>
  </si>
  <si>
    <t>OG0009146</t>
  </si>
  <si>
    <t>OG0009147</t>
  </si>
  <si>
    <t>OG0009156</t>
  </si>
  <si>
    <t>PINCH-like (7)</t>
  </si>
  <si>
    <t>OG0009188</t>
  </si>
  <si>
    <t>OG0009846</t>
  </si>
  <si>
    <t>OG0009857</t>
  </si>
  <si>
    <t>collagen-like (6)</t>
  </si>
  <si>
    <t>collagen-like (6); unassigned (1)</t>
  </si>
  <si>
    <t>broad supported: 6; unresolved: 1</t>
  </si>
  <si>
    <t>OG0009880</t>
  </si>
  <si>
    <t>OG0009881</t>
  </si>
  <si>
    <t>OG0009897</t>
  </si>
  <si>
    <t>OG0009923</t>
  </si>
  <si>
    <t>OG0009954</t>
  </si>
  <si>
    <t>OG0010550</t>
  </si>
  <si>
    <t>OG0010579</t>
  </si>
  <si>
    <t>OG0010614</t>
  </si>
  <si>
    <t>OG0010627</t>
  </si>
  <si>
    <t>OG0010633</t>
  </si>
  <si>
    <t>OG0010666</t>
  </si>
  <si>
    <t>OG0010669</t>
  </si>
  <si>
    <t>OG0010672</t>
  </si>
  <si>
    <t>OG0010713</t>
  </si>
  <si>
    <t>OG0010730</t>
  </si>
  <si>
    <t>OG0010768</t>
  </si>
  <si>
    <t>OG0010793</t>
  </si>
  <si>
    <t>OG0010813</t>
  </si>
  <si>
    <t>OG0010817</t>
  </si>
  <si>
    <t>OG0010862</t>
  </si>
  <si>
    <t>OG0010877</t>
  </si>
  <si>
    <t>OG0010934</t>
  </si>
  <si>
    <t>OG0010937</t>
  </si>
  <si>
    <t>OG0010948</t>
  </si>
  <si>
    <t>OG0010988</t>
  </si>
  <si>
    <t>OG0010990</t>
  </si>
  <si>
    <t>OG0010993</t>
  </si>
  <si>
    <t>Canis familiaris; Pan troglodytes; Tetraodon nigroviridis</t>
  </si>
  <si>
    <t>OG0010995</t>
  </si>
  <si>
    <t>Caenorhabditis elegans; Ciona intestinali; Danio rerio; Drosophila melanogaster;Gallus gallus; Tetraodon nigroviridis; Taenia solium</t>
  </si>
  <si>
    <t>OG0011006</t>
  </si>
  <si>
    <t>OG0011014</t>
  </si>
  <si>
    <t>OG0011457</t>
  </si>
  <si>
    <t>OG0011479</t>
  </si>
  <si>
    <t>OG0011558</t>
  </si>
  <si>
    <t>OG0011562</t>
  </si>
  <si>
    <t>OG0011637</t>
  </si>
  <si>
    <t>OG0011675</t>
  </si>
  <si>
    <t>OG0011693</t>
  </si>
  <si>
    <t>OG0011710</t>
  </si>
  <si>
    <t>OG0011764</t>
  </si>
  <si>
    <t>OG0011779</t>
  </si>
  <si>
    <t>OG0011849</t>
  </si>
  <si>
    <t>OG0012309</t>
  </si>
  <si>
    <t>OG0012342</t>
  </si>
  <si>
    <t>OG0012401</t>
  </si>
  <si>
    <t>OG0012494</t>
  </si>
  <si>
    <t>OG0012527</t>
  </si>
  <si>
    <t>OG0012564</t>
  </si>
  <si>
    <t>tubulin-like (6)</t>
  </si>
  <si>
    <t>OG0012566</t>
  </si>
  <si>
    <t>OG0013725</t>
  </si>
  <si>
    <t>profilin (4)</t>
  </si>
  <si>
    <t>specific supported: 4</t>
  </si>
  <si>
    <t>OG0017640</t>
  </si>
  <si>
    <t>OG0017646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</si>
</sst>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sz val="10"/>
      <color rgb="FF334155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752"/>
      </patternFill>
    </fill>
    <fill>
      <patternFill patternType="solid">
        <fgColor rgb="FFEFF6FC"/>
      </patternFill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opLeftCell="G1" workbookViewId="0">
      <pane ySplit="4" topLeftCell="A5" activePane="bottomLeft" state="frozen"/>
      <selection pane="bottomLeft" activeCell="L16" sqref="L16"/>
    </sheetView>
  </sheetViews>
  <sheetFormatPr defaultRowHeight="14"/>
  <cols>
    <col min="1" max="1" width="18" customWidth="1"/>
    <col min="2" max="2" width="39" customWidth="1"/>
    <col min="3" max="10" width="13" customWidth="1"/>
    <col min="11" max="11" width="15" customWidth="1"/>
    <col min="12" max="15" width="16" customWidth="1"/>
    <col min="16" max="16" width="47" customWidth="1"/>
    <col min="17" max="17" width="38" customWidth="1"/>
    <col min="18" max="18" width="30" customWidth="1"/>
  </cols>
  <sheetData>
    <row r="1" spans="1:18" ht="34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7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4" spans="1:18" ht="2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35" customHeight="1">
      <c r="A5" t="s">
        <v>20</v>
      </c>
      <c r="B5" s="3" t="s">
        <v>21</v>
      </c>
      <c r="C5">
        <v>29</v>
      </c>
      <c r="D5" s="2">
        <v>8</v>
      </c>
      <c r="E5" s="2">
        <v>1</v>
      </c>
      <c r="F5" s="2">
        <v>5</v>
      </c>
      <c r="G5" s="2">
        <v>3</v>
      </c>
      <c r="H5" s="2">
        <v>2</v>
      </c>
      <c r="I5" s="2">
        <v>2</v>
      </c>
      <c r="J5" s="2">
        <v>8</v>
      </c>
      <c r="K5" s="2">
        <f t="shared" ref="K5:K50" si="0">MAX(D5:J5)-MIN(D5:J5)</f>
        <v>7</v>
      </c>
      <c r="L5" s="2">
        <f t="shared" ref="L5:L50" si="1">COUNTIF(D5:J5,"&gt;0")</f>
        <v>7</v>
      </c>
      <c r="M5" s="2">
        <f t="shared" ref="M5:M50" si="2">SUM(D5:J5)</f>
        <v>29</v>
      </c>
      <c r="N5" s="2">
        <v>0</v>
      </c>
      <c r="O5" s="2">
        <v>1</v>
      </c>
      <c r="P5" t="s">
        <v>22</v>
      </c>
      <c r="Q5" s="3" t="s">
        <v>21</v>
      </c>
      <c r="R5" s="3" t="s">
        <v>23</v>
      </c>
    </row>
    <row r="6" spans="1:18" ht="35" customHeight="1">
      <c r="A6" t="s">
        <v>24</v>
      </c>
      <c r="B6" s="3" t="s">
        <v>25</v>
      </c>
      <c r="C6">
        <v>23</v>
      </c>
      <c r="D6" s="2">
        <v>7</v>
      </c>
      <c r="E6" s="2">
        <v>0</v>
      </c>
      <c r="F6" s="2">
        <v>7</v>
      </c>
      <c r="G6" s="2">
        <v>3</v>
      </c>
      <c r="H6" s="2">
        <v>2</v>
      </c>
      <c r="I6" s="2">
        <v>2</v>
      </c>
      <c r="J6" s="2">
        <v>3</v>
      </c>
      <c r="K6" s="2">
        <f t="shared" si="0"/>
        <v>7</v>
      </c>
      <c r="L6" s="2">
        <f t="shared" si="1"/>
        <v>6</v>
      </c>
      <c r="M6" s="2">
        <f t="shared" si="2"/>
        <v>24</v>
      </c>
      <c r="N6" s="2">
        <v>1</v>
      </c>
      <c r="O6" s="2">
        <v>14</v>
      </c>
      <c r="P6" t="s">
        <v>26</v>
      </c>
      <c r="Q6" s="3" t="s">
        <v>27</v>
      </c>
      <c r="R6" s="3" t="s">
        <v>28</v>
      </c>
    </row>
    <row r="7" spans="1:18" ht="35" customHeight="1">
      <c r="A7" t="s">
        <v>29</v>
      </c>
      <c r="B7" s="3" t="s">
        <v>30</v>
      </c>
      <c r="C7">
        <v>7</v>
      </c>
      <c r="D7" s="2">
        <v>3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6</v>
      </c>
      <c r="K7" s="2">
        <f t="shared" si="0"/>
        <v>5</v>
      </c>
      <c r="L7" s="2">
        <f t="shared" si="1"/>
        <v>7</v>
      </c>
      <c r="M7" s="2">
        <f t="shared" si="2"/>
        <v>14</v>
      </c>
      <c r="N7" s="2">
        <v>7</v>
      </c>
      <c r="O7" s="2">
        <v>14</v>
      </c>
      <c r="P7" t="s">
        <v>26</v>
      </c>
      <c r="Q7" s="3" t="s">
        <v>31</v>
      </c>
      <c r="R7" s="3" t="s">
        <v>32</v>
      </c>
    </row>
    <row r="8" spans="1:18" ht="35" customHeight="1">
      <c r="A8" t="s">
        <v>33</v>
      </c>
      <c r="B8" s="3" t="s">
        <v>34</v>
      </c>
      <c r="C8">
        <v>7</v>
      </c>
      <c r="D8" s="2">
        <v>0</v>
      </c>
      <c r="E8" s="2">
        <v>0</v>
      </c>
      <c r="F8" s="2">
        <v>1</v>
      </c>
      <c r="G8" s="2">
        <v>5</v>
      </c>
      <c r="H8" s="2">
        <v>0</v>
      </c>
      <c r="I8" s="2">
        <v>1</v>
      </c>
      <c r="J8" s="2">
        <v>0</v>
      </c>
      <c r="K8" s="2">
        <f t="shared" si="0"/>
        <v>5</v>
      </c>
      <c r="L8" s="2">
        <f t="shared" si="1"/>
        <v>3</v>
      </c>
      <c r="M8" s="2">
        <f t="shared" si="2"/>
        <v>7</v>
      </c>
      <c r="N8" s="2">
        <v>0</v>
      </c>
      <c r="O8" s="2">
        <v>3</v>
      </c>
      <c r="P8" t="s">
        <v>35</v>
      </c>
      <c r="Q8" s="3" t="s">
        <v>34</v>
      </c>
      <c r="R8" s="3" t="s">
        <v>36</v>
      </c>
    </row>
    <row r="9" spans="1:18" ht="35" customHeight="1">
      <c r="A9" t="s">
        <v>37</v>
      </c>
      <c r="B9" s="3" t="s">
        <v>38</v>
      </c>
      <c r="C9">
        <v>7</v>
      </c>
      <c r="D9" s="2">
        <v>1</v>
      </c>
      <c r="E9" s="2">
        <v>1</v>
      </c>
      <c r="F9" s="2">
        <v>5</v>
      </c>
      <c r="G9" s="2">
        <v>2</v>
      </c>
      <c r="H9" s="2">
        <v>2</v>
      </c>
      <c r="I9" s="2">
        <v>4</v>
      </c>
      <c r="J9" s="2">
        <v>1</v>
      </c>
      <c r="K9" s="2">
        <f t="shared" si="0"/>
        <v>4</v>
      </c>
      <c r="L9" s="2">
        <f t="shared" si="1"/>
        <v>7</v>
      </c>
      <c r="M9" s="2">
        <f t="shared" si="2"/>
        <v>16</v>
      </c>
      <c r="N9" s="2">
        <v>9</v>
      </c>
      <c r="O9" s="2">
        <v>11</v>
      </c>
      <c r="P9" t="s">
        <v>39</v>
      </c>
      <c r="Q9" s="3" t="s">
        <v>40</v>
      </c>
      <c r="R9" s="3" t="s">
        <v>41</v>
      </c>
    </row>
    <row r="10" spans="1:18" ht="35" customHeight="1">
      <c r="A10" t="s">
        <v>42</v>
      </c>
      <c r="B10" s="3" t="s">
        <v>43</v>
      </c>
      <c r="C10">
        <v>0</v>
      </c>
      <c r="D10" s="2">
        <v>1</v>
      </c>
      <c r="E10" s="2">
        <v>1</v>
      </c>
      <c r="F10" s="2">
        <v>3</v>
      </c>
      <c r="G10" s="2">
        <v>2</v>
      </c>
      <c r="H10" s="2">
        <v>3</v>
      </c>
      <c r="I10" s="2">
        <v>4</v>
      </c>
      <c r="J10" s="2">
        <v>3</v>
      </c>
      <c r="K10" s="2">
        <f t="shared" si="0"/>
        <v>3</v>
      </c>
      <c r="L10" s="2">
        <f t="shared" si="1"/>
        <v>7</v>
      </c>
      <c r="M10" s="2">
        <f t="shared" si="2"/>
        <v>17</v>
      </c>
      <c r="N10" s="2">
        <v>17</v>
      </c>
      <c r="O10" s="2">
        <v>6</v>
      </c>
      <c r="P10" t="s">
        <v>44</v>
      </c>
      <c r="Q10" s="3" t="s">
        <v>45</v>
      </c>
      <c r="R10" s="3" t="s">
        <v>46</v>
      </c>
    </row>
    <row r="11" spans="1:18" ht="35" customHeight="1">
      <c r="A11" t="s">
        <v>47</v>
      </c>
      <c r="B11" s="3" t="s">
        <v>43</v>
      </c>
      <c r="C11">
        <v>0</v>
      </c>
      <c r="D11" s="2">
        <v>4</v>
      </c>
      <c r="E11" s="2">
        <v>1</v>
      </c>
      <c r="F11" s="2">
        <v>2</v>
      </c>
      <c r="G11" s="2">
        <v>2</v>
      </c>
      <c r="H11" s="2">
        <v>1</v>
      </c>
      <c r="I11" s="2">
        <v>1</v>
      </c>
      <c r="J11" s="2">
        <v>3</v>
      </c>
      <c r="K11" s="2">
        <f t="shared" si="0"/>
        <v>3</v>
      </c>
      <c r="L11" s="2">
        <f t="shared" si="1"/>
        <v>7</v>
      </c>
      <c r="M11" s="2">
        <f t="shared" si="2"/>
        <v>14</v>
      </c>
      <c r="N11" s="2">
        <v>14</v>
      </c>
      <c r="O11" s="2">
        <v>3</v>
      </c>
      <c r="P11" t="s">
        <v>48</v>
      </c>
      <c r="Q11" s="3" t="s">
        <v>49</v>
      </c>
      <c r="R11" s="3" t="s">
        <v>50</v>
      </c>
    </row>
    <row r="12" spans="1:18" ht="35" customHeight="1">
      <c r="A12" t="s">
        <v>51</v>
      </c>
      <c r="B12" s="3" t="s">
        <v>43</v>
      </c>
      <c r="C12">
        <v>0</v>
      </c>
      <c r="D12" s="2">
        <v>3</v>
      </c>
      <c r="E12" s="2">
        <v>0</v>
      </c>
      <c r="F12" s="2">
        <v>0</v>
      </c>
      <c r="G12" s="2">
        <v>3</v>
      </c>
      <c r="H12" s="2">
        <v>2</v>
      </c>
      <c r="I12" s="2">
        <v>2</v>
      </c>
      <c r="J12" s="2">
        <v>3</v>
      </c>
      <c r="K12" s="2">
        <f t="shared" si="0"/>
        <v>3</v>
      </c>
      <c r="L12" s="2">
        <f t="shared" si="1"/>
        <v>5</v>
      </c>
      <c r="M12" s="2">
        <f t="shared" si="2"/>
        <v>13</v>
      </c>
      <c r="N12" s="2">
        <v>13</v>
      </c>
      <c r="O12" s="2">
        <v>12</v>
      </c>
      <c r="P12" t="s">
        <v>52</v>
      </c>
      <c r="Q12" s="3" t="s">
        <v>53</v>
      </c>
      <c r="R12" s="3" t="s">
        <v>54</v>
      </c>
    </row>
    <row r="13" spans="1:18" ht="35" customHeight="1">
      <c r="A13" t="s">
        <v>55</v>
      </c>
      <c r="B13" s="3" t="s">
        <v>56</v>
      </c>
      <c r="C13">
        <v>23</v>
      </c>
      <c r="D13" s="2">
        <v>5</v>
      </c>
      <c r="E13" s="2">
        <v>4</v>
      </c>
      <c r="F13" s="2">
        <v>5</v>
      </c>
      <c r="G13" s="2">
        <v>4</v>
      </c>
      <c r="H13" s="2">
        <v>5</v>
      </c>
      <c r="I13" s="2">
        <v>3</v>
      </c>
      <c r="J13" s="2">
        <v>5</v>
      </c>
      <c r="K13" s="2">
        <f t="shared" si="0"/>
        <v>2</v>
      </c>
      <c r="L13" s="2">
        <f t="shared" si="1"/>
        <v>7</v>
      </c>
      <c r="M13" s="2">
        <f t="shared" si="2"/>
        <v>31</v>
      </c>
      <c r="N13" s="2">
        <v>8</v>
      </c>
      <c r="O13" s="2">
        <v>14</v>
      </c>
      <c r="P13" t="s">
        <v>26</v>
      </c>
      <c r="Q13" s="3" t="s">
        <v>57</v>
      </c>
      <c r="R13" s="3" t="s">
        <v>58</v>
      </c>
    </row>
    <row r="14" spans="1:18" ht="35" customHeight="1">
      <c r="A14" t="s">
        <v>59</v>
      </c>
      <c r="B14" s="3" t="s">
        <v>43</v>
      </c>
      <c r="C14">
        <v>0</v>
      </c>
      <c r="D14" s="2">
        <v>4</v>
      </c>
      <c r="E14" s="2">
        <v>3</v>
      </c>
      <c r="F14" s="2">
        <v>4</v>
      </c>
      <c r="G14" s="2">
        <v>4</v>
      </c>
      <c r="H14" s="2">
        <v>4</v>
      </c>
      <c r="I14" s="2">
        <v>4</v>
      </c>
      <c r="J14" s="2">
        <v>5</v>
      </c>
      <c r="K14" s="2">
        <f t="shared" si="0"/>
        <v>2</v>
      </c>
      <c r="L14" s="2">
        <f t="shared" si="1"/>
        <v>7</v>
      </c>
      <c r="M14" s="2">
        <f t="shared" si="2"/>
        <v>28</v>
      </c>
      <c r="N14" s="2">
        <v>28</v>
      </c>
      <c r="O14" s="2">
        <v>14</v>
      </c>
      <c r="P14" t="s">
        <v>26</v>
      </c>
      <c r="Q14" s="3" t="s">
        <v>60</v>
      </c>
      <c r="R14" s="3" t="s">
        <v>61</v>
      </c>
    </row>
    <row r="15" spans="1:18" ht="35" customHeight="1">
      <c r="A15" t="s">
        <v>62</v>
      </c>
      <c r="B15" s="3" t="s">
        <v>63</v>
      </c>
      <c r="C15">
        <v>28</v>
      </c>
      <c r="D15" s="2">
        <v>5</v>
      </c>
      <c r="E15" s="2">
        <v>5</v>
      </c>
      <c r="F15" s="2">
        <v>3</v>
      </c>
      <c r="G15" s="2">
        <v>4</v>
      </c>
      <c r="H15" s="2">
        <v>3</v>
      </c>
      <c r="I15" s="2">
        <v>4</v>
      </c>
      <c r="J15" s="2">
        <v>4</v>
      </c>
      <c r="K15" s="2">
        <f t="shared" si="0"/>
        <v>2</v>
      </c>
      <c r="L15" s="2">
        <f t="shared" si="1"/>
        <v>7</v>
      </c>
      <c r="M15" s="2">
        <f t="shared" si="2"/>
        <v>28</v>
      </c>
      <c r="N15" s="2">
        <v>0</v>
      </c>
      <c r="O15" s="2">
        <v>3</v>
      </c>
      <c r="P15" t="s">
        <v>64</v>
      </c>
      <c r="Q15" s="3" t="s">
        <v>63</v>
      </c>
      <c r="R15" s="3" t="s">
        <v>65</v>
      </c>
    </row>
    <row r="16" spans="1:18" ht="35" customHeight="1">
      <c r="A16" t="s">
        <v>66</v>
      </c>
      <c r="B16" s="3" t="s">
        <v>43</v>
      </c>
      <c r="C16">
        <v>0</v>
      </c>
      <c r="D16" s="2">
        <v>4</v>
      </c>
      <c r="E16" s="2">
        <v>3</v>
      </c>
      <c r="F16" s="2">
        <v>3</v>
      </c>
      <c r="G16" s="2">
        <v>4</v>
      </c>
      <c r="H16" s="2">
        <v>3</v>
      </c>
      <c r="I16" s="2">
        <v>2</v>
      </c>
      <c r="J16" s="2">
        <v>3</v>
      </c>
      <c r="K16" s="2">
        <f t="shared" si="0"/>
        <v>2</v>
      </c>
      <c r="L16" s="2">
        <f t="shared" si="1"/>
        <v>7</v>
      </c>
      <c r="M16" s="2">
        <f t="shared" si="2"/>
        <v>22</v>
      </c>
      <c r="N16" s="2">
        <v>22</v>
      </c>
      <c r="O16" s="2">
        <v>14</v>
      </c>
      <c r="P16" t="s">
        <v>26</v>
      </c>
      <c r="Q16" s="3" t="s">
        <v>67</v>
      </c>
      <c r="R16" s="3" t="s">
        <v>68</v>
      </c>
    </row>
    <row r="17" spans="1:18" ht="35" customHeight="1">
      <c r="A17" t="s">
        <v>69</v>
      </c>
      <c r="B17" s="3" t="s">
        <v>70</v>
      </c>
      <c r="C17">
        <v>21</v>
      </c>
      <c r="D17" s="2">
        <v>3</v>
      </c>
      <c r="E17" s="2">
        <v>4</v>
      </c>
      <c r="F17" s="2">
        <v>2</v>
      </c>
      <c r="G17" s="2">
        <v>3</v>
      </c>
      <c r="H17" s="2">
        <v>3</v>
      </c>
      <c r="I17" s="2">
        <v>3</v>
      </c>
      <c r="J17" s="2">
        <v>3</v>
      </c>
      <c r="K17" s="2">
        <f t="shared" si="0"/>
        <v>2</v>
      </c>
      <c r="L17" s="2">
        <f t="shared" si="1"/>
        <v>7</v>
      </c>
      <c r="M17" s="2">
        <f t="shared" si="2"/>
        <v>21</v>
      </c>
      <c r="N17" s="2">
        <v>0</v>
      </c>
      <c r="O17" s="2">
        <v>14</v>
      </c>
      <c r="P17" t="s">
        <v>26</v>
      </c>
      <c r="Q17" s="3" t="s">
        <v>70</v>
      </c>
      <c r="R17" s="3" t="s">
        <v>71</v>
      </c>
    </row>
    <row r="18" spans="1:18" ht="35" customHeight="1">
      <c r="A18" t="s">
        <v>72</v>
      </c>
      <c r="B18" s="3" t="s">
        <v>73</v>
      </c>
      <c r="C18">
        <v>19</v>
      </c>
      <c r="D18" s="2">
        <v>3</v>
      </c>
      <c r="E18" s="2">
        <v>2</v>
      </c>
      <c r="F18" s="2">
        <v>2</v>
      </c>
      <c r="G18" s="2">
        <v>2</v>
      </c>
      <c r="H18" s="2">
        <v>3</v>
      </c>
      <c r="I18" s="2">
        <v>3</v>
      </c>
      <c r="J18" s="2">
        <v>4</v>
      </c>
      <c r="K18" s="2">
        <f t="shared" si="0"/>
        <v>2</v>
      </c>
      <c r="L18" s="2">
        <f t="shared" si="1"/>
        <v>7</v>
      </c>
      <c r="M18" s="2">
        <f t="shared" si="2"/>
        <v>19</v>
      </c>
      <c r="N18" s="2">
        <v>0</v>
      </c>
      <c r="O18" s="2">
        <v>14</v>
      </c>
      <c r="P18" t="s">
        <v>26</v>
      </c>
      <c r="Q18" s="3" t="s">
        <v>73</v>
      </c>
      <c r="R18" s="3" t="s">
        <v>74</v>
      </c>
    </row>
    <row r="19" spans="1:18" ht="35" customHeight="1">
      <c r="A19" t="s">
        <v>75</v>
      </c>
      <c r="B19" s="3" t="s">
        <v>76</v>
      </c>
      <c r="C19">
        <v>19</v>
      </c>
      <c r="D19" s="2">
        <v>3</v>
      </c>
      <c r="E19" s="2">
        <v>3</v>
      </c>
      <c r="F19" s="2">
        <v>1</v>
      </c>
      <c r="G19" s="2">
        <v>3</v>
      </c>
      <c r="H19" s="2">
        <v>3</v>
      </c>
      <c r="I19" s="2">
        <v>3</v>
      </c>
      <c r="J19" s="2">
        <v>3</v>
      </c>
      <c r="K19" s="2">
        <f t="shared" si="0"/>
        <v>2</v>
      </c>
      <c r="L19" s="2">
        <f t="shared" si="1"/>
        <v>7</v>
      </c>
      <c r="M19" s="2">
        <f t="shared" si="2"/>
        <v>19</v>
      </c>
      <c r="N19" s="2">
        <v>0</v>
      </c>
      <c r="O19" s="2">
        <v>12</v>
      </c>
      <c r="P19" t="s">
        <v>77</v>
      </c>
      <c r="Q19" s="3" t="s">
        <v>76</v>
      </c>
      <c r="R19" s="3" t="s">
        <v>74</v>
      </c>
    </row>
    <row r="20" spans="1:18" ht="35" customHeight="1">
      <c r="A20" t="s">
        <v>78</v>
      </c>
      <c r="B20" s="3" t="s">
        <v>79</v>
      </c>
      <c r="C20">
        <v>18</v>
      </c>
      <c r="D20" s="2">
        <v>2</v>
      </c>
      <c r="E20" s="2">
        <v>2</v>
      </c>
      <c r="F20" s="2">
        <v>2</v>
      </c>
      <c r="G20" s="2">
        <v>3</v>
      </c>
      <c r="H20" s="2">
        <v>3</v>
      </c>
      <c r="I20" s="2">
        <v>4</v>
      </c>
      <c r="J20" s="2">
        <v>2</v>
      </c>
      <c r="K20" s="2">
        <f t="shared" si="0"/>
        <v>2</v>
      </c>
      <c r="L20" s="2">
        <f t="shared" si="1"/>
        <v>7</v>
      </c>
      <c r="M20" s="2">
        <f t="shared" si="2"/>
        <v>18</v>
      </c>
      <c r="N20" s="2">
        <v>0</v>
      </c>
      <c r="O20" s="2">
        <v>3</v>
      </c>
      <c r="P20" t="s">
        <v>80</v>
      </c>
      <c r="Q20" s="3" t="s">
        <v>79</v>
      </c>
      <c r="R20" s="3" t="s">
        <v>81</v>
      </c>
    </row>
    <row r="21" spans="1:18" ht="35" customHeight="1">
      <c r="A21" t="s">
        <v>82</v>
      </c>
      <c r="B21" s="3" t="s">
        <v>43</v>
      </c>
      <c r="C21">
        <v>0</v>
      </c>
      <c r="D21" s="2">
        <v>2</v>
      </c>
      <c r="E21" s="2">
        <v>2</v>
      </c>
      <c r="F21" s="2">
        <v>2</v>
      </c>
      <c r="G21" s="2">
        <v>2</v>
      </c>
      <c r="H21" s="2">
        <v>4</v>
      </c>
      <c r="I21" s="2">
        <v>2</v>
      </c>
      <c r="J21" s="2">
        <v>2</v>
      </c>
      <c r="K21" s="2">
        <f t="shared" si="0"/>
        <v>2</v>
      </c>
      <c r="L21" s="2">
        <f t="shared" si="1"/>
        <v>7</v>
      </c>
      <c r="M21" s="2">
        <f t="shared" si="2"/>
        <v>16</v>
      </c>
      <c r="N21" s="2">
        <v>16</v>
      </c>
      <c r="O21" s="2">
        <v>14</v>
      </c>
      <c r="P21" t="s">
        <v>26</v>
      </c>
      <c r="Q21" s="3" t="s">
        <v>83</v>
      </c>
      <c r="R21" s="3" t="s">
        <v>84</v>
      </c>
    </row>
    <row r="22" spans="1:18" ht="35" customHeight="1">
      <c r="A22" t="s">
        <v>85</v>
      </c>
      <c r="B22" s="3" t="s">
        <v>43</v>
      </c>
      <c r="C22">
        <v>0</v>
      </c>
      <c r="D22" s="2">
        <v>2</v>
      </c>
      <c r="E22" s="2">
        <v>2</v>
      </c>
      <c r="F22" s="2">
        <v>3</v>
      </c>
      <c r="G22" s="2">
        <v>2</v>
      </c>
      <c r="H22" s="2">
        <v>1</v>
      </c>
      <c r="I22" s="2">
        <v>3</v>
      </c>
      <c r="J22" s="2">
        <v>3</v>
      </c>
      <c r="K22" s="2">
        <f t="shared" si="0"/>
        <v>2</v>
      </c>
      <c r="L22" s="2">
        <f t="shared" si="1"/>
        <v>7</v>
      </c>
      <c r="M22" s="2">
        <f t="shared" si="2"/>
        <v>16</v>
      </c>
      <c r="N22" s="2">
        <v>16</v>
      </c>
      <c r="O22" s="2">
        <v>7</v>
      </c>
      <c r="P22" t="s">
        <v>86</v>
      </c>
      <c r="Q22" s="3" t="s">
        <v>83</v>
      </c>
      <c r="R22" s="3" t="s">
        <v>84</v>
      </c>
    </row>
    <row r="23" spans="1:18" ht="35" customHeight="1">
      <c r="A23" t="s">
        <v>87</v>
      </c>
      <c r="B23" s="3" t="s">
        <v>43</v>
      </c>
      <c r="C23">
        <v>0</v>
      </c>
      <c r="D23" s="2">
        <v>2</v>
      </c>
      <c r="E23" s="2">
        <v>2</v>
      </c>
      <c r="F23" s="2">
        <v>1</v>
      </c>
      <c r="G23" s="2">
        <v>2</v>
      </c>
      <c r="H23" s="2">
        <v>3</v>
      </c>
      <c r="I23" s="2">
        <v>2</v>
      </c>
      <c r="J23" s="2">
        <v>2</v>
      </c>
      <c r="K23" s="2">
        <f t="shared" si="0"/>
        <v>2</v>
      </c>
      <c r="L23" s="2">
        <f t="shared" si="1"/>
        <v>7</v>
      </c>
      <c r="M23" s="2">
        <f t="shared" si="2"/>
        <v>14</v>
      </c>
      <c r="N23" s="2">
        <v>14</v>
      </c>
      <c r="O23" s="2">
        <v>14</v>
      </c>
      <c r="P23" t="s">
        <v>26</v>
      </c>
      <c r="Q23" s="3" t="s">
        <v>49</v>
      </c>
      <c r="R23" s="3" t="s">
        <v>50</v>
      </c>
    </row>
    <row r="24" spans="1:18" ht="35" customHeight="1">
      <c r="A24" t="s">
        <v>88</v>
      </c>
      <c r="B24" s="3" t="s">
        <v>43</v>
      </c>
      <c r="C24">
        <v>0</v>
      </c>
      <c r="D24" s="2">
        <v>2</v>
      </c>
      <c r="E24" s="2">
        <v>2</v>
      </c>
      <c r="F24" s="2">
        <v>1</v>
      </c>
      <c r="G24" s="2">
        <v>2</v>
      </c>
      <c r="H24" s="2">
        <v>3</v>
      </c>
      <c r="I24" s="2">
        <v>2</v>
      </c>
      <c r="J24" s="2">
        <v>2</v>
      </c>
      <c r="K24" s="2">
        <f t="shared" si="0"/>
        <v>2</v>
      </c>
      <c r="L24" s="2">
        <f t="shared" si="1"/>
        <v>7</v>
      </c>
      <c r="M24" s="2">
        <f t="shared" si="2"/>
        <v>14</v>
      </c>
      <c r="N24" s="2">
        <v>14</v>
      </c>
      <c r="O24" s="2">
        <v>4</v>
      </c>
      <c r="P24" t="s">
        <v>89</v>
      </c>
      <c r="Q24" s="3" t="s">
        <v>49</v>
      </c>
      <c r="R24" s="3" t="s">
        <v>50</v>
      </c>
    </row>
    <row r="25" spans="1:18" ht="35" customHeight="1">
      <c r="A25" t="s">
        <v>90</v>
      </c>
      <c r="B25" s="3" t="s">
        <v>91</v>
      </c>
      <c r="C25">
        <v>14</v>
      </c>
      <c r="D25" s="2">
        <v>2</v>
      </c>
      <c r="E25" s="2">
        <v>2</v>
      </c>
      <c r="F25" s="2">
        <v>2</v>
      </c>
      <c r="G25" s="2">
        <v>3</v>
      </c>
      <c r="H25" s="2">
        <v>2</v>
      </c>
      <c r="I25" s="2">
        <v>1</v>
      </c>
      <c r="J25" s="2">
        <v>2</v>
      </c>
      <c r="K25" s="2">
        <f t="shared" si="0"/>
        <v>2</v>
      </c>
      <c r="L25" s="2">
        <f t="shared" si="1"/>
        <v>7</v>
      </c>
      <c r="M25" s="2">
        <f t="shared" si="2"/>
        <v>14</v>
      </c>
      <c r="N25" s="2">
        <v>0</v>
      </c>
      <c r="O25" s="2">
        <v>2</v>
      </c>
      <c r="P25" t="s">
        <v>92</v>
      </c>
      <c r="Q25" s="3" t="s">
        <v>91</v>
      </c>
      <c r="R25" s="3" t="s">
        <v>93</v>
      </c>
    </row>
    <row r="26" spans="1:18" ht="35" customHeight="1">
      <c r="A26" t="s">
        <v>94</v>
      </c>
      <c r="B26" s="3" t="s">
        <v>43</v>
      </c>
      <c r="C26">
        <v>0</v>
      </c>
      <c r="D26" s="2">
        <v>2</v>
      </c>
      <c r="E26" s="2">
        <v>1</v>
      </c>
      <c r="F26" s="2">
        <v>1</v>
      </c>
      <c r="G26" s="2">
        <v>3</v>
      </c>
      <c r="H26" s="2">
        <v>2</v>
      </c>
      <c r="I26" s="2">
        <v>2</v>
      </c>
      <c r="J26" s="2">
        <v>2</v>
      </c>
      <c r="K26" s="2">
        <f t="shared" si="0"/>
        <v>2</v>
      </c>
      <c r="L26" s="2">
        <f t="shared" si="1"/>
        <v>7</v>
      </c>
      <c r="M26" s="2">
        <f t="shared" si="2"/>
        <v>13</v>
      </c>
      <c r="N26" s="2">
        <v>13</v>
      </c>
      <c r="O26" s="2">
        <v>12</v>
      </c>
      <c r="P26" t="s">
        <v>95</v>
      </c>
      <c r="Q26" s="3" t="s">
        <v>53</v>
      </c>
      <c r="R26" s="3" t="s">
        <v>54</v>
      </c>
    </row>
    <row r="27" spans="1:18" ht="35" customHeight="1">
      <c r="A27" t="s">
        <v>96</v>
      </c>
      <c r="B27" s="3" t="s">
        <v>43</v>
      </c>
      <c r="C27">
        <v>0</v>
      </c>
      <c r="D27" s="2">
        <v>2</v>
      </c>
      <c r="E27" s="2">
        <v>0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f t="shared" si="0"/>
        <v>2</v>
      </c>
      <c r="L27" s="2">
        <f t="shared" si="1"/>
        <v>6</v>
      </c>
      <c r="M27" s="2">
        <f t="shared" si="2"/>
        <v>12</v>
      </c>
      <c r="N27" s="2">
        <v>12</v>
      </c>
      <c r="O27" s="2">
        <v>13</v>
      </c>
      <c r="P27" t="s">
        <v>97</v>
      </c>
      <c r="Q27" s="3" t="s">
        <v>98</v>
      </c>
      <c r="R27" s="3" t="s">
        <v>99</v>
      </c>
    </row>
    <row r="28" spans="1:18" ht="35" customHeight="1">
      <c r="A28" t="s">
        <v>100</v>
      </c>
      <c r="B28" s="3" t="s">
        <v>101</v>
      </c>
      <c r="C28">
        <v>6</v>
      </c>
      <c r="D28" s="2">
        <v>2</v>
      </c>
      <c r="E28" s="2">
        <v>2</v>
      </c>
      <c r="F28" s="2">
        <v>2</v>
      </c>
      <c r="G28" s="2">
        <v>2</v>
      </c>
      <c r="H28" s="2">
        <v>0</v>
      </c>
      <c r="I28" s="2">
        <v>2</v>
      </c>
      <c r="J28" s="2">
        <v>2</v>
      </c>
      <c r="K28" s="2">
        <f t="shared" si="0"/>
        <v>2</v>
      </c>
      <c r="L28" s="2">
        <f t="shared" si="1"/>
        <v>6</v>
      </c>
      <c r="M28" s="2">
        <f t="shared" si="2"/>
        <v>12</v>
      </c>
      <c r="N28" s="2">
        <v>6</v>
      </c>
      <c r="O28" s="2">
        <v>14</v>
      </c>
      <c r="P28" t="s">
        <v>26</v>
      </c>
      <c r="Q28" s="3" t="s">
        <v>102</v>
      </c>
      <c r="R28" s="3" t="s">
        <v>103</v>
      </c>
    </row>
    <row r="29" spans="1:18" ht="35" customHeight="1">
      <c r="A29" t="s">
        <v>104</v>
      </c>
      <c r="B29" s="3" t="s">
        <v>43</v>
      </c>
      <c r="C29">
        <v>0</v>
      </c>
      <c r="D29" s="2">
        <v>2</v>
      </c>
      <c r="E29" s="2">
        <v>2</v>
      </c>
      <c r="F29" s="2">
        <v>1</v>
      </c>
      <c r="G29" s="2">
        <v>1</v>
      </c>
      <c r="H29" s="2">
        <v>2</v>
      </c>
      <c r="I29" s="2">
        <v>1</v>
      </c>
      <c r="J29" s="2">
        <v>3</v>
      </c>
      <c r="K29" s="2">
        <f t="shared" si="0"/>
        <v>2</v>
      </c>
      <c r="L29" s="2">
        <f t="shared" si="1"/>
        <v>7</v>
      </c>
      <c r="M29" s="2">
        <f t="shared" si="2"/>
        <v>12</v>
      </c>
      <c r="N29" s="2">
        <v>12</v>
      </c>
      <c r="O29" s="2">
        <v>14</v>
      </c>
      <c r="P29" t="s">
        <v>26</v>
      </c>
      <c r="Q29" s="3" t="s">
        <v>98</v>
      </c>
      <c r="R29" s="3" t="s">
        <v>99</v>
      </c>
    </row>
    <row r="30" spans="1:18" ht="35" customHeight="1">
      <c r="A30" t="s">
        <v>105</v>
      </c>
      <c r="B30" s="3" t="s">
        <v>106</v>
      </c>
      <c r="C30">
        <v>12</v>
      </c>
      <c r="D30" s="2">
        <v>2</v>
      </c>
      <c r="E30" s="2">
        <v>2</v>
      </c>
      <c r="F30" s="2">
        <v>2</v>
      </c>
      <c r="G30" s="2">
        <v>2</v>
      </c>
      <c r="H30" s="2">
        <v>2</v>
      </c>
      <c r="I30" s="2">
        <v>0</v>
      </c>
      <c r="J30" s="2">
        <v>2</v>
      </c>
      <c r="K30" s="2">
        <f t="shared" si="0"/>
        <v>2</v>
      </c>
      <c r="L30" s="2">
        <f t="shared" si="1"/>
        <v>6</v>
      </c>
      <c r="M30" s="2">
        <f t="shared" si="2"/>
        <v>12</v>
      </c>
      <c r="N30" s="2">
        <v>0</v>
      </c>
      <c r="O30" s="2">
        <v>1</v>
      </c>
      <c r="P30" t="s">
        <v>22</v>
      </c>
      <c r="Q30" s="3" t="s">
        <v>106</v>
      </c>
      <c r="R30" s="3" t="s">
        <v>107</v>
      </c>
    </row>
    <row r="31" spans="1:18" ht="35" customHeight="1">
      <c r="A31" t="s">
        <v>108</v>
      </c>
      <c r="B31" s="3" t="s">
        <v>109</v>
      </c>
      <c r="C31">
        <v>10</v>
      </c>
      <c r="D31" s="2">
        <v>2</v>
      </c>
      <c r="E31" s="2">
        <v>0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f t="shared" si="0"/>
        <v>2</v>
      </c>
      <c r="L31" s="2">
        <f t="shared" si="1"/>
        <v>6</v>
      </c>
      <c r="M31" s="2">
        <f t="shared" si="2"/>
        <v>12</v>
      </c>
      <c r="N31" s="2">
        <v>2</v>
      </c>
      <c r="O31" s="2">
        <v>0</v>
      </c>
      <c r="Q31" s="3" t="s">
        <v>110</v>
      </c>
      <c r="R31" s="3" t="s">
        <v>111</v>
      </c>
    </row>
    <row r="32" spans="1:18" ht="35" customHeight="1">
      <c r="A32" t="s">
        <v>112</v>
      </c>
      <c r="B32" s="3" t="s">
        <v>43</v>
      </c>
      <c r="C32">
        <v>0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3</v>
      </c>
      <c r="J32" s="2">
        <v>1</v>
      </c>
      <c r="K32" s="2">
        <f t="shared" si="0"/>
        <v>2</v>
      </c>
      <c r="L32" s="2">
        <f t="shared" si="1"/>
        <v>7</v>
      </c>
      <c r="M32" s="2">
        <f t="shared" si="2"/>
        <v>9</v>
      </c>
      <c r="N32" s="2">
        <v>9</v>
      </c>
      <c r="O32" s="2">
        <v>14</v>
      </c>
      <c r="P32" t="s">
        <v>26</v>
      </c>
      <c r="Q32" s="3" t="s">
        <v>113</v>
      </c>
      <c r="R32" s="3" t="s">
        <v>114</v>
      </c>
    </row>
    <row r="33" spans="1:18" ht="35" customHeight="1">
      <c r="A33" t="s">
        <v>115</v>
      </c>
      <c r="B33" s="3" t="s">
        <v>43</v>
      </c>
      <c r="C33">
        <v>0</v>
      </c>
      <c r="D33" s="2">
        <v>1</v>
      </c>
      <c r="E33" s="2">
        <v>1</v>
      </c>
      <c r="F33" s="2">
        <v>2</v>
      </c>
      <c r="G33" s="2">
        <v>2</v>
      </c>
      <c r="H33" s="2">
        <v>2</v>
      </c>
      <c r="I33" s="2">
        <v>0</v>
      </c>
      <c r="J33" s="2">
        <v>1</v>
      </c>
      <c r="K33" s="2">
        <f t="shared" si="0"/>
        <v>2</v>
      </c>
      <c r="L33" s="2">
        <f t="shared" si="1"/>
        <v>6</v>
      </c>
      <c r="M33" s="2">
        <f t="shared" si="2"/>
        <v>9</v>
      </c>
      <c r="N33" s="2">
        <v>9</v>
      </c>
      <c r="O33" s="2">
        <v>11</v>
      </c>
      <c r="P33" t="s">
        <v>116</v>
      </c>
      <c r="Q33" s="3" t="s">
        <v>113</v>
      </c>
      <c r="R33" s="3" t="s">
        <v>114</v>
      </c>
    </row>
    <row r="34" spans="1:18" ht="35" customHeight="1">
      <c r="A34" t="s">
        <v>117</v>
      </c>
      <c r="B34" s="3" t="s">
        <v>43</v>
      </c>
      <c r="C34">
        <v>0</v>
      </c>
      <c r="D34" s="2">
        <v>2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2</v>
      </c>
      <c r="K34" s="2">
        <f t="shared" si="0"/>
        <v>2</v>
      </c>
      <c r="L34" s="2">
        <f t="shared" si="1"/>
        <v>6</v>
      </c>
      <c r="M34" s="2">
        <f t="shared" si="2"/>
        <v>8</v>
      </c>
      <c r="N34" s="2">
        <v>8</v>
      </c>
      <c r="O34" s="2">
        <v>5</v>
      </c>
      <c r="P34" t="s">
        <v>118</v>
      </c>
      <c r="Q34" s="3" t="s">
        <v>119</v>
      </c>
      <c r="R34" s="3" t="s">
        <v>120</v>
      </c>
    </row>
    <row r="35" spans="1:18" ht="35" customHeight="1">
      <c r="A35" t="s">
        <v>121</v>
      </c>
      <c r="B35" s="3" t="s">
        <v>43</v>
      </c>
      <c r="C35">
        <v>0</v>
      </c>
      <c r="D35" s="2">
        <v>1</v>
      </c>
      <c r="E35" s="2">
        <v>2</v>
      </c>
      <c r="F35" s="2">
        <v>1</v>
      </c>
      <c r="G35" s="2">
        <v>1</v>
      </c>
      <c r="H35" s="2">
        <v>1</v>
      </c>
      <c r="I35" s="2">
        <v>0</v>
      </c>
      <c r="J35" s="2">
        <v>1</v>
      </c>
      <c r="K35" s="2">
        <f t="shared" si="0"/>
        <v>2</v>
      </c>
      <c r="L35" s="2">
        <f t="shared" si="1"/>
        <v>6</v>
      </c>
      <c r="M35" s="2">
        <f t="shared" si="2"/>
        <v>7</v>
      </c>
      <c r="N35" s="2">
        <v>7</v>
      </c>
      <c r="O35" s="2">
        <v>14</v>
      </c>
      <c r="P35" t="s">
        <v>26</v>
      </c>
      <c r="Q35" s="3" t="s">
        <v>122</v>
      </c>
      <c r="R35" s="3" t="s">
        <v>123</v>
      </c>
    </row>
    <row r="36" spans="1:18" ht="35" customHeight="1">
      <c r="A36" t="s">
        <v>124</v>
      </c>
      <c r="B36" s="3" t="s">
        <v>43</v>
      </c>
      <c r="C36">
        <v>0</v>
      </c>
      <c r="D36" s="2">
        <v>1</v>
      </c>
      <c r="E36" s="2">
        <v>1</v>
      </c>
      <c r="F36" s="2">
        <v>0</v>
      </c>
      <c r="G36" s="2">
        <v>1</v>
      </c>
      <c r="H36" s="2">
        <v>1</v>
      </c>
      <c r="I36" s="2">
        <v>1</v>
      </c>
      <c r="J36" s="2">
        <v>2</v>
      </c>
      <c r="K36" s="2">
        <f t="shared" si="0"/>
        <v>2</v>
      </c>
      <c r="L36" s="2">
        <f t="shared" si="1"/>
        <v>6</v>
      </c>
      <c r="M36" s="2">
        <f t="shared" si="2"/>
        <v>7</v>
      </c>
      <c r="N36" s="2">
        <v>7</v>
      </c>
      <c r="O36" s="2">
        <v>14</v>
      </c>
      <c r="P36" t="s">
        <v>26</v>
      </c>
      <c r="Q36" s="3" t="s">
        <v>122</v>
      </c>
      <c r="R36" s="3" t="s">
        <v>123</v>
      </c>
    </row>
    <row r="37" spans="1:18" ht="35" customHeight="1">
      <c r="A37" t="s">
        <v>125</v>
      </c>
      <c r="B37" s="3" t="s">
        <v>43</v>
      </c>
      <c r="C37">
        <v>0</v>
      </c>
      <c r="D37" s="2">
        <v>1</v>
      </c>
      <c r="E37" s="2">
        <v>0</v>
      </c>
      <c r="F37" s="2">
        <v>1</v>
      </c>
      <c r="G37" s="2">
        <v>2</v>
      </c>
      <c r="H37" s="2">
        <v>2</v>
      </c>
      <c r="I37" s="2">
        <v>0</v>
      </c>
      <c r="J37" s="2">
        <v>1</v>
      </c>
      <c r="K37" s="2">
        <f t="shared" si="0"/>
        <v>2</v>
      </c>
      <c r="L37" s="2">
        <f t="shared" si="1"/>
        <v>5</v>
      </c>
      <c r="M37" s="2">
        <f t="shared" si="2"/>
        <v>7</v>
      </c>
      <c r="N37" s="2">
        <v>7</v>
      </c>
      <c r="O37" s="2">
        <v>14</v>
      </c>
      <c r="P37" t="s">
        <v>26</v>
      </c>
      <c r="Q37" s="3" t="s">
        <v>122</v>
      </c>
      <c r="R37" s="3" t="s">
        <v>123</v>
      </c>
    </row>
    <row r="38" spans="1:18" ht="35" customHeight="1">
      <c r="A38" t="s">
        <v>126</v>
      </c>
      <c r="B38" s="3" t="s">
        <v>127</v>
      </c>
      <c r="C38">
        <v>6</v>
      </c>
      <c r="D38" s="2">
        <v>1</v>
      </c>
      <c r="E38" s="2">
        <v>2</v>
      </c>
      <c r="F38" s="2">
        <v>1</v>
      </c>
      <c r="G38" s="2">
        <v>0</v>
      </c>
      <c r="H38" s="2">
        <v>1</v>
      </c>
      <c r="I38" s="2">
        <v>1</v>
      </c>
      <c r="J38" s="2">
        <v>1</v>
      </c>
      <c r="K38" s="2">
        <f t="shared" si="0"/>
        <v>2</v>
      </c>
      <c r="L38" s="2">
        <f t="shared" si="1"/>
        <v>6</v>
      </c>
      <c r="M38" s="2">
        <f t="shared" si="2"/>
        <v>7</v>
      </c>
      <c r="N38" s="2">
        <v>1</v>
      </c>
      <c r="O38" s="2">
        <v>13</v>
      </c>
      <c r="P38" t="s">
        <v>128</v>
      </c>
      <c r="Q38" s="3" t="s">
        <v>129</v>
      </c>
      <c r="R38" s="3" t="s">
        <v>130</v>
      </c>
    </row>
    <row r="39" spans="1:18" ht="35" customHeight="1">
      <c r="A39" t="s">
        <v>131</v>
      </c>
      <c r="B39" s="3" t="s">
        <v>43</v>
      </c>
      <c r="C39">
        <v>0</v>
      </c>
      <c r="D39" s="2">
        <v>1</v>
      </c>
      <c r="E39" s="2">
        <v>1</v>
      </c>
      <c r="F39" s="2">
        <v>0</v>
      </c>
      <c r="G39" s="2">
        <v>1</v>
      </c>
      <c r="H39" s="2">
        <v>1</v>
      </c>
      <c r="I39" s="2">
        <v>1</v>
      </c>
      <c r="J39" s="2">
        <v>2</v>
      </c>
      <c r="K39" s="2">
        <f t="shared" si="0"/>
        <v>2</v>
      </c>
      <c r="L39" s="2">
        <f t="shared" si="1"/>
        <v>6</v>
      </c>
      <c r="M39" s="2">
        <f t="shared" si="2"/>
        <v>7</v>
      </c>
      <c r="N39" s="2">
        <v>7</v>
      </c>
      <c r="O39" s="2">
        <v>12</v>
      </c>
      <c r="P39" t="s">
        <v>77</v>
      </c>
      <c r="Q39" s="3" t="s">
        <v>122</v>
      </c>
      <c r="R39" s="3" t="s">
        <v>123</v>
      </c>
    </row>
    <row r="40" spans="1:18" ht="35" customHeight="1">
      <c r="A40" t="s">
        <v>132</v>
      </c>
      <c r="B40" s="3" t="s">
        <v>43</v>
      </c>
      <c r="C40">
        <v>0</v>
      </c>
      <c r="D40" s="2">
        <v>1</v>
      </c>
      <c r="E40" s="2">
        <v>0</v>
      </c>
      <c r="F40" s="2">
        <v>1</v>
      </c>
      <c r="G40" s="2">
        <v>1</v>
      </c>
      <c r="H40" s="2">
        <v>1</v>
      </c>
      <c r="I40" s="2">
        <v>1</v>
      </c>
      <c r="J40" s="2">
        <v>2</v>
      </c>
      <c r="K40" s="2">
        <f t="shared" si="0"/>
        <v>2</v>
      </c>
      <c r="L40" s="2">
        <f t="shared" si="1"/>
        <v>6</v>
      </c>
      <c r="M40" s="2">
        <f t="shared" si="2"/>
        <v>7</v>
      </c>
      <c r="N40" s="2">
        <v>7</v>
      </c>
      <c r="O40" s="2">
        <v>3</v>
      </c>
      <c r="P40" t="s">
        <v>133</v>
      </c>
      <c r="Q40" s="3" t="s">
        <v>122</v>
      </c>
      <c r="R40" s="3" t="s">
        <v>123</v>
      </c>
    </row>
    <row r="41" spans="1:18" ht="35" customHeight="1">
      <c r="A41" t="s">
        <v>134</v>
      </c>
      <c r="B41" s="3" t="s">
        <v>43</v>
      </c>
      <c r="C41">
        <v>0</v>
      </c>
      <c r="D41" s="2">
        <v>1</v>
      </c>
      <c r="E41" s="2">
        <v>1</v>
      </c>
      <c r="F41" s="2">
        <v>0</v>
      </c>
      <c r="G41" s="2">
        <v>1</v>
      </c>
      <c r="H41" s="2">
        <v>1</v>
      </c>
      <c r="I41" s="2">
        <v>1</v>
      </c>
      <c r="J41" s="2">
        <v>2</v>
      </c>
      <c r="K41" s="2">
        <f t="shared" si="0"/>
        <v>2</v>
      </c>
      <c r="L41" s="2">
        <f t="shared" si="1"/>
        <v>6</v>
      </c>
      <c r="M41" s="2">
        <f t="shared" si="2"/>
        <v>7</v>
      </c>
      <c r="N41" s="2">
        <v>7</v>
      </c>
      <c r="O41" s="2">
        <v>14</v>
      </c>
      <c r="P41" t="s">
        <v>26</v>
      </c>
      <c r="Q41" s="3" t="s">
        <v>122</v>
      </c>
      <c r="R41" s="3" t="s">
        <v>123</v>
      </c>
    </row>
    <row r="42" spans="1:18" ht="35" customHeight="1">
      <c r="A42" t="s">
        <v>135</v>
      </c>
      <c r="B42" s="3" t="s">
        <v>43</v>
      </c>
      <c r="C42">
        <v>0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0</v>
      </c>
      <c r="J42" s="2">
        <v>2</v>
      </c>
      <c r="K42" s="2">
        <f t="shared" si="0"/>
        <v>2</v>
      </c>
      <c r="L42" s="2">
        <f t="shared" si="1"/>
        <v>6</v>
      </c>
      <c r="M42" s="2">
        <f t="shared" si="2"/>
        <v>7</v>
      </c>
      <c r="N42" s="2">
        <v>7</v>
      </c>
      <c r="O42" s="2">
        <v>2</v>
      </c>
      <c r="P42" t="s">
        <v>92</v>
      </c>
      <c r="Q42" s="3" t="s">
        <v>122</v>
      </c>
      <c r="R42" s="3" t="s">
        <v>123</v>
      </c>
    </row>
    <row r="43" spans="1:18" ht="35" customHeight="1">
      <c r="A43" t="s">
        <v>136</v>
      </c>
      <c r="B43" s="3" t="s">
        <v>43</v>
      </c>
      <c r="C43">
        <v>0</v>
      </c>
      <c r="D43" s="2">
        <v>1</v>
      </c>
      <c r="E43" s="2">
        <v>0</v>
      </c>
      <c r="F43" s="2">
        <v>1</v>
      </c>
      <c r="G43" s="2">
        <v>1</v>
      </c>
      <c r="H43" s="2">
        <v>2</v>
      </c>
      <c r="I43" s="2">
        <v>1</v>
      </c>
      <c r="J43" s="2">
        <v>1</v>
      </c>
      <c r="K43" s="2">
        <f t="shared" si="0"/>
        <v>2</v>
      </c>
      <c r="L43" s="2">
        <f t="shared" si="1"/>
        <v>6</v>
      </c>
      <c r="M43" s="2">
        <f t="shared" si="2"/>
        <v>7</v>
      </c>
      <c r="N43" s="2">
        <v>7</v>
      </c>
      <c r="O43" s="2">
        <v>2</v>
      </c>
      <c r="P43" t="s">
        <v>92</v>
      </c>
      <c r="Q43" s="3" t="s">
        <v>122</v>
      </c>
      <c r="R43" s="3" t="s">
        <v>123</v>
      </c>
    </row>
    <row r="44" spans="1:18" ht="35" customHeight="1">
      <c r="A44" t="s">
        <v>137</v>
      </c>
      <c r="B44" s="3" t="s">
        <v>43</v>
      </c>
      <c r="C44">
        <v>0</v>
      </c>
      <c r="D44" s="2">
        <v>2</v>
      </c>
      <c r="E44" s="2">
        <v>1</v>
      </c>
      <c r="F44" s="2">
        <v>1</v>
      </c>
      <c r="G44" s="2">
        <v>1</v>
      </c>
      <c r="H44" s="2">
        <v>0</v>
      </c>
      <c r="I44" s="2">
        <v>0</v>
      </c>
      <c r="J44" s="2">
        <v>0</v>
      </c>
      <c r="K44" s="2">
        <f t="shared" si="0"/>
        <v>2</v>
      </c>
      <c r="L44" s="2">
        <f t="shared" si="1"/>
        <v>4</v>
      </c>
      <c r="M44" s="2">
        <f t="shared" si="2"/>
        <v>5</v>
      </c>
      <c r="N44" s="2">
        <v>5</v>
      </c>
      <c r="O44" s="2">
        <v>5</v>
      </c>
      <c r="P44" t="s">
        <v>138</v>
      </c>
      <c r="Q44" s="3" t="s">
        <v>139</v>
      </c>
      <c r="R44" s="3" t="s">
        <v>140</v>
      </c>
    </row>
    <row r="45" spans="1:18" ht="35" customHeight="1">
      <c r="A45" t="s">
        <v>141</v>
      </c>
      <c r="B45" s="3" t="s">
        <v>43</v>
      </c>
      <c r="C45">
        <v>0</v>
      </c>
      <c r="D45" s="2">
        <v>0</v>
      </c>
      <c r="E45" s="2">
        <v>0</v>
      </c>
      <c r="F45" s="2">
        <v>0</v>
      </c>
      <c r="G45" s="2">
        <v>2</v>
      </c>
      <c r="H45" s="2">
        <v>1</v>
      </c>
      <c r="I45" s="2">
        <v>1</v>
      </c>
      <c r="J45" s="2">
        <v>0</v>
      </c>
      <c r="K45" s="2">
        <f t="shared" si="0"/>
        <v>2</v>
      </c>
      <c r="L45" s="2">
        <f t="shared" si="1"/>
        <v>3</v>
      </c>
      <c r="M45" s="2">
        <f t="shared" si="2"/>
        <v>4</v>
      </c>
      <c r="N45" s="2">
        <v>4</v>
      </c>
      <c r="O45" s="2">
        <v>2</v>
      </c>
      <c r="P45" t="s">
        <v>92</v>
      </c>
      <c r="Q45" s="3" t="s">
        <v>142</v>
      </c>
      <c r="R45" s="3" t="s">
        <v>143</v>
      </c>
    </row>
    <row r="46" spans="1:18" ht="35" customHeight="1">
      <c r="A46" t="s">
        <v>144</v>
      </c>
      <c r="B46" s="3" t="s">
        <v>43</v>
      </c>
      <c r="C46">
        <v>0</v>
      </c>
      <c r="D46" s="2">
        <v>0</v>
      </c>
      <c r="E46" s="2">
        <v>2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f t="shared" si="0"/>
        <v>2</v>
      </c>
      <c r="L46" s="2">
        <f t="shared" si="1"/>
        <v>2</v>
      </c>
      <c r="M46" s="2">
        <f t="shared" si="2"/>
        <v>3</v>
      </c>
      <c r="N46" s="2">
        <v>3</v>
      </c>
      <c r="O46" s="2">
        <v>14</v>
      </c>
      <c r="P46" t="s">
        <v>26</v>
      </c>
      <c r="Q46" s="3" t="s">
        <v>145</v>
      </c>
      <c r="R46" s="3" t="s">
        <v>146</v>
      </c>
    </row>
    <row r="47" spans="1:18" ht="35" customHeight="1">
      <c r="A47" t="s">
        <v>147</v>
      </c>
      <c r="B47" s="3" t="s">
        <v>148</v>
      </c>
      <c r="C47">
        <v>1</v>
      </c>
      <c r="D47" s="2">
        <v>0</v>
      </c>
      <c r="E47" s="2">
        <v>0</v>
      </c>
      <c r="F47" s="2">
        <v>1</v>
      </c>
      <c r="G47" s="2">
        <v>0</v>
      </c>
      <c r="H47" s="2">
        <v>2</v>
      </c>
      <c r="I47" s="2">
        <v>0</v>
      </c>
      <c r="J47" s="2">
        <v>0</v>
      </c>
      <c r="K47" s="2">
        <f t="shared" si="0"/>
        <v>2</v>
      </c>
      <c r="L47" s="2">
        <f t="shared" si="1"/>
        <v>2</v>
      </c>
      <c r="M47" s="2">
        <f t="shared" si="2"/>
        <v>3</v>
      </c>
      <c r="N47" s="2">
        <v>2</v>
      </c>
      <c r="O47" s="2">
        <v>0</v>
      </c>
      <c r="Q47" s="3" t="s">
        <v>149</v>
      </c>
      <c r="R47" s="3" t="s">
        <v>150</v>
      </c>
    </row>
    <row r="48" spans="1:18" ht="35" customHeight="1">
      <c r="A48" t="s">
        <v>151</v>
      </c>
      <c r="B48" s="3" t="s">
        <v>43</v>
      </c>
      <c r="C48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2</v>
      </c>
      <c r="K48" s="2">
        <f t="shared" si="0"/>
        <v>2</v>
      </c>
      <c r="L48" s="2">
        <f t="shared" si="1"/>
        <v>1</v>
      </c>
      <c r="M48" s="2">
        <f t="shared" si="2"/>
        <v>2</v>
      </c>
      <c r="N48" s="2">
        <v>2</v>
      </c>
      <c r="O48" s="2">
        <v>14</v>
      </c>
      <c r="P48" t="s">
        <v>26</v>
      </c>
      <c r="Q48" s="3" t="s">
        <v>152</v>
      </c>
      <c r="R48" s="3" t="s">
        <v>153</v>
      </c>
    </row>
    <row r="49" spans="1:18" ht="35" customHeight="1">
      <c r="A49" t="s">
        <v>154</v>
      </c>
      <c r="B49" s="3" t="s">
        <v>43</v>
      </c>
      <c r="C49">
        <v>0</v>
      </c>
      <c r="D49" s="2">
        <v>0</v>
      </c>
      <c r="E49" s="2">
        <v>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f t="shared" si="0"/>
        <v>2</v>
      </c>
      <c r="L49" s="2">
        <f t="shared" si="1"/>
        <v>1</v>
      </c>
      <c r="M49" s="2">
        <f t="shared" si="2"/>
        <v>2</v>
      </c>
      <c r="N49" s="2">
        <v>2</v>
      </c>
      <c r="O49" s="2">
        <v>14</v>
      </c>
      <c r="P49" t="s">
        <v>26</v>
      </c>
      <c r="Q49" s="3" t="s">
        <v>152</v>
      </c>
      <c r="R49" s="3" t="s">
        <v>153</v>
      </c>
    </row>
    <row r="50" spans="1:18" ht="35" customHeight="1">
      <c r="A50" t="s">
        <v>155</v>
      </c>
      <c r="B50" s="3" t="s">
        <v>43</v>
      </c>
      <c r="C50">
        <v>0</v>
      </c>
      <c r="D50" s="2">
        <v>0</v>
      </c>
      <c r="E50" s="2">
        <v>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f t="shared" si="0"/>
        <v>2</v>
      </c>
      <c r="L50" s="2">
        <f t="shared" si="1"/>
        <v>1</v>
      </c>
      <c r="M50" s="2">
        <f t="shared" si="2"/>
        <v>2</v>
      </c>
      <c r="N50" s="2">
        <v>2</v>
      </c>
      <c r="O50" s="2">
        <v>14</v>
      </c>
      <c r="P50" t="s">
        <v>26</v>
      </c>
      <c r="Q50" s="3" t="s">
        <v>152</v>
      </c>
      <c r="R50" s="3" t="s">
        <v>153</v>
      </c>
    </row>
  </sheetData>
  <mergeCells count="2">
    <mergeCell ref="A1:R1"/>
    <mergeCell ref="A2:R2"/>
  </mergeCells>
  <conditionalFormatting sqref="K5:K50">
    <cfRule type="dataBar" priority="1">
      <dataBar>
        <cfvo type="min"/>
        <cfvo type="max"/>
        <color rgb="FF4A83B6"/>
      </dataBar>
    </cfRule>
    <cfRule type="dataBar" priority="2">
      <dataBar>
        <cfvo type="min"/>
        <cfvo type="max"/>
        <color rgb="FF4A83B6"/>
      </dataBar>
      <extLst>
        <ext xmlns:x14="http://schemas.microsoft.com/office/spreadsheetml/2009/9/main" uri="{B025F937-C7B1-47D3-B67F-A62EFF666E3E}">
          <x14:id>{72FBD579-421D-419F-C3C4-9AC6EA615692}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FBD579-421D-419F-C3C4-9AC6EA615692}">
            <x14:dataBar>
              <x14:cfvo type="min"/>
              <x14:cfvo type="max"/>
              <x14:negativeFillColor auto="1"/>
              <x14:axisColor auto="1"/>
            </x14:dataBar>
          </x14:cfRule>
          <xm:sqref>K5:K50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>
      <pane ySplit="4" topLeftCell="A5" activePane="bottomLeft" state="frozen"/>
      <selection pane="bottomLeft" activeCell="C25" sqref="C25"/>
    </sheetView>
  </sheetViews>
  <sheetFormatPr defaultRowHeight="14"/>
  <cols>
    <col min="1" max="1" width="18" customWidth="1"/>
    <col min="2" max="2" width="39" customWidth="1"/>
    <col min="3" max="3" width="10.5" bestFit="1" customWidth="1"/>
    <col min="4" max="10" width="13" customWidth="1"/>
    <col min="11" max="11" width="15" customWidth="1"/>
    <col min="12" max="15" width="16" customWidth="1"/>
    <col min="16" max="16" width="47" customWidth="1"/>
    <col min="17" max="17" width="38" customWidth="1"/>
    <col min="18" max="18" width="30" customWidth="1"/>
  </cols>
  <sheetData>
    <row r="1" spans="1:18" ht="34" customHeight="1">
      <c r="A1" s="4" t="s">
        <v>156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7" customHeight="1">
      <c r="A2" s="5" t="s">
        <v>157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4" spans="1:18" ht="2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35" customHeight="1">
      <c r="A5" t="s">
        <v>20</v>
      </c>
      <c r="B5" s="3" t="s">
        <v>21</v>
      </c>
      <c r="C5">
        <v>29</v>
      </c>
      <c r="D5" s="2">
        <v>8</v>
      </c>
      <c r="E5" s="2">
        <v>1</v>
      </c>
      <c r="F5" s="2">
        <v>5</v>
      </c>
      <c r="G5" s="2">
        <v>3</v>
      </c>
      <c r="H5" s="2">
        <v>2</v>
      </c>
      <c r="I5" s="2">
        <v>2</v>
      </c>
      <c r="J5" s="2">
        <v>8</v>
      </c>
      <c r="K5" s="2">
        <f t="shared" ref="K5:K12" si="0">MAX(D5:J5)-MIN(D5:J5)</f>
        <v>7</v>
      </c>
      <c r="L5" s="2">
        <f t="shared" ref="L5:L12" si="1">COUNTIF(D5:J5,"&gt;0")</f>
        <v>7</v>
      </c>
      <c r="M5" s="2">
        <f t="shared" ref="M5:M12" si="2">SUM(D5:J5)</f>
        <v>29</v>
      </c>
      <c r="N5" s="2">
        <v>0</v>
      </c>
      <c r="O5" s="2">
        <v>1</v>
      </c>
      <c r="P5" t="s">
        <v>22</v>
      </c>
      <c r="Q5" s="3" t="s">
        <v>21</v>
      </c>
      <c r="R5" s="3" t="s">
        <v>23</v>
      </c>
    </row>
    <row r="6" spans="1:18" ht="35" customHeight="1">
      <c r="A6" t="s">
        <v>24</v>
      </c>
      <c r="B6" s="3" t="s">
        <v>25</v>
      </c>
      <c r="C6">
        <v>23</v>
      </c>
      <c r="D6" s="2">
        <v>7</v>
      </c>
      <c r="E6" s="2">
        <v>0</v>
      </c>
      <c r="F6" s="2">
        <v>7</v>
      </c>
      <c r="G6" s="2">
        <v>3</v>
      </c>
      <c r="H6" s="2">
        <v>2</v>
      </c>
      <c r="I6" s="2">
        <v>2</v>
      </c>
      <c r="J6" s="2">
        <v>3</v>
      </c>
      <c r="K6" s="2">
        <f t="shared" si="0"/>
        <v>7</v>
      </c>
      <c r="L6" s="2">
        <f t="shared" si="1"/>
        <v>6</v>
      </c>
      <c r="M6" s="2">
        <f t="shared" si="2"/>
        <v>24</v>
      </c>
      <c r="N6" s="2">
        <v>1</v>
      </c>
      <c r="O6" s="2">
        <v>14</v>
      </c>
      <c r="P6" t="s">
        <v>26</v>
      </c>
      <c r="Q6" s="3" t="s">
        <v>27</v>
      </c>
      <c r="R6" s="3" t="s">
        <v>28</v>
      </c>
    </row>
    <row r="7" spans="1:18" ht="35" customHeight="1">
      <c r="A7" t="s">
        <v>29</v>
      </c>
      <c r="B7" s="3" t="s">
        <v>30</v>
      </c>
      <c r="C7">
        <v>7</v>
      </c>
      <c r="D7" s="2">
        <v>3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6</v>
      </c>
      <c r="K7" s="2">
        <f t="shared" si="0"/>
        <v>5</v>
      </c>
      <c r="L7" s="2">
        <f t="shared" si="1"/>
        <v>7</v>
      </c>
      <c r="M7" s="2">
        <f t="shared" si="2"/>
        <v>14</v>
      </c>
      <c r="N7" s="2">
        <v>7</v>
      </c>
      <c r="O7" s="2">
        <v>14</v>
      </c>
      <c r="P7" t="s">
        <v>26</v>
      </c>
      <c r="Q7" s="3" t="s">
        <v>31</v>
      </c>
      <c r="R7" s="3" t="s">
        <v>32</v>
      </c>
    </row>
    <row r="8" spans="1:18" ht="35" customHeight="1">
      <c r="A8" t="s">
        <v>33</v>
      </c>
      <c r="B8" s="3" t="s">
        <v>34</v>
      </c>
      <c r="C8">
        <v>7</v>
      </c>
      <c r="D8" s="2">
        <v>0</v>
      </c>
      <c r="E8" s="2">
        <v>0</v>
      </c>
      <c r="F8" s="2">
        <v>1</v>
      </c>
      <c r="G8" s="2">
        <v>5</v>
      </c>
      <c r="H8" s="2">
        <v>0</v>
      </c>
      <c r="I8" s="2">
        <v>1</v>
      </c>
      <c r="J8" s="2">
        <v>0</v>
      </c>
      <c r="K8" s="2">
        <f t="shared" si="0"/>
        <v>5</v>
      </c>
      <c r="L8" s="2">
        <f t="shared" si="1"/>
        <v>3</v>
      </c>
      <c r="M8" s="2">
        <f t="shared" si="2"/>
        <v>7</v>
      </c>
      <c r="N8" s="2">
        <v>0</v>
      </c>
      <c r="O8" s="2">
        <v>3</v>
      </c>
      <c r="P8" t="s">
        <v>35</v>
      </c>
      <c r="Q8" s="3" t="s">
        <v>34</v>
      </c>
      <c r="R8" s="3" t="s">
        <v>36</v>
      </c>
    </row>
    <row r="9" spans="1:18" ht="35" customHeight="1">
      <c r="A9" t="s">
        <v>37</v>
      </c>
      <c r="B9" s="3" t="s">
        <v>38</v>
      </c>
      <c r="C9">
        <v>7</v>
      </c>
      <c r="D9" s="2">
        <v>1</v>
      </c>
      <c r="E9" s="2">
        <v>1</v>
      </c>
      <c r="F9" s="2">
        <v>5</v>
      </c>
      <c r="G9" s="2">
        <v>2</v>
      </c>
      <c r="H9" s="2">
        <v>2</v>
      </c>
      <c r="I9" s="2">
        <v>4</v>
      </c>
      <c r="J9" s="2">
        <v>1</v>
      </c>
      <c r="K9" s="2">
        <f t="shared" si="0"/>
        <v>4</v>
      </c>
      <c r="L9" s="2">
        <f t="shared" si="1"/>
        <v>7</v>
      </c>
      <c r="M9" s="2">
        <f t="shared" si="2"/>
        <v>16</v>
      </c>
      <c r="N9" s="2">
        <v>9</v>
      </c>
      <c r="O9" s="2">
        <v>11</v>
      </c>
      <c r="P9" t="s">
        <v>39</v>
      </c>
      <c r="Q9" s="3" t="s">
        <v>40</v>
      </c>
      <c r="R9" s="3" t="s">
        <v>41</v>
      </c>
    </row>
    <row r="10" spans="1:18" ht="35" customHeight="1">
      <c r="A10" t="s">
        <v>42</v>
      </c>
      <c r="B10" s="3" t="s">
        <v>43</v>
      </c>
      <c r="C10">
        <v>0</v>
      </c>
      <c r="D10" s="2">
        <v>1</v>
      </c>
      <c r="E10" s="2">
        <v>1</v>
      </c>
      <c r="F10" s="2">
        <v>3</v>
      </c>
      <c r="G10" s="2">
        <v>2</v>
      </c>
      <c r="H10" s="2">
        <v>3</v>
      </c>
      <c r="I10" s="2">
        <v>4</v>
      </c>
      <c r="J10" s="2">
        <v>3</v>
      </c>
      <c r="K10" s="2">
        <f t="shared" si="0"/>
        <v>3</v>
      </c>
      <c r="L10" s="2">
        <f t="shared" si="1"/>
        <v>7</v>
      </c>
      <c r="M10" s="2">
        <f t="shared" si="2"/>
        <v>17</v>
      </c>
      <c r="N10" s="2">
        <v>17</v>
      </c>
      <c r="O10" s="2">
        <v>6</v>
      </c>
      <c r="P10" t="s">
        <v>44</v>
      </c>
      <c r="Q10" s="3" t="s">
        <v>45</v>
      </c>
      <c r="R10" s="3" t="s">
        <v>46</v>
      </c>
    </row>
    <row r="11" spans="1:18" ht="35" customHeight="1">
      <c r="A11" t="s">
        <v>47</v>
      </c>
      <c r="B11" s="3" t="s">
        <v>43</v>
      </c>
      <c r="C11">
        <v>0</v>
      </c>
      <c r="D11" s="2">
        <v>4</v>
      </c>
      <c r="E11" s="2">
        <v>1</v>
      </c>
      <c r="F11" s="2">
        <v>2</v>
      </c>
      <c r="G11" s="2">
        <v>2</v>
      </c>
      <c r="H11" s="2">
        <v>1</v>
      </c>
      <c r="I11" s="2">
        <v>1</v>
      </c>
      <c r="J11" s="2">
        <v>3</v>
      </c>
      <c r="K11" s="2">
        <f t="shared" si="0"/>
        <v>3</v>
      </c>
      <c r="L11" s="2">
        <f t="shared" si="1"/>
        <v>7</v>
      </c>
      <c r="M11" s="2">
        <f t="shared" si="2"/>
        <v>14</v>
      </c>
      <c r="N11" s="2">
        <v>14</v>
      </c>
      <c r="O11" s="2">
        <v>3</v>
      </c>
      <c r="P11" t="s">
        <v>48</v>
      </c>
      <c r="Q11" s="3" t="s">
        <v>49</v>
      </c>
      <c r="R11" s="3" t="s">
        <v>50</v>
      </c>
    </row>
    <row r="12" spans="1:18" ht="35" customHeight="1">
      <c r="A12" t="s">
        <v>51</v>
      </c>
      <c r="B12" s="3" t="s">
        <v>43</v>
      </c>
      <c r="C12">
        <v>0</v>
      </c>
      <c r="D12" s="2">
        <v>3</v>
      </c>
      <c r="E12" s="2">
        <v>0</v>
      </c>
      <c r="F12" s="2">
        <v>0</v>
      </c>
      <c r="G12" s="2">
        <v>3</v>
      </c>
      <c r="H12" s="2">
        <v>2</v>
      </c>
      <c r="I12" s="2">
        <v>2</v>
      </c>
      <c r="J12" s="2">
        <v>3</v>
      </c>
      <c r="K12" s="2">
        <f t="shared" si="0"/>
        <v>3</v>
      </c>
      <c r="L12" s="2">
        <f t="shared" si="1"/>
        <v>5</v>
      </c>
      <c r="M12" s="2">
        <f t="shared" si="2"/>
        <v>13</v>
      </c>
      <c r="N12" s="2">
        <v>13</v>
      </c>
      <c r="O12" s="2">
        <v>12</v>
      </c>
      <c r="P12" t="s">
        <v>52</v>
      </c>
      <c r="Q12" s="3" t="s">
        <v>53</v>
      </c>
      <c r="R12" s="3" t="s">
        <v>54</v>
      </c>
    </row>
  </sheetData>
  <mergeCells count="2">
    <mergeCell ref="A1:R1"/>
    <mergeCell ref="A2:R2"/>
  </mergeCells>
  <conditionalFormatting sqref="K5:K12">
    <cfRule type="dataBar" priority="1">
      <dataBar>
        <cfvo type="min"/>
        <cfvo type="max"/>
        <color rgb="FF4A83B6"/>
      </dataBar>
    </cfRule>
    <cfRule type="dataBar" priority="2">
      <dataBar>
        <cfvo type="min"/>
        <cfvo type="max"/>
        <color rgb="FF4A83B6"/>
      </dataBar>
      <extLst>
        <ext xmlns:x14="http://schemas.microsoft.com/office/spreadsheetml/2009/9/main" uri="{B025F937-C7B1-47D3-B67F-A62EFF666E3E}">
          <x14:id>{8A141A1A-5F61-8DAA-2EE5-6C7CC65B8F96}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41A1A-5F61-8DAA-2EE5-6C7CC65B8F96}">
            <x14:dataBar>
              <x14:cfvo type="min"/>
              <x14:cfvo type="max"/>
              <x14:negativeFillColor auto="1"/>
              <x14:axisColor auto="1"/>
            </x14:dataBar>
          </x14:cfRule>
          <xm:sqref>K5:K12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81"/>
  <sheetViews>
    <sheetView tabSelected="1" workbookViewId="0">
      <pane ySplit="2" topLeftCell="A3" activePane="bottomLeft" state="frozen"/>
      <selection pane="bottomLeft" activeCell="A2" sqref="A1:R1048576"/>
    </sheetView>
  </sheetViews>
  <sheetFormatPr defaultRowHeight="14"/>
  <cols>
    <col min="1" max="1" width="18" customWidth="1"/>
    <col min="2" max="2" width="39" customWidth="1"/>
    <col min="3" max="10" width="13" customWidth="1"/>
    <col min="11" max="11" width="15" customWidth="1"/>
    <col min="12" max="15" width="16" customWidth="1"/>
    <col min="16" max="16" width="47" customWidth="1"/>
    <col min="17" max="17" width="38" customWidth="1"/>
    <col min="18" max="18" width="30" customWidth="1"/>
  </cols>
  <sheetData>
    <row r="1" spans="1:18" ht="34" customHeight="1">
      <c r="A1" s="4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>
      <c r="A3" t="s">
        <v>159</v>
      </c>
      <c r="B3" s="3" t="s">
        <v>43</v>
      </c>
      <c r="C3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f t="shared" ref="K3:K66" si="0">MAX(D3:J3)-MIN(D3:J3)</f>
        <v>0</v>
      </c>
      <c r="L3" s="2">
        <f t="shared" ref="L3:L66" si="1">COUNTIF(D3:J3,"&gt;0")</f>
        <v>7</v>
      </c>
      <c r="M3" s="2">
        <f t="shared" ref="M3:M66" si="2">SUM(D3:J3)</f>
        <v>7</v>
      </c>
      <c r="N3" s="2">
        <v>7</v>
      </c>
      <c r="O3" s="2">
        <v>13</v>
      </c>
      <c r="P3" t="s">
        <v>160</v>
      </c>
      <c r="Q3" s="3" t="s">
        <v>122</v>
      </c>
      <c r="R3" s="3" t="s">
        <v>123</v>
      </c>
    </row>
    <row r="4" spans="1:18" ht="28">
      <c r="A4" t="s">
        <v>33</v>
      </c>
      <c r="B4" s="3" t="s">
        <v>34</v>
      </c>
      <c r="C4">
        <v>7</v>
      </c>
      <c r="D4" s="2">
        <v>0</v>
      </c>
      <c r="E4" s="2">
        <v>0</v>
      </c>
      <c r="F4" s="2">
        <v>1</v>
      </c>
      <c r="G4" s="2">
        <v>5</v>
      </c>
      <c r="H4" s="2">
        <v>0</v>
      </c>
      <c r="I4" s="2">
        <v>1</v>
      </c>
      <c r="J4" s="2">
        <v>0</v>
      </c>
      <c r="K4" s="2">
        <f t="shared" si="0"/>
        <v>5</v>
      </c>
      <c r="L4" s="2">
        <f t="shared" si="1"/>
        <v>3</v>
      </c>
      <c r="M4" s="2">
        <f t="shared" si="2"/>
        <v>7</v>
      </c>
      <c r="N4" s="2">
        <v>0</v>
      </c>
      <c r="O4" s="2">
        <v>3</v>
      </c>
      <c r="P4" t="s">
        <v>35</v>
      </c>
      <c r="Q4" s="3" t="s">
        <v>34</v>
      </c>
      <c r="R4" s="3" t="s">
        <v>36</v>
      </c>
    </row>
    <row r="5" spans="1:18" ht="35" customHeight="1">
      <c r="A5" t="s">
        <v>161</v>
      </c>
      <c r="B5" s="3" t="s">
        <v>162</v>
      </c>
      <c r="C5">
        <v>4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f t="shared" si="0"/>
        <v>0</v>
      </c>
      <c r="L5" s="2">
        <f t="shared" si="1"/>
        <v>7</v>
      </c>
      <c r="M5" s="2">
        <f t="shared" si="2"/>
        <v>7</v>
      </c>
      <c r="N5" s="2">
        <v>3</v>
      </c>
      <c r="O5" s="2">
        <v>14</v>
      </c>
      <c r="P5" t="s">
        <v>26</v>
      </c>
      <c r="Q5" s="3" t="s">
        <v>163</v>
      </c>
      <c r="R5" s="3" t="s">
        <v>164</v>
      </c>
    </row>
    <row r="6" spans="1:18" ht="35" customHeight="1">
      <c r="A6" t="s">
        <v>121</v>
      </c>
      <c r="B6" s="3" t="s">
        <v>43</v>
      </c>
      <c r="C6">
        <v>0</v>
      </c>
      <c r="D6" s="2">
        <v>1</v>
      </c>
      <c r="E6" s="2">
        <v>2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f t="shared" si="0"/>
        <v>2</v>
      </c>
      <c r="L6" s="2">
        <f t="shared" si="1"/>
        <v>6</v>
      </c>
      <c r="M6" s="2">
        <f t="shared" si="2"/>
        <v>7</v>
      </c>
      <c r="N6" s="2">
        <v>7</v>
      </c>
      <c r="O6" s="2">
        <v>14</v>
      </c>
      <c r="P6" t="s">
        <v>26</v>
      </c>
      <c r="Q6" s="3" t="s">
        <v>122</v>
      </c>
      <c r="R6" s="3" t="s">
        <v>123</v>
      </c>
    </row>
    <row r="7" spans="1:18" ht="35" customHeight="1">
      <c r="A7" t="s">
        <v>165</v>
      </c>
      <c r="B7" s="3" t="s">
        <v>43</v>
      </c>
      <c r="C7">
        <v>0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f t="shared" si="0"/>
        <v>0</v>
      </c>
      <c r="L7" s="2">
        <f t="shared" si="1"/>
        <v>7</v>
      </c>
      <c r="M7" s="2">
        <f t="shared" si="2"/>
        <v>7</v>
      </c>
      <c r="N7" s="2">
        <v>7</v>
      </c>
      <c r="O7" s="2">
        <v>14</v>
      </c>
      <c r="P7" t="s">
        <v>26</v>
      </c>
      <c r="Q7" s="3" t="s">
        <v>122</v>
      </c>
      <c r="R7" s="3" t="s">
        <v>123</v>
      </c>
    </row>
    <row r="8" spans="1:18" ht="35" customHeight="1">
      <c r="A8" t="s">
        <v>166</v>
      </c>
      <c r="B8" s="3" t="s">
        <v>167</v>
      </c>
      <c r="C8">
        <v>6</v>
      </c>
      <c r="D8" s="2">
        <v>1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>
        <v>1</v>
      </c>
      <c r="K8" s="2">
        <f t="shared" si="0"/>
        <v>1</v>
      </c>
      <c r="L8" s="2">
        <f t="shared" si="1"/>
        <v>6</v>
      </c>
      <c r="M8" s="2">
        <f t="shared" si="2"/>
        <v>6</v>
      </c>
      <c r="N8" s="2">
        <v>0</v>
      </c>
      <c r="O8" s="2">
        <v>14</v>
      </c>
      <c r="P8" t="s">
        <v>26</v>
      </c>
      <c r="Q8" s="3" t="s">
        <v>167</v>
      </c>
      <c r="R8" s="3" t="s">
        <v>168</v>
      </c>
    </row>
    <row r="9" spans="1:18" ht="35" customHeight="1">
      <c r="A9" t="s">
        <v>169</v>
      </c>
      <c r="B9" s="3" t="s">
        <v>170</v>
      </c>
      <c r="C9">
        <v>7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f t="shared" si="0"/>
        <v>0</v>
      </c>
      <c r="L9" s="2">
        <f t="shared" si="1"/>
        <v>7</v>
      </c>
      <c r="M9" s="2">
        <f t="shared" si="2"/>
        <v>7</v>
      </c>
      <c r="N9" s="2">
        <v>0</v>
      </c>
      <c r="O9" s="2">
        <v>14</v>
      </c>
      <c r="P9" t="s">
        <v>26</v>
      </c>
      <c r="Q9" s="3" t="s">
        <v>170</v>
      </c>
      <c r="R9" s="3" t="s">
        <v>171</v>
      </c>
    </row>
    <row r="10" spans="1:18" ht="35" customHeight="1">
      <c r="A10" t="s">
        <v>24</v>
      </c>
      <c r="B10" s="3" t="s">
        <v>25</v>
      </c>
      <c r="C10">
        <v>23</v>
      </c>
      <c r="D10" s="2">
        <v>7</v>
      </c>
      <c r="E10" s="2">
        <v>0</v>
      </c>
      <c r="F10" s="2">
        <v>7</v>
      </c>
      <c r="G10" s="2">
        <v>3</v>
      </c>
      <c r="H10" s="2">
        <v>2</v>
      </c>
      <c r="I10" s="2">
        <v>2</v>
      </c>
      <c r="J10" s="2">
        <v>3</v>
      </c>
      <c r="K10" s="2">
        <f t="shared" si="0"/>
        <v>7</v>
      </c>
      <c r="L10" s="2">
        <f t="shared" si="1"/>
        <v>6</v>
      </c>
      <c r="M10" s="2">
        <f t="shared" si="2"/>
        <v>24</v>
      </c>
      <c r="N10" s="2">
        <v>1</v>
      </c>
      <c r="O10" s="2">
        <v>14</v>
      </c>
      <c r="P10" t="s">
        <v>26</v>
      </c>
      <c r="Q10" s="3" t="s">
        <v>27</v>
      </c>
      <c r="R10" s="3" t="s">
        <v>28</v>
      </c>
    </row>
    <row r="11" spans="1:18" ht="35" customHeight="1">
      <c r="A11" t="s">
        <v>172</v>
      </c>
      <c r="B11" s="3" t="s">
        <v>43</v>
      </c>
      <c r="C11">
        <v>0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f t="shared" si="0"/>
        <v>1</v>
      </c>
      <c r="L11" s="2">
        <f t="shared" si="1"/>
        <v>6</v>
      </c>
      <c r="M11" s="2">
        <f t="shared" si="2"/>
        <v>6</v>
      </c>
      <c r="N11" s="2">
        <v>6</v>
      </c>
      <c r="O11" s="2">
        <v>14</v>
      </c>
      <c r="P11" t="s">
        <v>26</v>
      </c>
      <c r="Q11" s="3" t="s">
        <v>173</v>
      </c>
      <c r="R11" s="3" t="s">
        <v>174</v>
      </c>
    </row>
    <row r="12" spans="1:18" ht="35" customHeight="1">
      <c r="A12" t="s">
        <v>175</v>
      </c>
      <c r="B12" s="3" t="s">
        <v>176</v>
      </c>
      <c r="C12">
        <v>7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f t="shared" si="0"/>
        <v>0</v>
      </c>
      <c r="L12" s="2">
        <f t="shared" si="1"/>
        <v>7</v>
      </c>
      <c r="M12" s="2">
        <f t="shared" si="2"/>
        <v>7</v>
      </c>
      <c r="N12" s="2">
        <v>0</v>
      </c>
      <c r="O12" s="2">
        <v>13</v>
      </c>
      <c r="P12" t="s">
        <v>128</v>
      </c>
      <c r="Q12" s="3" t="s">
        <v>176</v>
      </c>
      <c r="R12" s="3" t="s">
        <v>171</v>
      </c>
    </row>
    <row r="13" spans="1:18" ht="35" customHeight="1">
      <c r="A13" t="s">
        <v>55</v>
      </c>
      <c r="B13" s="3" t="s">
        <v>56</v>
      </c>
      <c r="C13">
        <v>23</v>
      </c>
      <c r="D13" s="2">
        <v>5</v>
      </c>
      <c r="E13" s="2">
        <v>4</v>
      </c>
      <c r="F13" s="2">
        <v>5</v>
      </c>
      <c r="G13" s="2">
        <v>4</v>
      </c>
      <c r="H13" s="2">
        <v>5</v>
      </c>
      <c r="I13" s="2">
        <v>3</v>
      </c>
      <c r="J13" s="2">
        <v>5</v>
      </c>
      <c r="K13" s="2">
        <f t="shared" si="0"/>
        <v>2</v>
      </c>
      <c r="L13" s="2">
        <f t="shared" si="1"/>
        <v>7</v>
      </c>
      <c r="M13" s="2">
        <f t="shared" si="2"/>
        <v>31</v>
      </c>
      <c r="N13" s="2">
        <v>8</v>
      </c>
      <c r="O13" s="2">
        <v>14</v>
      </c>
      <c r="P13" t="s">
        <v>26</v>
      </c>
      <c r="Q13" s="3" t="s">
        <v>57</v>
      </c>
      <c r="R13" s="3" t="s">
        <v>58</v>
      </c>
    </row>
    <row r="14" spans="1:18" ht="35" customHeight="1">
      <c r="A14" t="s">
        <v>69</v>
      </c>
      <c r="B14" s="3" t="s">
        <v>70</v>
      </c>
      <c r="C14">
        <v>21</v>
      </c>
      <c r="D14" s="2">
        <v>3</v>
      </c>
      <c r="E14" s="2">
        <v>4</v>
      </c>
      <c r="F14" s="2">
        <v>2</v>
      </c>
      <c r="G14" s="2">
        <v>3</v>
      </c>
      <c r="H14" s="2">
        <v>3</v>
      </c>
      <c r="I14" s="2">
        <v>3</v>
      </c>
      <c r="J14" s="2">
        <v>3</v>
      </c>
      <c r="K14" s="2">
        <f t="shared" si="0"/>
        <v>2</v>
      </c>
      <c r="L14" s="2">
        <f t="shared" si="1"/>
        <v>7</v>
      </c>
      <c r="M14" s="2">
        <f t="shared" si="2"/>
        <v>21</v>
      </c>
      <c r="N14" s="2">
        <v>0</v>
      </c>
      <c r="O14" s="2">
        <v>14</v>
      </c>
      <c r="P14" t="s">
        <v>26</v>
      </c>
      <c r="Q14" s="3" t="s">
        <v>70</v>
      </c>
      <c r="R14" s="3" t="s">
        <v>71</v>
      </c>
    </row>
    <row r="15" spans="1:18" ht="35" customHeight="1">
      <c r="A15" t="s">
        <v>177</v>
      </c>
      <c r="B15" s="3" t="s">
        <v>178</v>
      </c>
      <c r="C15">
        <v>14</v>
      </c>
      <c r="D15" s="2">
        <v>2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f t="shared" si="0"/>
        <v>0</v>
      </c>
      <c r="L15" s="2">
        <f t="shared" si="1"/>
        <v>7</v>
      </c>
      <c r="M15" s="2">
        <f t="shared" si="2"/>
        <v>14</v>
      </c>
      <c r="N15" s="2">
        <v>0</v>
      </c>
      <c r="O15" s="2">
        <v>12</v>
      </c>
      <c r="P15" t="s">
        <v>77</v>
      </c>
      <c r="Q15" s="3" t="s">
        <v>178</v>
      </c>
      <c r="R15" s="3" t="s">
        <v>179</v>
      </c>
    </row>
    <row r="16" spans="1:18" ht="35" customHeight="1">
      <c r="A16" t="s">
        <v>78</v>
      </c>
      <c r="B16" s="3" t="s">
        <v>79</v>
      </c>
      <c r="C16">
        <v>18</v>
      </c>
      <c r="D16" s="2">
        <v>2</v>
      </c>
      <c r="E16" s="2">
        <v>2</v>
      </c>
      <c r="F16" s="2">
        <v>2</v>
      </c>
      <c r="G16" s="2">
        <v>3</v>
      </c>
      <c r="H16" s="2">
        <v>3</v>
      </c>
      <c r="I16" s="2">
        <v>4</v>
      </c>
      <c r="J16" s="2">
        <v>2</v>
      </c>
      <c r="K16" s="2">
        <f t="shared" si="0"/>
        <v>2</v>
      </c>
      <c r="L16" s="2">
        <f t="shared" si="1"/>
        <v>7</v>
      </c>
      <c r="M16" s="2">
        <f t="shared" si="2"/>
        <v>18</v>
      </c>
      <c r="N16" s="2">
        <v>0</v>
      </c>
      <c r="O16" s="2">
        <v>3</v>
      </c>
      <c r="P16" t="s">
        <v>80</v>
      </c>
      <c r="Q16" s="3" t="s">
        <v>79</v>
      </c>
      <c r="R16" s="3" t="s">
        <v>81</v>
      </c>
    </row>
    <row r="17" spans="1:18" ht="35" customHeight="1">
      <c r="A17" t="s">
        <v>180</v>
      </c>
      <c r="B17" s="3" t="s">
        <v>43</v>
      </c>
      <c r="C17">
        <v>0</v>
      </c>
      <c r="D17" s="2">
        <v>0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1</v>
      </c>
      <c r="L17" s="2">
        <f t="shared" si="1"/>
        <v>2</v>
      </c>
      <c r="M17" s="2">
        <f t="shared" si="2"/>
        <v>2</v>
      </c>
      <c r="N17" s="2">
        <v>2</v>
      </c>
      <c r="O17" s="2">
        <v>14</v>
      </c>
      <c r="P17" t="s">
        <v>26</v>
      </c>
      <c r="Q17" s="3" t="s">
        <v>152</v>
      </c>
      <c r="R17" s="3" t="s">
        <v>153</v>
      </c>
    </row>
    <row r="18" spans="1:18" ht="35" customHeight="1">
      <c r="A18" t="s">
        <v>181</v>
      </c>
      <c r="B18" s="3" t="s">
        <v>43</v>
      </c>
      <c r="C18">
        <v>0</v>
      </c>
      <c r="D18" s="2">
        <v>0</v>
      </c>
      <c r="E18" s="2">
        <v>1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f t="shared" si="0"/>
        <v>1</v>
      </c>
      <c r="L18" s="2">
        <f t="shared" si="1"/>
        <v>3</v>
      </c>
      <c r="M18" s="2">
        <f t="shared" si="2"/>
        <v>3</v>
      </c>
      <c r="N18" s="2">
        <v>3</v>
      </c>
      <c r="O18" s="2">
        <v>14</v>
      </c>
      <c r="P18" t="s">
        <v>26</v>
      </c>
      <c r="Q18" s="3" t="s">
        <v>145</v>
      </c>
      <c r="R18" s="3" t="s">
        <v>146</v>
      </c>
    </row>
    <row r="19" spans="1:18" ht="35" customHeight="1">
      <c r="A19" t="s">
        <v>151</v>
      </c>
      <c r="B19" s="3" t="s">
        <v>43</v>
      </c>
      <c r="C19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f t="shared" si="0"/>
        <v>2</v>
      </c>
      <c r="L19" s="2">
        <f t="shared" si="1"/>
        <v>1</v>
      </c>
      <c r="M19" s="2">
        <f t="shared" si="2"/>
        <v>2</v>
      </c>
      <c r="N19" s="2">
        <v>2</v>
      </c>
      <c r="O19" s="2">
        <v>14</v>
      </c>
      <c r="P19" t="s">
        <v>26</v>
      </c>
      <c r="Q19" s="3" t="s">
        <v>152</v>
      </c>
      <c r="R19" s="3" t="s">
        <v>153</v>
      </c>
    </row>
    <row r="20" spans="1:18" ht="35" customHeight="1">
      <c r="A20" t="s">
        <v>182</v>
      </c>
      <c r="B20" s="3" t="s">
        <v>43</v>
      </c>
      <c r="C20">
        <v>0</v>
      </c>
      <c r="D20" s="2">
        <v>2</v>
      </c>
      <c r="E20" s="2">
        <v>1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f t="shared" si="0"/>
        <v>1</v>
      </c>
      <c r="L20" s="2">
        <f t="shared" si="1"/>
        <v>7</v>
      </c>
      <c r="M20" s="2">
        <f t="shared" si="2"/>
        <v>13</v>
      </c>
      <c r="N20" s="2">
        <v>13</v>
      </c>
      <c r="O20" s="2">
        <v>13</v>
      </c>
      <c r="P20" t="s">
        <v>160</v>
      </c>
      <c r="Q20" s="3" t="s">
        <v>53</v>
      </c>
      <c r="R20" s="3" t="s">
        <v>54</v>
      </c>
    </row>
    <row r="21" spans="1:18" ht="35" customHeight="1">
      <c r="A21" t="s">
        <v>183</v>
      </c>
      <c r="B21" s="3" t="s">
        <v>43</v>
      </c>
      <c r="C21">
        <v>0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f t="shared" si="0"/>
        <v>0</v>
      </c>
      <c r="L21" s="2">
        <f t="shared" si="1"/>
        <v>7</v>
      </c>
      <c r="M21" s="2">
        <f t="shared" si="2"/>
        <v>7</v>
      </c>
      <c r="N21" s="2">
        <v>7</v>
      </c>
      <c r="O21" s="2">
        <v>13</v>
      </c>
      <c r="P21" t="s">
        <v>160</v>
      </c>
      <c r="Q21" s="3" t="s">
        <v>122</v>
      </c>
      <c r="R21" s="3" t="s">
        <v>123</v>
      </c>
    </row>
    <row r="22" spans="1:18" ht="35" customHeight="1">
      <c r="A22" t="s">
        <v>82</v>
      </c>
      <c r="B22" s="3" t="s">
        <v>43</v>
      </c>
      <c r="C22">
        <v>0</v>
      </c>
      <c r="D22" s="2">
        <v>2</v>
      </c>
      <c r="E22" s="2">
        <v>2</v>
      </c>
      <c r="F22" s="2">
        <v>2</v>
      </c>
      <c r="G22" s="2">
        <v>2</v>
      </c>
      <c r="H22" s="2">
        <v>4</v>
      </c>
      <c r="I22" s="2">
        <v>2</v>
      </c>
      <c r="J22" s="2">
        <v>2</v>
      </c>
      <c r="K22" s="2">
        <f t="shared" si="0"/>
        <v>2</v>
      </c>
      <c r="L22" s="2">
        <f t="shared" si="1"/>
        <v>7</v>
      </c>
      <c r="M22" s="2">
        <f t="shared" si="2"/>
        <v>16</v>
      </c>
      <c r="N22" s="2">
        <v>16</v>
      </c>
      <c r="O22" s="2">
        <v>14</v>
      </c>
      <c r="P22" t="s">
        <v>26</v>
      </c>
      <c r="Q22" s="3" t="s">
        <v>83</v>
      </c>
      <c r="R22" s="3" t="s">
        <v>84</v>
      </c>
    </row>
    <row r="23" spans="1:18" ht="35" customHeight="1">
      <c r="A23" t="s">
        <v>184</v>
      </c>
      <c r="B23" s="3" t="s">
        <v>185</v>
      </c>
      <c r="C23">
        <v>14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f t="shared" si="0"/>
        <v>0</v>
      </c>
      <c r="L23" s="2">
        <f t="shared" si="1"/>
        <v>7</v>
      </c>
      <c r="M23" s="2">
        <f t="shared" si="2"/>
        <v>14</v>
      </c>
      <c r="N23" s="2">
        <v>0</v>
      </c>
      <c r="O23" s="2">
        <v>12</v>
      </c>
      <c r="P23" t="s">
        <v>186</v>
      </c>
      <c r="Q23" s="3" t="s">
        <v>185</v>
      </c>
      <c r="R23" s="3" t="s">
        <v>187</v>
      </c>
    </row>
    <row r="24" spans="1:18" ht="35" customHeight="1">
      <c r="A24" t="s">
        <v>188</v>
      </c>
      <c r="B24" s="3" t="s">
        <v>43</v>
      </c>
      <c r="C24">
        <v>0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f t="shared" si="0"/>
        <v>0</v>
      </c>
      <c r="L24" s="2">
        <f t="shared" si="1"/>
        <v>7</v>
      </c>
      <c r="M24" s="2">
        <f t="shared" si="2"/>
        <v>7</v>
      </c>
      <c r="N24" s="2">
        <v>7</v>
      </c>
      <c r="O24" s="2">
        <v>14</v>
      </c>
      <c r="P24" t="s">
        <v>26</v>
      </c>
      <c r="Q24" s="3" t="s">
        <v>122</v>
      </c>
      <c r="R24" s="3" t="s">
        <v>123</v>
      </c>
    </row>
    <row r="25" spans="1:18" ht="35" customHeight="1">
      <c r="A25" t="s">
        <v>189</v>
      </c>
      <c r="B25" s="3" t="s">
        <v>190</v>
      </c>
      <c r="C25">
        <v>7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f t="shared" si="0"/>
        <v>0</v>
      </c>
      <c r="L25" s="2">
        <f t="shared" si="1"/>
        <v>7</v>
      </c>
      <c r="M25" s="2">
        <f t="shared" si="2"/>
        <v>7</v>
      </c>
      <c r="N25" s="2">
        <v>0</v>
      </c>
      <c r="O25" s="2">
        <v>14</v>
      </c>
      <c r="P25" t="s">
        <v>26</v>
      </c>
      <c r="Q25" s="3" t="s">
        <v>190</v>
      </c>
      <c r="R25" s="3" t="s">
        <v>171</v>
      </c>
    </row>
    <row r="26" spans="1:18" ht="35" customHeight="1">
      <c r="A26" t="s">
        <v>191</v>
      </c>
      <c r="B26" s="3" t="s">
        <v>43</v>
      </c>
      <c r="C26">
        <v>0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f t="shared" si="0"/>
        <v>0</v>
      </c>
      <c r="L26" s="2">
        <f t="shared" si="1"/>
        <v>7</v>
      </c>
      <c r="M26" s="2">
        <f t="shared" si="2"/>
        <v>7</v>
      </c>
      <c r="N26" s="2">
        <v>7</v>
      </c>
      <c r="O26" s="2">
        <v>14</v>
      </c>
      <c r="P26" t="s">
        <v>26</v>
      </c>
      <c r="Q26" s="3" t="s">
        <v>122</v>
      </c>
      <c r="R26" s="3" t="s">
        <v>123</v>
      </c>
    </row>
    <row r="27" spans="1:18" ht="35" customHeight="1">
      <c r="A27" t="s">
        <v>192</v>
      </c>
      <c r="B27" s="3" t="s">
        <v>193</v>
      </c>
      <c r="C27">
        <v>29</v>
      </c>
      <c r="D27" s="2">
        <v>4</v>
      </c>
      <c r="E27" s="2">
        <v>5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f t="shared" si="0"/>
        <v>1</v>
      </c>
      <c r="L27" s="2">
        <f t="shared" si="1"/>
        <v>7</v>
      </c>
      <c r="M27" s="2">
        <f t="shared" si="2"/>
        <v>29</v>
      </c>
      <c r="N27" s="2">
        <v>0</v>
      </c>
      <c r="O27" s="2">
        <v>12</v>
      </c>
      <c r="P27" t="s">
        <v>186</v>
      </c>
      <c r="Q27" s="3" t="s">
        <v>193</v>
      </c>
      <c r="R27" s="3" t="s">
        <v>194</v>
      </c>
    </row>
    <row r="28" spans="1:18" ht="35" customHeight="1">
      <c r="A28" t="s">
        <v>195</v>
      </c>
      <c r="B28" s="3" t="s">
        <v>196</v>
      </c>
      <c r="C28">
        <v>26</v>
      </c>
      <c r="D28" s="2">
        <v>4</v>
      </c>
      <c r="E28" s="2">
        <v>4</v>
      </c>
      <c r="F28" s="2">
        <v>3</v>
      </c>
      <c r="G28" s="2">
        <v>4</v>
      </c>
      <c r="H28" s="2">
        <v>4</v>
      </c>
      <c r="I28" s="2">
        <v>3</v>
      </c>
      <c r="J28" s="2">
        <v>4</v>
      </c>
      <c r="K28" s="2">
        <f t="shared" si="0"/>
        <v>1</v>
      </c>
      <c r="L28" s="2">
        <f t="shared" si="1"/>
        <v>7</v>
      </c>
      <c r="M28" s="2">
        <f t="shared" si="2"/>
        <v>26</v>
      </c>
      <c r="N28" s="2">
        <v>0</v>
      </c>
      <c r="O28" s="2">
        <v>14</v>
      </c>
      <c r="P28" t="s">
        <v>26</v>
      </c>
      <c r="Q28" s="3" t="s">
        <v>196</v>
      </c>
      <c r="R28" s="3" t="s">
        <v>197</v>
      </c>
    </row>
    <row r="29" spans="1:18" ht="35" customHeight="1">
      <c r="A29" t="s">
        <v>198</v>
      </c>
      <c r="B29" s="3" t="s">
        <v>199</v>
      </c>
      <c r="C29">
        <v>7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f t="shared" si="0"/>
        <v>0</v>
      </c>
      <c r="L29" s="2">
        <f t="shared" si="1"/>
        <v>7</v>
      </c>
      <c r="M29" s="2">
        <f t="shared" si="2"/>
        <v>7</v>
      </c>
      <c r="N29" s="2">
        <v>0</v>
      </c>
      <c r="O29" s="2">
        <v>14</v>
      </c>
      <c r="P29" t="s">
        <v>26</v>
      </c>
      <c r="Q29" s="3" t="s">
        <v>199</v>
      </c>
      <c r="R29" s="3" t="s">
        <v>171</v>
      </c>
    </row>
    <row r="30" spans="1:18" ht="35" customHeight="1">
      <c r="A30" t="s">
        <v>200</v>
      </c>
      <c r="B30" s="3" t="s">
        <v>43</v>
      </c>
      <c r="C30">
        <v>0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f t="shared" si="0"/>
        <v>0</v>
      </c>
      <c r="L30" s="2">
        <f t="shared" si="1"/>
        <v>7</v>
      </c>
      <c r="M30" s="2">
        <f t="shared" si="2"/>
        <v>7</v>
      </c>
      <c r="N30" s="2">
        <v>7</v>
      </c>
      <c r="O30" s="2">
        <v>14</v>
      </c>
      <c r="P30" t="s">
        <v>26</v>
      </c>
      <c r="Q30" s="3" t="s">
        <v>122</v>
      </c>
      <c r="R30" s="3" t="s">
        <v>123</v>
      </c>
    </row>
    <row r="31" spans="1:18" ht="35" customHeight="1">
      <c r="A31" t="s">
        <v>201</v>
      </c>
      <c r="B31" s="3" t="s">
        <v>202</v>
      </c>
      <c r="C31">
        <v>7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f t="shared" si="0"/>
        <v>0</v>
      </c>
      <c r="L31" s="2">
        <f t="shared" si="1"/>
        <v>7</v>
      </c>
      <c r="M31" s="2">
        <f t="shared" si="2"/>
        <v>7</v>
      </c>
      <c r="N31" s="2">
        <v>0</v>
      </c>
      <c r="O31" s="2">
        <v>14</v>
      </c>
      <c r="P31" t="s">
        <v>26</v>
      </c>
      <c r="Q31" s="3" t="s">
        <v>202</v>
      </c>
      <c r="R31" s="3" t="s">
        <v>171</v>
      </c>
    </row>
    <row r="32" spans="1:18" ht="35" customHeight="1">
      <c r="A32" t="s">
        <v>203</v>
      </c>
      <c r="B32" s="3" t="s">
        <v>43</v>
      </c>
      <c r="C32">
        <v>0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f t="shared" si="0"/>
        <v>0</v>
      </c>
      <c r="L32" s="2">
        <f t="shared" si="1"/>
        <v>7</v>
      </c>
      <c r="M32" s="2">
        <f t="shared" si="2"/>
        <v>7</v>
      </c>
      <c r="N32" s="2">
        <v>7</v>
      </c>
      <c r="O32" s="2">
        <v>14</v>
      </c>
      <c r="P32" t="s">
        <v>26</v>
      </c>
      <c r="Q32" s="3" t="s">
        <v>122</v>
      </c>
      <c r="R32" s="3" t="s">
        <v>123</v>
      </c>
    </row>
    <row r="33" spans="1:18" ht="35" customHeight="1">
      <c r="A33" t="s">
        <v>144</v>
      </c>
      <c r="B33" s="3" t="s">
        <v>43</v>
      </c>
      <c r="C33">
        <v>0</v>
      </c>
      <c r="D33" s="2">
        <v>0</v>
      </c>
      <c r="E33" s="2">
        <v>2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f t="shared" si="0"/>
        <v>2</v>
      </c>
      <c r="L33" s="2">
        <f t="shared" si="1"/>
        <v>2</v>
      </c>
      <c r="M33" s="2">
        <f t="shared" si="2"/>
        <v>3</v>
      </c>
      <c r="N33" s="2">
        <v>3</v>
      </c>
      <c r="O33" s="2">
        <v>14</v>
      </c>
      <c r="P33" t="s">
        <v>26</v>
      </c>
      <c r="Q33" s="3" t="s">
        <v>145</v>
      </c>
      <c r="R33" s="3" t="s">
        <v>146</v>
      </c>
    </row>
    <row r="34" spans="1:18" ht="35" customHeight="1">
      <c r="A34" t="s">
        <v>20</v>
      </c>
      <c r="B34" s="3" t="s">
        <v>21</v>
      </c>
      <c r="C34">
        <v>29</v>
      </c>
      <c r="D34" s="2">
        <v>8</v>
      </c>
      <c r="E34" s="2">
        <v>1</v>
      </c>
      <c r="F34" s="2">
        <v>5</v>
      </c>
      <c r="G34" s="2">
        <v>3</v>
      </c>
      <c r="H34" s="2">
        <v>2</v>
      </c>
      <c r="I34" s="2">
        <v>2</v>
      </c>
      <c r="J34" s="2">
        <v>8</v>
      </c>
      <c r="K34" s="2">
        <f t="shared" si="0"/>
        <v>7</v>
      </c>
      <c r="L34" s="2">
        <f t="shared" si="1"/>
        <v>7</v>
      </c>
      <c r="M34" s="2">
        <f t="shared" si="2"/>
        <v>29</v>
      </c>
      <c r="N34" s="2">
        <v>0</v>
      </c>
      <c r="O34" s="2">
        <v>1</v>
      </c>
      <c r="P34" t="s">
        <v>22</v>
      </c>
      <c r="Q34" s="3" t="s">
        <v>21</v>
      </c>
      <c r="R34" s="3" t="s">
        <v>23</v>
      </c>
    </row>
    <row r="35" spans="1:18" ht="35" customHeight="1">
      <c r="A35" t="s">
        <v>204</v>
      </c>
      <c r="B35" s="3" t="s">
        <v>205</v>
      </c>
      <c r="C35">
        <v>14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3</v>
      </c>
      <c r="J35" s="2">
        <v>2</v>
      </c>
      <c r="K35" s="2">
        <f t="shared" si="0"/>
        <v>1</v>
      </c>
      <c r="L35" s="2">
        <f t="shared" si="1"/>
        <v>7</v>
      </c>
      <c r="M35" s="2">
        <f t="shared" si="2"/>
        <v>15</v>
      </c>
      <c r="N35" s="2">
        <v>1</v>
      </c>
      <c r="O35" s="2">
        <v>14</v>
      </c>
      <c r="P35" t="s">
        <v>26</v>
      </c>
      <c r="Q35" s="3" t="s">
        <v>206</v>
      </c>
      <c r="R35" s="3" t="s">
        <v>207</v>
      </c>
    </row>
    <row r="36" spans="1:18" ht="35" customHeight="1">
      <c r="A36" t="s">
        <v>208</v>
      </c>
      <c r="B36" s="3" t="s">
        <v>43</v>
      </c>
      <c r="C36">
        <v>0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0</v>
      </c>
      <c r="J36" s="2">
        <v>0</v>
      </c>
      <c r="K36" s="2">
        <f t="shared" si="0"/>
        <v>1</v>
      </c>
      <c r="L36" s="2">
        <f t="shared" si="1"/>
        <v>2</v>
      </c>
      <c r="M36" s="2">
        <f t="shared" si="2"/>
        <v>2</v>
      </c>
      <c r="N36" s="2">
        <v>2</v>
      </c>
      <c r="O36" s="2">
        <v>14</v>
      </c>
      <c r="P36" t="s">
        <v>26</v>
      </c>
      <c r="Q36" s="3" t="s">
        <v>152</v>
      </c>
      <c r="R36" s="3" t="s">
        <v>153</v>
      </c>
    </row>
    <row r="37" spans="1:18" ht="35" customHeight="1">
      <c r="A37" t="s">
        <v>209</v>
      </c>
      <c r="B37" s="3" t="s">
        <v>43</v>
      </c>
      <c r="C37">
        <v>0</v>
      </c>
      <c r="D37" s="2">
        <v>3</v>
      </c>
      <c r="E37" s="2">
        <v>2</v>
      </c>
      <c r="F37" s="2">
        <v>3</v>
      </c>
      <c r="G37" s="2">
        <v>3</v>
      </c>
      <c r="H37" s="2">
        <v>2</v>
      </c>
      <c r="I37" s="2">
        <v>2</v>
      </c>
      <c r="J37" s="2">
        <v>3</v>
      </c>
      <c r="K37" s="2">
        <f t="shared" si="0"/>
        <v>1</v>
      </c>
      <c r="L37" s="2">
        <f t="shared" si="1"/>
        <v>7</v>
      </c>
      <c r="M37" s="2">
        <f t="shared" si="2"/>
        <v>18</v>
      </c>
      <c r="N37" s="2">
        <v>18</v>
      </c>
      <c r="O37" s="2">
        <v>13</v>
      </c>
      <c r="P37" t="s">
        <v>210</v>
      </c>
      <c r="Q37" s="3" t="s">
        <v>211</v>
      </c>
      <c r="R37" s="3" t="s">
        <v>212</v>
      </c>
    </row>
    <row r="38" spans="1:18" ht="35" customHeight="1">
      <c r="A38" t="s">
        <v>59</v>
      </c>
      <c r="B38" s="3" t="s">
        <v>43</v>
      </c>
      <c r="C38">
        <v>0</v>
      </c>
      <c r="D38" s="2">
        <v>4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5</v>
      </c>
      <c r="K38" s="2">
        <f t="shared" si="0"/>
        <v>2</v>
      </c>
      <c r="L38" s="2">
        <f t="shared" si="1"/>
        <v>7</v>
      </c>
      <c r="M38" s="2">
        <f t="shared" si="2"/>
        <v>28</v>
      </c>
      <c r="N38" s="2">
        <v>28</v>
      </c>
      <c r="O38" s="2">
        <v>14</v>
      </c>
      <c r="P38" t="s">
        <v>26</v>
      </c>
      <c r="Q38" s="3" t="s">
        <v>60</v>
      </c>
      <c r="R38" s="3" t="s">
        <v>61</v>
      </c>
    </row>
    <row r="39" spans="1:18" ht="35" customHeight="1">
      <c r="A39" t="s">
        <v>213</v>
      </c>
      <c r="B39" s="3" t="s">
        <v>43</v>
      </c>
      <c r="C39">
        <v>0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f t="shared" si="0"/>
        <v>0</v>
      </c>
      <c r="L39" s="2">
        <f t="shared" si="1"/>
        <v>7</v>
      </c>
      <c r="M39" s="2">
        <f t="shared" si="2"/>
        <v>7</v>
      </c>
      <c r="N39" s="2">
        <v>7</v>
      </c>
      <c r="O39" s="2">
        <v>14</v>
      </c>
      <c r="P39" t="s">
        <v>26</v>
      </c>
      <c r="Q39" s="3" t="s">
        <v>122</v>
      </c>
      <c r="R39" s="3" t="s">
        <v>123</v>
      </c>
    </row>
    <row r="40" spans="1:18" ht="35" customHeight="1">
      <c r="A40" t="s">
        <v>214</v>
      </c>
      <c r="B40" s="3" t="s">
        <v>215</v>
      </c>
      <c r="C40">
        <v>7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f t="shared" si="0"/>
        <v>0</v>
      </c>
      <c r="L40" s="2">
        <f t="shared" si="1"/>
        <v>7</v>
      </c>
      <c r="M40" s="2">
        <f t="shared" si="2"/>
        <v>7</v>
      </c>
      <c r="N40" s="2">
        <v>0</v>
      </c>
      <c r="O40" s="2">
        <v>14</v>
      </c>
      <c r="P40" t="s">
        <v>26</v>
      </c>
      <c r="Q40" s="3" t="s">
        <v>215</v>
      </c>
      <c r="R40" s="3" t="s">
        <v>171</v>
      </c>
    </row>
    <row r="41" spans="1:18" ht="35" customHeight="1">
      <c r="A41" t="s">
        <v>216</v>
      </c>
      <c r="B41" s="3" t="s">
        <v>43</v>
      </c>
      <c r="C41">
        <v>0</v>
      </c>
      <c r="D41" s="2">
        <v>2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f t="shared" si="0"/>
        <v>0</v>
      </c>
      <c r="L41" s="2">
        <f t="shared" si="1"/>
        <v>7</v>
      </c>
      <c r="M41" s="2">
        <f t="shared" si="2"/>
        <v>14</v>
      </c>
      <c r="N41" s="2">
        <v>14</v>
      </c>
      <c r="O41" s="2">
        <v>13</v>
      </c>
      <c r="P41" t="s">
        <v>210</v>
      </c>
      <c r="Q41" s="3" t="s">
        <v>49</v>
      </c>
      <c r="R41" s="3" t="s">
        <v>50</v>
      </c>
    </row>
    <row r="42" spans="1:18" ht="35" customHeight="1">
      <c r="A42" t="s">
        <v>217</v>
      </c>
      <c r="B42" s="3" t="s">
        <v>43</v>
      </c>
      <c r="C42">
        <v>0</v>
      </c>
      <c r="D42" s="2">
        <v>3</v>
      </c>
      <c r="E42" s="2">
        <v>2</v>
      </c>
      <c r="F42" s="2">
        <v>3</v>
      </c>
      <c r="G42" s="2">
        <v>3</v>
      </c>
      <c r="H42" s="2">
        <v>2</v>
      </c>
      <c r="I42" s="2">
        <v>3</v>
      </c>
      <c r="J42" s="2">
        <v>3</v>
      </c>
      <c r="K42" s="2">
        <f t="shared" si="0"/>
        <v>1</v>
      </c>
      <c r="L42" s="2">
        <f t="shared" si="1"/>
        <v>7</v>
      </c>
      <c r="M42" s="2">
        <f t="shared" si="2"/>
        <v>19</v>
      </c>
      <c r="N42" s="2">
        <v>19</v>
      </c>
      <c r="O42" s="2">
        <v>13</v>
      </c>
      <c r="P42" t="s">
        <v>128</v>
      </c>
      <c r="Q42" s="3" t="s">
        <v>218</v>
      </c>
      <c r="R42" s="3" t="s">
        <v>219</v>
      </c>
    </row>
    <row r="43" spans="1:18" ht="35" customHeight="1">
      <c r="A43" t="s">
        <v>124</v>
      </c>
      <c r="B43" s="3" t="s">
        <v>43</v>
      </c>
      <c r="C43">
        <v>0</v>
      </c>
      <c r="D43" s="2">
        <v>1</v>
      </c>
      <c r="E43" s="2">
        <v>1</v>
      </c>
      <c r="F43" s="2">
        <v>0</v>
      </c>
      <c r="G43" s="2">
        <v>1</v>
      </c>
      <c r="H43" s="2">
        <v>1</v>
      </c>
      <c r="I43" s="2">
        <v>1</v>
      </c>
      <c r="J43" s="2">
        <v>2</v>
      </c>
      <c r="K43" s="2">
        <f t="shared" si="0"/>
        <v>2</v>
      </c>
      <c r="L43" s="2">
        <f t="shared" si="1"/>
        <v>6</v>
      </c>
      <c r="M43" s="2">
        <f t="shared" si="2"/>
        <v>7</v>
      </c>
      <c r="N43" s="2">
        <v>7</v>
      </c>
      <c r="O43" s="2">
        <v>14</v>
      </c>
      <c r="P43" t="s">
        <v>26</v>
      </c>
      <c r="Q43" s="3" t="s">
        <v>122</v>
      </c>
      <c r="R43" s="3" t="s">
        <v>123</v>
      </c>
    </row>
    <row r="44" spans="1:18" ht="35" customHeight="1">
      <c r="A44" t="s">
        <v>96</v>
      </c>
      <c r="B44" s="3" t="s">
        <v>43</v>
      </c>
      <c r="C44">
        <v>0</v>
      </c>
      <c r="D44" s="2">
        <v>2</v>
      </c>
      <c r="E44" s="2">
        <v>0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f t="shared" si="0"/>
        <v>2</v>
      </c>
      <c r="L44" s="2">
        <f t="shared" si="1"/>
        <v>6</v>
      </c>
      <c r="M44" s="2">
        <f t="shared" si="2"/>
        <v>12</v>
      </c>
      <c r="N44" s="2">
        <v>12</v>
      </c>
      <c r="O44" s="2">
        <v>13</v>
      </c>
      <c r="P44" t="s">
        <v>97</v>
      </c>
      <c r="Q44" s="3" t="s">
        <v>98</v>
      </c>
      <c r="R44" s="3" t="s">
        <v>99</v>
      </c>
    </row>
    <row r="45" spans="1:18" ht="35" customHeight="1">
      <c r="A45" t="s">
        <v>220</v>
      </c>
      <c r="B45" s="3" t="s">
        <v>43</v>
      </c>
      <c r="C45">
        <v>0</v>
      </c>
      <c r="D45" s="2">
        <v>3</v>
      </c>
      <c r="E45" s="2">
        <v>2</v>
      </c>
      <c r="F45" s="2">
        <v>3</v>
      </c>
      <c r="G45" s="2">
        <v>2</v>
      </c>
      <c r="H45" s="2">
        <v>2</v>
      </c>
      <c r="I45" s="2">
        <v>3</v>
      </c>
      <c r="J45" s="2">
        <v>3</v>
      </c>
      <c r="K45" s="2">
        <f t="shared" si="0"/>
        <v>1</v>
      </c>
      <c r="L45" s="2">
        <f t="shared" si="1"/>
        <v>7</v>
      </c>
      <c r="M45" s="2">
        <f t="shared" si="2"/>
        <v>18</v>
      </c>
      <c r="N45" s="2">
        <v>18</v>
      </c>
      <c r="O45" s="2">
        <v>13</v>
      </c>
      <c r="P45" t="s">
        <v>210</v>
      </c>
      <c r="Q45" s="3" t="s">
        <v>211</v>
      </c>
      <c r="R45" s="3" t="s">
        <v>212</v>
      </c>
    </row>
    <row r="46" spans="1:18" ht="35" customHeight="1">
      <c r="A46" t="s">
        <v>87</v>
      </c>
      <c r="B46" s="3" t="s">
        <v>43</v>
      </c>
      <c r="C46">
        <v>0</v>
      </c>
      <c r="D46" s="2">
        <v>2</v>
      </c>
      <c r="E46" s="2">
        <v>2</v>
      </c>
      <c r="F46" s="2">
        <v>1</v>
      </c>
      <c r="G46" s="2">
        <v>2</v>
      </c>
      <c r="H46" s="2">
        <v>3</v>
      </c>
      <c r="I46" s="2">
        <v>2</v>
      </c>
      <c r="J46" s="2">
        <v>2</v>
      </c>
      <c r="K46" s="2">
        <f t="shared" si="0"/>
        <v>2</v>
      </c>
      <c r="L46" s="2">
        <f t="shared" si="1"/>
        <v>7</v>
      </c>
      <c r="M46" s="2">
        <f t="shared" si="2"/>
        <v>14</v>
      </c>
      <c r="N46" s="2">
        <v>14</v>
      </c>
      <c r="O46" s="2">
        <v>14</v>
      </c>
      <c r="P46" t="s">
        <v>26</v>
      </c>
      <c r="Q46" s="3" t="s">
        <v>49</v>
      </c>
      <c r="R46" s="3" t="s">
        <v>50</v>
      </c>
    </row>
    <row r="47" spans="1:18" ht="35" customHeight="1">
      <c r="A47" t="s">
        <v>221</v>
      </c>
      <c r="B47" s="3" t="s">
        <v>43</v>
      </c>
      <c r="C47">
        <v>0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1</v>
      </c>
      <c r="K47" s="2">
        <f t="shared" si="0"/>
        <v>1</v>
      </c>
      <c r="L47" s="2">
        <f t="shared" si="1"/>
        <v>7</v>
      </c>
      <c r="M47" s="2">
        <f t="shared" si="2"/>
        <v>8</v>
      </c>
      <c r="N47" s="2">
        <v>8</v>
      </c>
      <c r="O47" s="2">
        <v>14</v>
      </c>
      <c r="P47" t="s">
        <v>26</v>
      </c>
      <c r="Q47" s="3" t="s">
        <v>119</v>
      </c>
      <c r="R47" s="3" t="s">
        <v>120</v>
      </c>
    </row>
    <row r="48" spans="1:18" ht="35" customHeight="1">
      <c r="A48" t="s">
        <v>222</v>
      </c>
      <c r="B48" s="3" t="s">
        <v>43</v>
      </c>
      <c r="C48">
        <v>0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f t="shared" si="0"/>
        <v>0</v>
      </c>
      <c r="L48" s="2">
        <f t="shared" si="1"/>
        <v>7</v>
      </c>
      <c r="M48" s="2">
        <f t="shared" si="2"/>
        <v>7</v>
      </c>
      <c r="N48" s="2">
        <v>7</v>
      </c>
      <c r="O48" s="2">
        <v>14</v>
      </c>
      <c r="P48" t="s">
        <v>26</v>
      </c>
      <c r="Q48" s="3" t="s">
        <v>122</v>
      </c>
      <c r="R48" s="3" t="s">
        <v>123</v>
      </c>
    </row>
    <row r="49" spans="1:18" ht="35" customHeight="1">
      <c r="A49" t="s">
        <v>223</v>
      </c>
      <c r="B49" s="3" t="s">
        <v>43</v>
      </c>
      <c r="C49">
        <v>0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f t="shared" si="0"/>
        <v>0</v>
      </c>
      <c r="L49" s="2">
        <f t="shared" si="1"/>
        <v>7</v>
      </c>
      <c r="M49" s="2">
        <f t="shared" si="2"/>
        <v>7</v>
      </c>
      <c r="N49" s="2">
        <v>7</v>
      </c>
      <c r="O49" s="2">
        <v>14</v>
      </c>
      <c r="P49" t="s">
        <v>26</v>
      </c>
      <c r="Q49" s="3" t="s">
        <v>122</v>
      </c>
      <c r="R49" s="3" t="s">
        <v>123</v>
      </c>
    </row>
    <row r="50" spans="1:18" ht="35" customHeight="1">
      <c r="A50" t="s">
        <v>224</v>
      </c>
      <c r="B50" s="3" t="s">
        <v>225</v>
      </c>
      <c r="C50">
        <v>6</v>
      </c>
      <c r="D50" s="2">
        <v>1</v>
      </c>
      <c r="E50" s="2">
        <v>1</v>
      </c>
      <c r="F50" s="2">
        <v>0</v>
      </c>
      <c r="G50" s="2">
        <v>1</v>
      </c>
      <c r="H50" s="2">
        <v>1</v>
      </c>
      <c r="I50" s="2">
        <v>1</v>
      </c>
      <c r="J50" s="2">
        <v>1</v>
      </c>
      <c r="K50" s="2">
        <f t="shared" si="0"/>
        <v>1</v>
      </c>
      <c r="L50" s="2">
        <f t="shared" si="1"/>
        <v>6</v>
      </c>
      <c r="M50" s="2">
        <f t="shared" si="2"/>
        <v>6</v>
      </c>
      <c r="N50" s="2">
        <v>0</v>
      </c>
      <c r="O50" s="2">
        <v>14</v>
      </c>
      <c r="P50" t="s">
        <v>26</v>
      </c>
      <c r="Q50" s="3" t="s">
        <v>225</v>
      </c>
      <c r="R50" s="3" t="s">
        <v>168</v>
      </c>
    </row>
    <row r="51" spans="1:18" ht="35" customHeight="1">
      <c r="A51" t="s">
        <v>226</v>
      </c>
      <c r="B51" s="3" t="s">
        <v>43</v>
      </c>
      <c r="C51">
        <v>0</v>
      </c>
      <c r="D51" s="2">
        <v>2</v>
      </c>
      <c r="E51" s="2">
        <v>2</v>
      </c>
      <c r="F51" s="2">
        <v>3</v>
      </c>
      <c r="G51" s="2">
        <v>2</v>
      </c>
      <c r="H51" s="2">
        <v>2</v>
      </c>
      <c r="I51" s="2">
        <v>2</v>
      </c>
      <c r="J51" s="2">
        <v>2</v>
      </c>
      <c r="K51" s="2">
        <f t="shared" si="0"/>
        <v>1</v>
      </c>
      <c r="L51" s="2">
        <f t="shared" si="1"/>
        <v>7</v>
      </c>
      <c r="M51" s="2">
        <f t="shared" si="2"/>
        <v>15</v>
      </c>
      <c r="N51" s="2">
        <v>15</v>
      </c>
      <c r="O51" s="2">
        <v>14</v>
      </c>
      <c r="P51" t="s">
        <v>26</v>
      </c>
      <c r="Q51" s="3" t="s">
        <v>227</v>
      </c>
      <c r="R51" s="3" t="s">
        <v>228</v>
      </c>
    </row>
    <row r="52" spans="1:18" ht="35" customHeight="1">
      <c r="A52" t="s">
        <v>229</v>
      </c>
      <c r="B52" s="3" t="s">
        <v>43</v>
      </c>
      <c r="C52">
        <v>0</v>
      </c>
      <c r="D52" s="2">
        <v>0</v>
      </c>
      <c r="E52" s="2">
        <v>0</v>
      </c>
      <c r="F52" s="2">
        <v>1</v>
      </c>
      <c r="G52" s="2">
        <v>1</v>
      </c>
      <c r="H52" s="2">
        <v>1</v>
      </c>
      <c r="I52" s="2">
        <v>1</v>
      </c>
      <c r="J52" s="2">
        <v>0</v>
      </c>
      <c r="K52" s="2">
        <f t="shared" si="0"/>
        <v>1</v>
      </c>
      <c r="L52" s="2">
        <f t="shared" si="1"/>
        <v>4</v>
      </c>
      <c r="M52" s="2">
        <f t="shared" si="2"/>
        <v>4</v>
      </c>
      <c r="N52" s="2">
        <v>4</v>
      </c>
      <c r="O52" s="2">
        <v>14</v>
      </c>
      <c r="P52" t="s">
        <v>26</v>
      </c>
      <c r="Q52" s="3" t="s">
        <v>142</v>
      </c>
      <c r="R52" s="3" t="s">
        <v>143</v>
      </c>
    </row>
    <row r="53" spans="1:18" ht="35" customHeight="1">
      <c r="A53" t="s">
        <v>72</v>
      </c>
      <c r="B53" s="3" t="s">
        <v>73</v>
      </c>
      <c r="C53">
        <v>19</v>
      </c>
      <c r="D53" s="2">
        <v>3</v>
      </c>
      <c r="E53" s="2">
        <v>2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f t="shared" si="0"/>
        <v>2</v>
      </c>
      <c r="L53" s="2">
        <f t="shared" si="1"/>
        <v>7</v>
      </c>
      <c r="M53" s="2">
        <f t="shared" si="2"/>
        <v>19</v>
      </c>
      <c r="N53" s="2">
        <v>0</v>
      </c>
      <c r="O53" s="2">
        <v>14</v>
      </c>
      <c r="P53" t="s">
        <v>26</v>
      </c>
      <c r="Q53" s="3" t="s">
        <v>73</v>
      </c>
      <c r="R53" s="3" t="s">
        <v>74</v>
      </c>
    </row>
    <row r="54" spans="1:18" ht="35" customHeight="1">
      <c r="A54" t="s">
        <v>154</v>
      </c>
      <c r="B54" s="3" t="s">
        <v>43</v>
      </c>
      <c r="C54">
        <v>0</v>
      </c>
      <c r="D54" s="2">
        <v>0</v>
      </c>
      <c r="E54" s="2">
        <v>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f t="shared" si="0"/>
        <v>2</v>
      </c>
      <c r="L54" s="2">
        <f t="shared" si="1"/>
        <v>1</v>
      </c>
      <c r="M54" s="2">
        <f t="shared" si="2"/>
        <v>2</v>
      </c>
      <c r="N54" s="2">
        <v>2</v>
      </c>
      <c r="O54" s="2">
        <v>14</v>
      </c>
      <c r="P54" t="s">
        <v>26</v>
      </c>
      <c r="Q54" s="3" t="s">
        <v>152</v>
      </c>
      <c r="R54" s="3" t="s">
        <v>153</v>
      </c>
    </row>
    <row r="55" spans="1:18" ht="35" customHeight="1">
      <c r="A55" t="s">
        <v>230</v>
      </c>
      <c r="B55" s="3" t="s">
        <v>231</v>
      </c>
      <c r="C55">
        <v>13</v>
      </c>
      <c r="D55" s="2">
        <v>2</v>
      </c>
      <c r="E55" s="2">
        <v>2</v>
      </c>
      <c r="F55" s="2">
        <v>2</v>
      </c>
      <c r="G55" s="2">
        <v>2</v>
      </c>
      <c r="H55" s="2">
        <v>2</v>
      </c>
      <c r="I55" s="2">
        <v>1</v>
      </c>
      <c r="J55" s="2">
        <v>2</v>
      </c>
      <c r="K55" s="2">
        <f t="shared" si="0"/>
        <v>1</v>
      </c>
      <c r="L55" s="2">
        <f t="shared" si="1"/>
        <v>7</v>
      </c>
      <c r="M55" s="2">
        <f t="shared" si="2"/>
        <v>13</v>
      </c>
      <c r="N55" s="2">
        <v>0</v>
      </c>
      <c r="O55" s="2">
        <v>10</v>
      </c>
      <c r="P55" t="s">
        <v>232</v>
      </c>
      <c r="Q55" s="3" t="s">
        <v>231</v>
      </c>
      <c r="R55" s="3" t="s">
        <v>233</v>
      </c>
    </row>
    <row r="56" spans="1:18" ht="35" customHeight="1">
      <c r="A56" t="s">
        <v>234</v>
      </c>
      <c r="B56" s="3" t="s">
        <v>43</v>
      </c>
      <c r="C56">
        <v>0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f t="shared" si="0"/>
        <v>0</v>
      </c>
      <c r="L56" s="2">
        <f t="shared" si="1"/>
        <v>7</v>
      </c>
      <c r="M56" s="2">
        <f t="shared" si="2"/>
        <v>7</v>
      </c>
      <c r="N56" s="2">
        <v>7</v>
      </c>
      <c r="O56" s="2">
        <v>12</v>
      </c>
      <c r="P56" t="s">
        <v>186</v>
      </c>
      <c r="Q56" s="3" t="s">
        <v>122</v>
      </c>
      <c r="R56" s="3" t="s">
        <v>123</v>
      </c>
    </row>
    <row r="57" spans="1:18" ht="35" customHeight="1">
      <c r="A57" t="s">
        <v>235</v>
      </c>
      <c r="B57" s="3" t="s">
        <v>43</v>
      </c>
      <c r="C57">
        <v>0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f t="shared" si="0"/>
        <v>0</v>
      </c>
      <c r="L57" s="2">
        <f t="shared" si="1"/>
        <v>7</v>
      </c>
      <c r="M57" s="2">
        <f t="shared" si="2"/>
        <v>7</v>
      </c>
      <c r="N57" s="2">
        <v>7</v>
      </c>
      <c r="O57" s="2">
        <v>14</v>
      </c>
      <c r="P57" t="s">
        <v>26</v>
      </c>
      <c r="Q57" s="3" t="s">
        <v>122</v>
      </c>
      <c r="R57" s="3" t="s">
        <v>123</v>
      </c>
    </row>
    <row r="58" spans="1:18" ht="35" customHeight="1">
      <c r="A58" t="s">
        <v>236</v>
      </c>
      <c r="B58" s="3" t="s">
        <v>43</v>
      </c>
      <c r="C58">
        <v>0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f t="shared" si="0"/>
        <v>0</v>
      </c>
      <c r="L58" s="2">
        <f t="shared" si="1"/>
        <v>7</v>
      </c>
      <c r="M58" s="2">
        <f t="shared" si="2"/>
        <v>7</v>
      </c>
      <c r="N58" s="2">
        <v>7</v>
      </c>
      <c r="O58" s="2">
        <v>14</v>
      </c>
      <c r="P58" t="s">
        <v>26</v>
      </c>
      <c r="Q58" s="3" t="s">
        <v>122</v>
      </c>
      <c r="R58" s="3" t="s">
        <v>123</v>
      </c>
    </row>
    <row r="59" spans="1:18" ht="35" customHeight="1">
      <c r="A59" t="s">
        <v>237</v>
      </c>
      <c r="B59" s="3" t="s">
        <v>43</v>
      </c>
      <c r="C59">
        <v>0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f t="shared" si="0"/>
        <v>0</v>
      </c>
      <c r="L59" s="2">
        <f t="shared" si="1"/>
        <v>7</v>
      </c>
      <c r="M59" s="2">
        <f t="shared" si="2"/>
        <v>21</v>
      </c>
      <c r="N59" s="2">
        <v>21</v>
      </c>
      <c r="O59" s="2">
        <v>14</v>
      </c>
      <c r="P59" t="s">
        <v>26</v>
      </c>
      <c r="Q59" s="3" t="s">
        <v>238</v>
      </c>
      <c r="R59" s="3" t="s">
        <v>239</v>
      </c>
    </row>
    <row r="60" spans="1:18" ht="35" customHeight="1">
      <c r="A60" t="s">
        <v>240</v>
      </c>
      <c r="B60" s="3" t="s">
        <v>241</v>
      </c>
      <c r="C60">
        <v>2</v>
      </c>
      <c r="D60" s="2">
        <v>2</v>
      </c>
      <c r="E60" s="2">
        <v>1</v>
      </c>
      <c r="F60" s="2">
        <v>1</v>
      </c>
      <c r="G60" s="2">
        <v>2</v>
      </c>
      <c r="H60" s="2">
        <v>2</v>
      </c>
      <c r="I60" s="2">
        <v>2</v>
      </c>
      <c r="J60" s="2">
        <v>2</v>
      </c>
      <c r="K60" s="2">
        <f t="shared" si="0"/>
        <v>1</v>
      </c>
      <c r="L60" s="2">
        <f t="shared" si="1"/>
        <v>7</v>
      </c>
      <c r="M60" s="2">
        <f t="shared" si="2"/>
        <v>12</v>
      </c>
      <c r="N60" s="2">
        <v>10</v>
      </c>
      <c r="O60" s="2">
        <v>14</v>
      </c>
      <c r="P60" t="s">
        <v>26</v>
      </c>
      <c r="Q60" s="3" t="s">
        <v>242</v>
      </c>
      <c r="R60" s="3" t="s">
        <v>243</v>
      </c>
    </row>
    <row r="61" spans="1:18" ht="35" customHeight="1">
      <c r="A61" t="s">
        <v>244</v>
      </c>
      <c r="B61" s="3" t="s">
        <v>43</v>
      </c>
      <c r="C61">
        <v>0</v>
      </c>
      <c r="D61" s="2">
        <v>3</v>
      </c>
      <c r="E61" s="2">
        <v>2</v>
      </c>
      <c r="F61" s="2">
        <v>3</v>
      </c>
      <c r="G61" s="2">
        <v>3</v>
      </c>
      <c r="H61" s="2">
        <v>3</v>
      </c>
      <c r="I61" s="2">
        <v>2</v>
      </c>
      <c r="J61" s="2">
        <v>3</v>
      </c>
      <c r="K61" s="2">
        <f t="shared" si="0"/>
        <v>1</v>
      </c>
      <c r="L61" s="2">
        <f t="shared" si="1"/>
        <v>7</v>
      </c>
      <c r="M61" s="2">
        <f t="shared" si="2"/>
        <v>19</v>
      </c>
      <c r="N61" s="2">
        <v>19</v>
      </c>
      <c r="O61" s="2">
        <v>14</v>
      </c>
      <c r="P61" t="s">
        <v>26</v>
      </c>
      <c r="Q61" s="3" t="s">
        <v>218</v>
      </c>
      <c r="R61" s="3" t="s">
        <v>219</v>
      </c>
    </row>
    <row r="62" spans="1:18" ht="35" customHeight="1">
      <c r="A62" t="s">
        <v>245</v>
      </c>
      <c r="B62" s="3" t="s">
        <v>43</v>
      </c>
      <c r="C62">
        <v>0</v>
      </c>
      <c r="D62" s="2">
        <v>1</v>
      </c>
      <c r="E62" s="2">
        <v>1</v>
      </c>
      <c r="F62" s="2">
        <v>0</v>
      </c>
      <c r="G62" s="2">
        <v>1</v>
      </c>
      <c r="H62" s="2">
        <v>1</v>
      </c>
      <c r="I62" s="2">
        <v>0</v>
      </c>
      <c r="J62" s="2">
        <v>1</v>
      </c>
      <c r="K62" s="2">
        <f t="shared" si="0"/>
        <v>1</v>
      </c>
      <c r="L62" s="2">
        <f t="shared" si="1"/>
        <v>5</v>
      </c>
      <c r="M62" s="2">
        <f t="shared" si="2"/>
        <v>5</v>
      </c>
      <c r="N62" s="2">
        <v>5</v>
      </c>
      <c r="O62" s="2">
        <v>14</v>
      </c>
      <c r="P62" t="s">
        <v>26</v>
      </c>
      <c r="Q62" s="3" t="s">
        <v>139</v>
      </c>
      <c r="R62" s="3" t="s">
        <v>140</v>
      </c>
    </row>
    <row r="63" spans="1:18" ht="35" customHeight="1">
      <c r="A63" t="s">
        <v>246</v>
      </c>
      <c r="B63" s="3" t="s">
        <v>43</v>
      </c>
      <c r="C63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f t="shared" si="0"/>
        <v>1</v>
      </c>
      <c r="L63" s="2">
        <f t="shared" si="1"/>
        <v>2</v>
      </c>
      <c r="M63" s="2">
        <f t="shared" si="2"/>
        <v>2</v>
      </c>
      <c r="N63" s="2">
        <v>2</v>
      </c>
      <c r="O63" s="2">
        <v>14</v>
      </c>
      <c r="P63" t="s">
        <v>26</v>
      </c>
      <c r="Q63" s="3" t="s">
        <v>152</v>
      </c>
      <c r="R63" s="3" t="s">
        <v>153</v>
      </c>
    </row>
    <row r="64" spans="1:18" ht="35" customHeight="1">
      <c r="A64" t="s">
        <v>75</v>
      </c>
      <c r="B64" s="3" t="s">
        <v>76</v>
      </c>
      <c r="C64">
        <v>19</v>
      </c>
      <c r="D64" s="2">
        <v>3</v>
      </c>
      <c r="E64" s="2">
        <v>3</v>
      </c>
      <c r="F64" s="2">
        <v>1</v>
      </c>
      <c r="G64" s="2">
        <v>3</v>
      </c>
      <c r="H64" s="2">
        <v>3</v>
      </c>
      <c r="I64" s="2">
        <v>3</v>
      </c>
      <c r="J64" s="2">
        <v>3</v>
      </c>
      <c r="K64" s="2">
        <f t="shared" si="0"/>
        <v>2</v>
      </c>
      <c r="L64" s="2">
        <f t="shared" si="1"/>
        <v>7</v>
      </c>
      <c r="M64" s="2">
        <f t="shared" si="2"/>
        <v>19</v>
      </c>
      <c r="N64" s="2">
        <v>0</v>
      </c>
      <c r="O64" s="2">
        <v>12</v>
      </c>
      <c r="P64" t="s">
        <v>77</v>
      </c>
      <c r="Q64" s="3" t="s">
        <v>76</v>
      </c>
      <c r="R64" s="3" t="s">
        <v>74</v>
      </c>
    </row>
    <row r="65" spans="1:18" ht="35" customHeight="1">
      <c r="A65" t="s">
        <v>247</v>
      </c>
      <c r="B65" s="3" t="s">
        <v>43</v>
      </c>
      <c r="C65">
        <v>0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f t="shared" si="0"/>
        <v>0</v>
      </c>
      <c r="L65" s="2">
        <f t="shared" si="1"/>
        <v>7</v>
      </c>
      <c r="M65" s="2">
        <f t="shared" si="2"/>
        <v>7</v>
      </c>
      <c r="N65" s="2">
        <v>7</v>
      </c>
      <c r="O65" s="2">
        <v>14</v>
      </c>
      <c r="P65" t="s">
        <v>26</v>
      </c>
      <c r="Q65" s="3" t="s">
        <v>122</v>
      </c>
      <c r="R65" s="3" t="s">
        <v>123</v>
      </c>
    </row>
    <row r="66" spans="1:18" ht="35" customHeight="1">
      <c r="A66" t="s">
        <v>66</v>
      </c>
      <c r="B66" s="3" t="s">
        <v>43</v>
      </c>
      <c r="C66">
        <v>0</v>
      </c>
      <c r="D66" s="2">
        <v>4</v>
      </c>
      <c r="E66" s="2">
        <v>3</v>
      </c>
      <c r="F66" s="2">
        <v>3</v>
      </c>
      <c r="G66" s="2">
        <v>4</v>
      </c>
      <c r="H66" s="2">
        <v>3</v>
      </c>
      <c r="I66" s="2">
        <v>2</v>
      </c>
      <c r="J66" s="2">
        <v>3</v>
      </c>
      <c r="K66" s="2">
        <f t="shared" si="0"/>
        <v>2</v>
      </c>
      <c r="L66" s="2">
        <f t="shared" si="1"/>
        <v>7</v>
      </c>
      <c r="M66" s="2">
        <f t="shared" si="2"/>
        <v>22</v>
      </c>
      <c r="N66" s="2">
        <v>22</v>
      </c>
      <c r="O66" s="2">
        <v>14</v>
      </c>
      <c r="P66" t="s">
        <v>26</v>
      </c>
      <c r="Q66" s="3" t="s">
        <v>67</v>
      </c>
      <c r="R66" s="3" t="s">
        <v>68</v>
      </c>
    </row>
    <row r="67" spans="1:18" ht="35" customHeight="1">
      <c r="A67" t="s">
        <v>248</v>
      </c>
      <c r="B67" s="3" t="s">
        <v>43</v>
      </c>
      <c r="C67">
        <v>0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f t="shared" ref="K67:K130" si="3">MAX(D67:J67)-MIN(D67:J67)</f>
        <v>0</v>
      </c>
      <c r="L67" s="2">
        <f t="shared" ref="L67:L130" si="4">COUNTIF(D67:J67,"&gt;0")</f>
        <v>7</v>
      </c>
      <c r="M67" s="2">
        <f t="shared" ref="M67:M130" si="5">SUM(D67:J67)</f>
        <v>7</v>
      </c>
      <c r="N67" s="2">
        <v>7</v>
      </c>
      <c r="O67" s="2">
        <v>14</v>
      </c>
      <c r="P67" t="s">
        <v>26</v>
      </c>
      <c r="Q67" s="3" t="s">
        <v>122</v>
      </c>
      <c r="R67" s="3" t="s">
        <v>123</v>
      </c>
    </row>
    <row r="68" spans="1:18" ht="35" customHeight="1">
      <c r="A68" t="s">
        <v>249</v>
      </c>
      <c r="B68" s="3" t="s">
        <v>43</v>
      </c>
      <c r="C68">
        <v>0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f t="shared" si="3"/>
        <v>0</v>
      </c>
      <c r="L68" s="2">
        <f t="shared" si="4"/>
        <v>7</v>
      </c>
      <c r="M68" s="2">
        <f t="shared" si="5"/>
        <v>7</v>
      </c>
      <c r="N68" s="2">
        <v>7</v>
      </c>
      <c r="O68" s="2">
        <v>14</v>
      </c>
      <c r="P68" t="s">
        <v>26</v>
      </c>
      <c r="Q68" s="3" t="s">
        <v>122</v>
      </c>
      <c r="R68" s="3" t="s">
        <v>123</v>
      </c>
    </row>
    <row r="69" spans="1:18" ht="35" customHeight="1">
      <c r="A69" t="s">
        <v>250</v>
      </c>
      <c r="B69" s="3" t="s">
        <v>43</v>
      </c>
      <c r="C69">
        <v>0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0</v>
      </c>
      <c r="K69" s="2">
        <f t="shared" si="3"/>
        <v>1</v>
      </c>
      <c r="L69" s="2">
        <f t="shared" si="4"/>
        <v>6</v>
      </c>
      <c r="M69" s="2">
        <f t="shared" si="5"/>
        <v>6</v>
      </c>
      <c r="N69" s="2">
        <v>6</v>
      </c>
      <c r="O69" s="2">
        <v>14</v>
      </c>
      <c r="P69" t="s">
        <v>26</v>
      </c>
      <c r="Q69" s="3" t="s">
        <v>173</v>
      </c>
      <c r="R69" s="3" t="s">
        <v>174</v>
      </c>
    </row>
    <row r="70" spans="1:18" ht="35" customHeight="1">
      <c r="A70" t="s">
        <v>251</v>
      </c>
      <c r="B70" s="3" t="s">
        <v>43</v>
      </c>
      <c r="C70">
        <v>0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f t="shared" si="3"/>
        <v>0</v>
      </c>
      <c r="L70" s="2">
        <f t="shared" si="4"/>
        <v>7</v>
      </c>
      <c r="M70" s="2">
        <f t="shared" si="5"/>
        <v>7</v>
      </c>
      <c r="N70" s="2">
        <v>7</v>
      </c>
      <c r="O70" s="2">
        <v>14</v>
      </c>
      <c r="P70" t="s">
        <v>26</v>
      </c>
      <c r="Q70" s="3" t="s">
        <v>122</v>
      </c>
      <c r="R70" s="3" t="s">
        <v>123</v>
      </c>
    </row>
    <row r="71" spans="1:18" ht="35" customHeight="1">
      <c r="A71" t="s">
        <v>252</v>
      </c>
      <c r="B71" s="3" t="s">
        <v>43</v>
      </c>
      <c r="C71">
        <v>0</v>
      </c>
      <c r="D71" s="2">
        <v>1</v>
      </c>
      <c r="E71" s="2">
        <v>1</v>
      </c>
      <c r="F71" s="2">
        <v>1</v>
      </c>
      <c r="G71" s="2">
        <v>1</v>
      </c>
      <c r="H71" s="2">
        <v>2</v>
      </c>
      <c r="I71" s="2">
        <v>1</v>
      </c>
      <c r="J71" s="2">
        <v>2</v>
      </c>
      <c r="K71" s="2">
        <f t="shared" si="3"/>
        <v>1</v>
      </c>
      <c r="L71" s="2">
        <f t="shared" si="4"/>
        <v>7</v>
      </c>
      <c r="M71" s="2">
        <f t="shared" si="5"/>
        <v>9</v>
      </c>
      <c r="N71" s="2">
        <v>9</v>
      </c>
      <c r="O71" s="2">
        <v>14</v>
      </c>
      <c r="P71" t="s">
        <v>26</v>
      </c>
      <c r="Q71" s="3" t="s">
        <v>113</v>
      </c>
      <c r="R71" s="3" t="s">
        <v>114</v>
      </c>
    </row>
    <row r="72" spans="1:18" ht="35" customHeight="1">
      <c r="A72" t="s">
        <v>253</v>
      </c>
      <c r="B72" s="3" t="s">
        <v>254</v>
      </c>
      <c r="C72">
        <v>7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f t="shared" si="3"/>
        <v>0</v>
      </c>
      <c r="L72" s="2">
        <f t="shared" si="4"/>
        <v>7</v>
      </c>
      <c r="M72" s="2">
        <f t="shared" si="5"/>
        <v>7</v>
      </c>
      <c r="N72" s="2">
        <v>0</v>
      </c>
      <c r="O72" s="2">
        <v>14</v>
      </c>
      <c r="P72" t="s">
        <v>26</v>
      </c>
      <c r="Q72" s="3" t="s">
        <v>254</v>
      </c>
      <c r="R72" s="3" t="s">
        <v>171</v>
      </c>
    </row>
    <row r="73" spans="1:18" ht="35" customHeight="1">
      <c r="A73" t="s">
        <v>255</v>
      </c>
      <c r="B73" s="3" t="s">
        <v>43</v>
      </c>
      <c r="C73">
        <v>0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f t="shared" si="3"/>
        <v>0</v>
      </c>
      <c r="L73" s="2">
        <f t="shared" si="4"/>
        <v>7</v>
      </c>
      <c r="M73" s="2">
        <f t="shared" si="5"/>
        <v>7</v>
      </c>
      <c r="N73" s="2">
        <v>7</v>
      </c>
      <c r="O73" s="2">
        <v>14</v>
      </c>
      <c r="P73" t="s">
        <v>26</v>
      </c>
      <c r="Q73" s="3" t="s">
        <v>122</v>
      </c>
      <c r="R73" s="3" t="s">
        <v>123</v>
      </c>
    </row>
    <row r="74" spans="1:18" ht="35" customHeight="1">
      <c r="A74" t="s">
        <v>256</v>
      </c>
      <c r="B74" s="3" t="s">
        <v>43</v>
      </c>
      <c r="C74">
        <v>0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0</v>
      </c>
      <c r="J74" s="2">
        <v>1</v>
      </c>
      <c r="K74" s="2">
        <f t="shared" si="3"/>
        <v>1</v>
      </c>
      <c r="L74" s="2">
        <f t="shared" si="4"/>
        <v>6</v>
      </c>
      <c r="M74" s="2">
        <f t="shared" si="5"/>
        <v>6</v>
      </c>
      <c r="N74" s="2">
        <v>6</v>
      </c>
      <c r="O74" s="2">
        <v>13</v>
      </c>
      <c r="P74" t="s">
        <v>160</v>
      </c>
      <c r="Q74" s="3" t="s">
        <v>173</v>
      </c>
      <c r="R74" s="3" t="s">
        <v>174</v>
      </c>
    </row>
    <row r="75" spans="1:18" ht="35" customHeight="1">
      <c r="A75" t="s">
        <v>257</v>
      </c>
      <c r="B75" s="3" t="s">
        <v>43</v>
      </c>
      <c r="C75">
        <v>0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f t="shared" si="3"/>
        <v>0</v>
      </c>
      <c r="L75" s="2">
        <f t="shared" si="4"/>
        <v>7</v>
      </c>
      <c r="M75" s="2">
        <f t="shared" si="5"/>
        <v>7</v>
      </c>
      <c r="N75" s="2">
        <v>7</v>
      </c>
      <c r="O75" s="2">
        <v>14</v>
      </c>
      <c r="P75" t="s">
        <v>26</v>
      </c>
      <c r="Q75" s="3" t="s">
        <v>122</v>
      </c>
      <c r="R75" s="3" t="s">
        <v>123</v>
      </c>
    </row>
    <row r="76" spans="1:18" ht="35" customHeight="1">
      <c r="A76" t="s">
        <v>29</v>
      </c>
      <c r="B76" s="3" t="s">
        <v>30</v>
      </c>
      <c r="C76">
        <v>7</v>
      </c>
      <c r="D76" s="2">
        <v>3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6</v>
      </c>
      <c r="K76" s="2">
        <f t="shared" si="3"/>
        <v>5</v>
      </c>
      <c r="L76" s="2">
        <f t="shared" si="4"/>
        <v>7</v>
      </c>
      <c r="M76" s="2">
        <f t="shared" si="5"/>
        <v>14</v>
      </c>
      <c r="N76" s="2">
        <v>7</v>
      </c>
      <c r="O76" s="2">
        <v>14</v>
      </c>
      <c r="P76" t="s">
        <v>26</v>
      </c>
      <c r="Q76" s="3" t="s">
        <v>31</v>
      </c>
      <c r="R76" s="3" t="s">
        <v>32</v>
      </c>
    </row>
    <row r="77" spans="1:18" ht="35" customHeight="1">
      <c r="A77" t="s">
        <v>258</v>
      </c>
      <c r="B77" s="3" t="s">
        <v>43</v>
      </c>
      <c r="C77">
        <v>0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f t="shared" si="3"/>
        <v>0</v>
      </c>
      <c r="L77" s="2">
        <f t="shared" si="4"/>
        <v>7</v>
      </c>
      <c r="M77" s="2">
        <f t="shared" si="5"/>
        <v>7</v>
      </c>
      <c r="N77" s="2">
        <v>7</v>
      </c>
      <c r="O77" s="2">
        <v>14</v>
      </c>
      <c r="P77" t="s">
        <v>26</v>
      </c>
      <c r="Q77" s="3" t="s">
        <v>122</v>
      </c>
      <c r="R77" s="3" t="s">
        <v>123</v>
      </c>
    </row>
    <row r="78" spans="1:18" ht="35" customHeight="1">
      <c r="A78" t="s">
        <v>259</v>
      </c>
      <c r="B78" s="3" t="s">
        <v>43</v>
      </c>
      <c r="C78">
        <v>0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f t="shared" si="3"/>
        <v>0</v>
      </c>
      <c r="L78" s="2">
        <f t="shared" si="4"/>
        <v>7</v>
      </c>
      <c r="M78" s="2">
        <f t="shared" si="5"/>
        <v>7</v>
      </c>
      <c r="N78" s="2">
        <v>7</v>
      </c>
      <c r="O78" s="2">
        <v>14</v>
      </c>
      <c r="P78" t="s">
        <v>26</v>
      </c>
      <c r="Q78" s="3" t="s">
        <v>122</v>
      </c>
      <c r="R78" s="3" t="s">
        <v>123</v>
      </c>
    </row>
    <row r="79" spans="1:18" ht="35" customHeight="1">
      <c r="A79" t="s">
        <v>260</v>
      </c>
      <c r="B79" s="3" t="s">
        <v>261</v>
      </c>
      <c r="C79">
        <v>12</v>
      </c>
      <c r="D79" s="2">
        <v>2</v>
      </c>
      <c r="E79" s="2">
        <v>2</v>
      </c>
      <c r="F79" s="2">
        <v>2</v>
      </c>
      <c r="G79" s="2">
        <v>2</v>
      </c>
      <c r="H79" s="2">
        <v>2</v>
      </c>
      <c r="I79" s="2">
        <v>2</v>
      </c>
      <c r="J79" s="2">
        <v>2</v>
      </c>
      <c r="K79" s="2">
        <f t="shared" si="3"/>
        <v>0</v>
      </c>
      <c r="L79" s="2">
        <f t="shared" si="4"/>
        <v>7</v>
      </c>
      <c r="M79" s="2">
        <f t="shared" si="5"/>
        <v>14</v>
      </c>
      <c r="N79" s="2">
        <v>2</v>
      </c>
      <c r="O79" s="2">
        <v>14</v>
      </c>
      <c r="P79" t="s">
        <v>26</v>
      </c>
      <c r="Q79" s="3" t="s">
        <v>262</v>
      </c>
      <c r="R79" s="3" t="s">
        <v>263</v>
      </c>
    </row>
    <row r="80" spans="1:18" ht="35" customHeight="1">
      <c r="A80" t="s">
        <v>264</v>
      </c>
      <c r="B80" s="3" t="s">
        <v>43</v>
      </c>
      <c r="C80">
        <v>0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f t="shared" si="3"/>
        <v>0</v>
      </c>
      <c r="L80" s="2">
        <f t="shared" si="4"/>
        <v>7</v>
      </c>
      <c r="M80" s="2">
        <f t="shared" si="5"/>
        <v>7</v>
      </c>
      <c r="N80" s="2">
        <v>7</v>
      </c>
      <c r="O80" s="2">
        <v>13</v>
      </c>
      <c r="P80" t="s">
        <v>210</v>
      </c>
      <c r="Q80" s="3" t="s">
        <v>122</v>
      </c>
      <c r="R80" s="3" t="s">
        <v>123</v>
      </c>
    </row>
    <row r="81" spans="1:18" ht="35" customHeight="1">
      <c r="A81" t="s">
        <v>265</v>
      </c>
      <c r="B81" s="3" t="s">
        <v>266</v>
      </c>
      <c r="C81">
        <v>12</v>
      </c>
      <c r="D81" s="2">
        <v>2</v>
      </c>
      <c r="E81" s="2">
        <v>2</v>
      </c>
      <c r="F81" s="2">
        <v>2</v>
      </c>
      <c r="G81" s="2">
        <v>2</v>
      </c>
      <c r="H81" s="2">
        <v>2</v>
      </c>
      <c r="I81" s="2">
        <v>2</v>
      </c>
      <c r="J81" s="2">
        <v>2</v>
      </c>
      <c r="K81" s="2">
        <f t="shared" si="3"/>
        <v>0</v>
      </c>
      <c r="L81" s="2">
        <f t="shared" si="4"/>
        <v>7</v>
      </c>
      <c r="M81" s="2">
        <f t="shared" si="5"/>
        <v>14</v>
      </c>
      <c r="N81" s="2">
        <v>1</v>
      </c>
      <c r="O81" s="2">
        <v>14</v>
      </c>
      <c r="P81" t="s">
        <v>26</v>
      </c>
      <c r="Q81" s="3" t="s">
        <v>267</v>
      </c>
      <c r="R81" s="3" t="s">
        <v>268</v>
      </c>
    </row>
    <row r="82" spans="1:18" ht="35" customHeight="1">
      <c r="A82" t="s">
        <v>269</v>
      </c>
      <c r="B82" s="3" t="s">
        <v>43</v>
      </c>
      <c r="C82">
        <v>0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f t="shared" si="3"/>
        <v>0</v>
      </c>
      <c r="L82" s="2">
        <f t="shared" si="4"/>
        <v>7</v>
      </c>
      <c r="M82" s="2">
        <f t="shared" si="5"/>
        <v>7</v>
      </c>
      <c r="N82" s="2">
        <v>7</v>
      </c>
      <c r="O82" s="2">
        <v>13</v>
      </c>
      <c r="P82" t="s">
        <v>160</v>
      </c>
      <c r="Q82" s="3" t="s">
        <v>122</v>
      </c>
      <c r="R82" s="3" t="s">
        <v>123</v>
      </c>
    </row>
    <row r="83" spans="1:18" ht="35" customHeight="1">
      <c r="A83" t="s">
        <v>270</v>
      </c>
      <c r="B83" s="3" t="s">
        <v>43</v>
      </c>
      <c r="C83">
        <v>0</v>
      </c>
      <c r="D83" s="2">
        <v>0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f t="shared" si="3"/>
        <v>1</v>
      </c>
      <c r="L83" s="2">
        <f t="shared" si="4"/>
        <v>1</v>
      </c>
      <c r="M83" s="2">
        <f t="shared" si="5"/>
        <v>1</v>
      </c>
      <c r="N83" s="2">
        <v>1</v>
      </c>
      <c r="O83" s="2">
        <v>14</v>
      </c>
      <c r="P83" t="s">
        <v>26</v>
      </c>
      <c r="Q83" s="3" t="s">
        <v>271</v>
      </c>
      <c r="R83" s="3" t="s">
        <v>272</v>
      </c>
    </row>
    <row r="84" spans="1:18" ht="35" customHeight="1">
      <c r="A84" t="s">
        <v>273</v>
      </c>
      <c r="B84" s="3" t="s">
        <v>43</v>
      </c>
      <c r="C84">
        <v>0</v>
      </c>
      <c r="D84" s="2">
        <v>4</v>
      </c>
      <c r="E84" s="2">
        <v>3</v>
      </c>
      <c r="F84" s="2">
        <v>3</v>
      </c>
      <c r="G84" s="2">
        <v>3</v>
      </c>
      <c r="H84" s="2">
        <v>3</v>
      </c>
      <c r="I84" s="2">
        <v>3</v>
      </c>
      <c r="J84" s="2">
        <v>4</v>
      </c>
      <c r="K84" s="2">
        <f t="shared" si="3"/>
        <v>1</v>
      </c>
      <c r="L84" s="2">
        <f t="shared" si="4"/>
        <v>7</v>
      </c>
      <c r="M84" s="2">
        <f t="shared" si="5"/>
        <v>23</v>
      </c>
      <c r="N84" s="2">
        <v>23</v>
      </c>
      <c r="O84" s="2">
        <v>13</v>
      </c>
      <c r="P84" t="s">
        <v>274</v>
      </c>
      <c r="Q84" s="3" t="s">
        <v>275</v>
      </c>
      <c r="R84" s="3" t="s">
        <v>276</v>
      </c>
    </row>
    <row r="85" spans="1:18" ht="35" customHeight="1">
      <c r="A85" t="s">
        <v>277</v>
      </c>
      <c r="B85" s="3" t="s">
        <v>43</v>
      </c>
      <c r="C85">
        <v>0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f t="shared" si="3"/>
        <v>0</v>
      </c>
      <c r="L85" s="2">
        <f t="shared" si="4"/>
        <v>7</v>
      </c>
      <c r="M85" s="2">
        <f t="shared" si="5"/>
        <v>7</v>
      </c>
      <c r="N85" s="2">
        <v>7</v>
      </c>
      <c r="O85" s="2">
        <v>14</v>
      </c>
      <c r="P85" t="s">
        <v>26</v>
      </c>
      <c r="Q85" s="3" t="s">
        <v>122</v>
      </c>
      <c r="R85" s="3" t="s">
        <v>123</v>
      </c>
    </row>
    <row r="86" spans="1:18" ht="35" customHeight="1">
      <c r="A86" t="s">
        <v>278</v>
      </c>
      <c r="B86" s="3" t="s">
        <v>279</v>
      </c>
      <c r="C86">
        <v>7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f t="shared" si="3"/>
        <v>0</v>
      </c>
      <c r="L86" s="2">
        <f t="shared" si="4"/>
        <v>7</v>
      </c>
      <c r="M86" s="2">
        <f t="shared" si="5"/>
        <v>7</v>
      </c>
      <c r="N86" s="2">
        <v>0</v>
      </c>
      <c r="O86" s="2">
        <v>14</v>
      </c>
      <c r="P86" t="s">
        <v>26</v>
      </c>
      <c r="Q86" s="3" t="s">
        <v>279</v>
      </c>
      <c r="R86" s="3" t="s">
        <v>280</v>
      </c>
    </row>
    <row r="87" spans="1:18" ht="35" customHeight="1">
      <c r="A87" t="s">
        <v>281</v>
      </c>
      <c r="B87" s="3" t="s">
        <v>43</v>
      </c>
      <c r="C87">
        <v>0</v>
      </c>
      <c r="D87" s="2">
        <v>2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2</v>
      </c>
      <c r="K87" s="2">
        <f t="shared" si="3"/>
        <v>1</v>
      </c>
      <c r="L87" s="2">
        <f t="shared" si="4"/>
        <v>7</v>
      </c>
      <c r="M87" s="2">
        <f t="shared" si="5"/>
        <v>9</v>
      </c>
      <c r="N87" s="2">
        <v>9</v>
      </c>
      <c r="O87" s="2">
        <v>14</v>
      </c>
      <c r="P87" t="s">
        <v>26</v>
      </c>
      <c r="Q87" s="3" t="s">
        <v>113</v>
      </c>
      <c r="R87" s="3" t="s">
        <v>114</v>
      </c>
    </row>
    <row r="88" spans="1:18" ht="35" customHeight="1">
      <c r="A88" t="s">
        <v>282</v>
      </c>
      <c r="B88" s="3" t="s">
        <v>283</v>
      </c>
      <c r="C88">
        <v>7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f t="shared" si="3"/>
        <v>0</v>
      </c>
      <c r="L88" s="2">
        <f t="shared" si="4"/>
        <v>7</v>
      </c>
      <c r="M88" s="2">
        <f t="shared" si="5"/>
        <v>7</v>
      </c>
      <c r="N88" s="2">
        <v>0</v>
      </c>
      <c r="O88" s="2">
        <v>13</v>
      </c>
      <c r="P88" t="s">
        <v>128</v>
      </c>
      <c r="Q88" s="3" t="s">
        <v>283</v>
      </c>
      <c r="R88" s="3" t="s">
        <v>171</v>
      </c>
    </row>
    <row r="89" spans="1:18" ht="35" customHeight="1">
      <c r="A89" t="s">
        <v>284</v>
      </c>
      <c r="B89" s="3" t="s">
        <v>43</v>
      </c>
      <c r="C89">
        <v>0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f t="shared" si="3"/>
        <v>0</v>
      </c>
      <c r="L89" s="2">
        <f t="shared" si="4"/>
        <v>7</v>
      </c>
      <c r="M89" s="2">
        <f t="shared" si="5"/>
        <v>7</v>
      </c>
      <c r="N89" s="2">
        <v>7</v>
      </c>
      <c r="O89" s="2">
        <v>13</v>
      </c>
      <c r="P89" t="s">
        <v>160</v>
      </c>
      <c r="Q89" s="3" t="s">
        <v>122</v>
      </c>
      <c r="R89" s="3" t="s">
        <v>123</v>
      </c>
    </row>
    <row r="90" spans="1:18" ht="35" customHeight="1">
      <c r="A90" t="s">
        <v>285</v>
      </c>
      <c r="B90" s="3" t="s">
        <v>286</v>
      </c>
      <c r="C90">
        <v>12</v>
      </c>
      <c r="D90" s="2">
        <v>3</v>
      </c>
      <c r="E90" s="2">
        <v>3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f t="shared" si="3"/>
        <v>0</v>
      </c>
      <c r="L90" s="2">
        <f t="shared" si="4"/>
        <v>7</v>
      </c>
      <c r="M90" s="2">
        <f t="shared" si="5"/>
        <v>21</v>
      </c>
      <c r="N90" s="2">
        <v>9</v>
      </c>
      <c r="O90" s="2">
        <v>14</v>
      </c>
      <c r="P90" t="s">
        <v>26</v>
      </c>
      <c r="Q90" s="3" t="s">
        <v>287</v>
      </c>
      <c r="R90" s="3" t="s">
        <v>288</v>
      </c>
    </row>
    <row r="91" spans="1:18" ht="35" customHeight="1">
      <c r="A91" t="s">
        <v>289</v>
      </c>
      <c r="B91" s="3" t="s">
        <v>290</v>
      </c>
      <c r="C91">
        <v>12</v>
      </c>
      <c r="D91" s="2">
        <v>2</v>
      </c>
      <c r="E91" s="2">
        <v>2</v>
      </c>
      <c r="F91" s="2">
        <v>2</v>
      </c>
      <c r="G91" s="2">
        <v>2</v>
      </c>
      <c r="H91" s="2">
        <v>2</v>
      </c>
      <c r="I91" s="2">
        <v>2</v>
      </c>
      <c r="J91" s="2">
        <v>2</v>
      </c>
      <c r="K91" s="2">
        <f t="shared" si="3"/>
        <v>0</v>
      </c>
      <c r="L91" s="2">
        <f t="shared" si="4"/>
        <v>7</v>
      </c>
      <c r="M91" s="2">
        <f t="shared" si="5"/>
        <v>14</v>
      </c>
      <c r="N91" s="2">
        <v>2</v>
      </c>
      <c r="O91" s="2">
        <v>14</v>
      </c>
      <c r="P91" t="s">
        <v>26</v>
      </c>
      <c r="Q91" s="3" t="s">
        <v>291</v>
      </c>
      <c r="R91" s="3" t="s">
        <v>263</v>
      </c>
    </row>
    <row r="92" spans="1:18" ht="35" customHeight="1">
      <c r="A92" t="s">
        <v>292</v>
      </c>
      <c r="B92" s="3" t="s">
        <v>43</v>
      </c>
      <c r="C92">
        <v>0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f t="shared" si="3"/>
        <v>0</v>
      </c>
      <c r="L92" s="2">
        <f t="shared" si="4"/>
        <v>7</v>
      </c>
      <c r="M92" s="2">
        <f t="shared" si="5"/>
        <v>7</v>
      </c>
      <c r="N92" s="2">
        <v>7</v>
      </c>
      <c r="O92" s="2">
        <v>14</v>
      </c>
      <c r="P92" t="s">
        <v>26</v>
      </c>
      <c r="Q92" s="3" t="s">
        <v>122</v>
      </c>
      <c r="R92" s="3" t="s">
        <v>123</v>
      </c>
    </row>
    <row r="93" spans="1:18" ht="35" customHeight="1">
      <c r="A93" t="s">
        <v>293</v>
      </c>
      <c r="B93" s="3" t="s">
        <v>43</v>
      </c>
      <c r="C93">
        <v>0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f t="shared" si="3"/>
        <v>0</v>
      </c>
      <c r="L93" s="2">
        <f t="shared" si="4"/>
        <v>7</v>
      </c>
      <c r="M93" s="2">
        <f t="shared" si="5"/>
        <v>7</v>
      </c>
      <c r="N93" s="2">
        <v>7</v>
      </c>
      <c r="O93" s="2">
        <v>14</v>
      </c>
      <c r="P93" t="s">
        <v>26</v>
      </c>
      <c r="Q93" s="3" t="s">
        <v>122</v>
      </c>
      <c r="R93" s="3" t="s">
        <v>123</v>
      </c>
    </row>
    <row r="94" spans="1:18" ht="35" customHeight="1">
      <c r="A94" t="s">
        <v>294</v>
      </c>
      <c r="B94" s="3" t="s">
        <v>176</v>
      </c>
      <c r="C94">
        <v>7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f t="shared" si="3"/>
        <v>0</v>
      </c>
      <c r="L94" s="2">
        <f t="shared" si="4"/>
        <v>7</v>
      </c>
      <c r="M94" s="2">
        <f t="shared" si="5"/>
        <v>7</v>
      </c>
      <c r="N94" s="2">
        <v>0</v>
      </c>
      <c r="O94" s="2">
        <v>14</v>
      </c>
      <c r="P94" t="s">
        <v>26</v>
      </c>
      <c r="Q94" s="3" t="s">
        <v>176</v>
      </c>
      <c r="R94" s="3" t="s">
        <v>171</v>
      </c>
    </row>
    <row r="95" spans="1:18" ht="35" customHeight="1">
      <c r="A95" t="s">
        <v>295</v>
      </c>
      <c r="B95" s="3" t="s">
        <v>170</v>
      </c>
      <c r="C95">
        <v>7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f t="shared" si="3"/>
        <v>0</v>
      </c>
      <c r="L95" s="2">
        <f t="shared" si="4"/>
        <v>7</v>
      </c>
      <c r="M95" s="2">
        <f t="shared" si="5"/>
        <v>7</v>
      </c>
      <c r="N95" s="2">
        <v>0</v>
      </c>
      <c r="O95" s="2">
        <v>14</v>
      </c>
      <c r="P95" t="s">
        <v>26</v>
      </c>
      <c r="Q95" s="3" t="s">
        <v>170</v>
      </c>
      <c r="R95" s="3" t="s">
        <v>171</v>
      </c>
    </row>
    <row r="96" spans="1:18" ht="35" customHeight="1">
      <c r="A96" t="s">
        <v>296</v>
      </c>
      <c r="B96" s="3" t="s">
        <v>43</v>
      </c>
      <c r="C96">
        <v>0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f t="shared" si="3"/>
        <v>0</v>
      </c>
      <c r="L96" s="2">
        <f t="shared" si="4"/>
        <v>7</v>
      </c>
      <c r="M96" s="2">
        <f t="shared" si="5"/>
        <v>7</v>
      </c>
      <c r="N96" s="2">
        <v>7</v>
      </c>
      <c r="O96" s="2">
        <v>13</v>
      </c>
      <c r="P96" t="s">
        <v>128</v>
      </c>
      <c r="Q96" s="3" t="s">
        <v>122</v>
      </c>
      <c r="R96" s="3" t="s">
        <v>123</v>
      </c>
    </row>
    <row r="97" spans="1:18" ht="35" customHeight="1">
      <c r="A97" t="s">
        <v>297</v>
      </c>
      <c r="B97" s="3" t="s">
        <v>298</v>
      </c>
      <c r="C97">
        <v>7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f t="shared" si="3"/>
        <v>0</v>
      </c>
      <c r="L97" s="2">
        <f t="shared" si="4"/>
        <v>7</v>
      </c>
      <c r="M97" s="2">
        <f t="shared" si="5"/>
        <v>7</v>
      </c>
      <c r="N97" s="2">
        <v>0</v>
      </c>
      <c r="O97" s="2">
        <v>14</v>
      </c>
      <c r="P97" t="s">
        <v>26</v>
      </c>
      <c r="Q97" s="3" t="s">
        <v>298</v>
      </c>
      <c r="R97" s="3" t="s">
        <v>171</v>
      </c>
    </row>
    <row r="98" spans="1:18" ht="35" customHeight="1">
      <c r="A98" t="s">
        <v>299</v>
      </c>
      <c r="B98" s="3" t="s">
        <v>43</v>
      </c>
      <c r="C98">
        <v>0</v>
      </c>
      <c r="D98" s="2">
        <v>2</v>
      </c>
      <c r="E98" s="2">
        <v>2</v>
      </c>
      <c r="F98" s="2">
        <v>2</v>
      </c>
      <c r="G98" s="2">
        <v>2</v>
      </c>
      <c r="H98" s="2">
        <v>2</v>
      </c>
      <c r="I98" s="2">
        <v>2</v>
      </c>
      <c r="J98" s="2">
        <v>2</v>
      </c>
      <c r="K98" s="2">
        <f t="shared" si="3"/>
        <v>0</v>
      </c>
      <c r="L98" s="2">
        <f t="shared" si="4"/>
        <v>7</v>
      </c>
      <c r="M98" s="2">
        <f t="shared" si="5"/>
        <v>14</v>
      </c>
      <c r="N98" s="2">
        <v>14</v>
      </c>
      <c r="O98" s="2">
        <v>14</v>
      </c>
      <c r="P98" t="s">
        <v>26</v>
      </c>
      <c r="Q98" s="3" t="s">
        <v>49</v>
      </c>
      <c r="R98" s="3" t="s">
        <v>50</v>
      </c>
    </row>
    <row r="99" spans="1:18" ht="35" customHeight="1">
      <c r="A99" t="s">
        <v>100</v>
      </c>
      <c r="B99" s="3" t="s">
        <v>101</v>
      </c>
      <c r="C99">
        <v>6</v>
      </c>
      <c r="D99" s="2">
        <v>2</v>
      </c>
      <c r="E99" s="2">
        <v>2</v>
      </c>
      <c r="F99" s="2">
        <v>2</v>
      </c>
      <c r="G99" s="2">
        <v>2</v>
      </c>
      <c r="H99" s="2">
        <v>0</v>
      </c>
      <c r="I99" s="2">
        <v>2</v>
      </c>
      <c r="J99" s="2">
        <v>2</v>
      </c>
      <c r="K99" s="2">
        <f t="shared" si="3"/>
        <v>2</v>
      </c>
      <c r="L99" s="2">
        <f t="shared" si="4"/>
        <v>6</v>
      </c>
      <c r="M99" s="2">
        <f t="shared" si="5"/>
        <v>12</v>
      </c>
      <c r="N99" s="2">
        <v>6</v>
      </c>
      <c r="O99" s="2">
        <v>14</v>
      </c>
      <c r="P99" t="s">
        <v>26</v>
      </c>
      <c r="Q99" s="3" t="s">
        <v>102</v>
      </c>
      <c r="R99" s="3" t="s">
        <v>103</v>
      </c>
    </row>
    <row r="100" spans="1:18" ht="35" customHeight="1">
      <c r="A100" t="s">
        <v>300</v>
      </c>
      <c r="B100" s="3" t="s">
        <v>43</v>
      </c>
      <c r="C100">
        <v>0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f t="shared" si="3"/>
        <v>0</v>
      </c>
      <c r="L100" s="2">
        <f t="shared" si="4"/>
        <v>7</v>
      </c>
      <c r="M100" s="2">
        <f t="shared" si="5"/>
        <v>7</v>
      </c>
      <c r="N100" s="2">
        <v>7</v>
      </c>
      <c r="O100" s="2">
        <v>14</v>
      </c>
      <c r="P100" t="s">
        <v>26</v>
      </c>
      <c r="Q100" s="3" t="s">
        <v>122</v>
      </c>
      <c r="R100" s="3" t="s">
        <v>123</v>
      </c>
    </row>
    <row r="101" spans="1:18" ht="35" customHeight="1">
      <c r="A101" t="s">
        <v>301</v>
      </c>
      <c r="B101" s="3" t="s">
        <v>43</v>
      </c>
      <c r="C101">
        <v>0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f t="shared" si="3"/>
        <v>0</v>
      </c>
      <c r="L101" s="2">
        <f t="shared" si="4"/>
        <v>7</v>
      </c>
      <c r="M101" s="2">
        <f t="shared" si="5"/>
        <v>7</v>
      </c>
      <c r="N101" s="2">
        <v>7</v>
      </c>
      <c r="O101" s="2">
        <v>14</v>
      </c>
      <c r="P101" t="s">
        <v>26</v>
      </c>
      <c r="Q101" s="3" t="s">
        <v>122</v>
      </c>
      <c r="R101" s="3" t="s">
        <v>123</v>
      </c>
    </row>
    <row r="102" spans="1:18" ht="35" customHeight="1">
      <c r="A102" t="s">
        <v>302</v>
      </c>
      <c r="B102" s="3" t="s">
        <v>303</v>
      </c>
      <c r="C102">
        <v>11</v>
      </c>
      <c r="D102" s="2">
        <v>1</v>
      </c>
      <c r="E102" s="2">
        <v>1</v>
      </c>
      <c r="F102" s="2">
        <v>2</v>
      </c>
      <c r="G102" s="2">
        <v>2</v>
      </c>
      <c r="H102" s="2">
        <v>2</v>
      </c>
      <c r="I102" s="2">
        <v>1</v>
      </c>
      <c r="J102" s="2">
        <v>2</v>
      </c>
      <c r="K102" s="2">
        <f t="shared" si="3"/>
        <v>1</v>
      </c>
      <c r="L102" s="2">
        <f t="shared" si="4"/>
        <v>7</v>
      </c>
      <c r="M102" s="2">
        <f t="shared" si="5"/>
        <v>11</v>
      </c>
      <c r="N102" s="2">
        <v>0</v>
      </c>
      <c r="O102" s="2">
        <v>14</v>
      </c>
      <c r="P102" t="s">
        <v>26</v>
      </c>
      <c r="Q102" s="3" t="s">
        <v>303</v>
      </c>
      <c r="R102" s="3" t="s">
        <v>304</v>
      </c>
    </row>
    <row r="103" spans="1:18" ht="35" customHeight="1">
      <c r="A103" t="s">
        <v>305</v>
      </c>
      <c r="B103" s="3" t="s">
        <v>306</v>
      </c>
      <c r="C103">
        <v>14</v>
      </c>
      <c r="D103" s="2">
        <v>2</v>
      </c>
      <c r="E103" s="2">
        <v>2</v>
      </c>
      <c r="F103" s="2">
        <v>2</v>
      </c>
      <c r="G103" s="2">
        <v>2</v>
      </c>
      <c r="H103" s="2">
        <v>2</v>
      </c>
      <c r="I103" s="2">
        <v>2</v>
      </c>
      <c r="J103" s="2">
        <v>2</v>
      </c>
      <c r="K103" s="2">
        <f t="shared" si="3"/>
        <v>0</v>
      </c>
      <c r="L103" s="2">
        <f t="shared" si="4"/>
        <v>7</v>
      </c>
      <c r="M103" s="2">
        <f t="shared" si="5"/>
        <v>14</v>
      </c>
      <c r="N103" s="2">
        <v>0</v>
      </c>
      <c r="O103" s="2">
        <v>14</v>
      </c>
      <c r="P103" t="s">
        <v>26</v>
      </c>
      <c r="Q103" s="3" t="s">
        <v>306</v>
      </c>
      <c r="R103" s="3" t="s">
        <v>179</v>
      </c>
    </row>
    <row r="104" spans="1:18" ht="35" customHeight="1">
      <c r="A104" t="s">
        <v>307</v>
      </c>
      <c r="B104" s="3" t="s">
        <v>43</v>
      </c>
      <c r="C104">
        <v>0</v>
      </c>
      <c r="D104" s="2">
        <v>0</v>
      </c>
      <c r="E104" s="2">
        <v>1</v>
      </c>
      <c r="F104" s="2">
        <v>0</v>
      </c>
      <c r="G104" s="2">
        <v>1</v>
      </c>
      <c r="H104" s="2">
        <v>1</v>
      </c>
      <c r="I104" s="2">
        <v>1</v>
      </c>
      <c r="J104" s="2">
        <v>0</v>
      </c>
      <c r="K104" s="2">
        <f t="shared" si="3"/>
        <v>1</v>
      </c>
      <c r="L104" s="2">
        <f t="shared" si="4"/>
        <v>4</v>
      </c>
      <c r="M104" s="2">
        <f t="shared" si="5"/>
        <v>4</v>
      </c>
      <c r="N104" s="2">
        <v>4</v>
      </c>
      <c r="O104" s="2">
        <v>13</v>
      </c>
      <c r="P104" t="s">
        <v>97</v>
      </c>
      <c r="Q104" s="3" t="s">
        <v>142</v>
      </c>
      <c r="R104" s="3" t="s">
        <v>143</v>
      </c>
    </row>
    <row r="105" spans="1:18" ht="35" customHeight="1">
      <c r="A105" t="s">
        <v>308</v>
      </c>
      <c r="B105" s="3" t="s">
        <v>43</v>
      </c>
      <c r="C105">
        <v>0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f t="shared" si="3"/>
        <v>0</v>
      </c>
      <c r="L105" s="2">
        <f t="shared" si="4"/>
        <v>7</v>
      </c>
      <c r="M105" s="2">
        <f t="shared" si="5"/>
        <v>7</v>
      </c>
      <c r="N105" s="2">
        <v>7</v>
      </c>
      <c r="O105" s="2">
        <v>12</v>
      </c>
      <c r="P105" t="s">
        <v>186</v>
      </c>
      <c r="Q105" s="3" t="s">
        <v>122</v>
      </c>
      <c r="R105" s="3" t="s">
        <v>123</v>
      </c>
    </row>
    <row r="106" spans="1:18" ht="35" customHeight="1">
      <c r="A106" t="s">
        <v>309</v>
      </c>
      <c r="B106" s="3" t="s">
        <v>43</v>
      </c>
      <c r="C106">
        <v>0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f t="shared" si="3"/>
        <v>0</v>
      </c>
      <c r="L106" s="2">
        <f t="shared" si="4"/>
        <v>7</v>
      </c>
      <c r="M106" s="2">
        <f t="shared" si="5"/>
        <v>7</v>
      </c>
      <c r="N106" s="2">
        <v>7</v>
      </c>
      <c r="O106" s="2">
        <v>13</v>
      </c>
      <c r="P106" t="s">
        <v>310</v>
      </c>
      <c r="Q106" s="3" t="s">
        <v>122</v>
      </c>
      <c r="R106" s="3" t="s">
        <v>123</v>
      </c>
    </row>
    <row r="107" spans="1:18" ht="35" customHeight="1">
      <c r="A107" t="s">
        <v>311</v>
      </c>
      <c r="B107" s="3" t="s">
        <v>43</v>
      </c>
      <c r="C107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f t="shared" si="3"/>
        <v>1</v>
      </c>
      <c r="L107" s="2">
        <f t="shared" si="4"/>
        <v>1</v>
      </c>
      <c r="M107" s="2">
        <f t="shared" si="5"/>
        <v>1</v>
      </c>
      <c r="N107" s="2">
        <v>1</v>
      </c>
      <c r="O107" s="2">
        <v>13</v>
      </c>
      <c r="P107" t="s">
        <v>128</v>
      </c>
      <c r="Q107" s="3" t="s">
        <v>271</v>
      </c>
      <c r="R107" s="3" t="s">
        <v>272</v>
      </c>
    </row>
    <row r="108" spans="1:18" ht="35" customHeight="1">
      <c r="A108" t="s">
        <v>312</v>
      </c>
      <c r="B108" s="3" t="s">
        <v>43</v>
      </c>
      <c r="C108">
        <v>0</v>
      </c>
      <c r="D108" s="2">
        <v>2</v>
      </c>
      <c r="E108" s="2">
        <v>2</v>
      </c>
      <c r="F108" s="2">
        <v>3</v>
      </c>
      <c r="G108" s="2">
        <v>2</v>
      </c>
      <c r="H108" s="2">
        <v>2</v>
      </c>
      <c r="I108" s="2">
        <v>3</v>
      </c>
      <c r="J108" s="2">
        <v>2</v>
      </c>
      <c r="K108" s="2">
        <f t="shared" si="3"/>
        <v>1</v>
      </c>
      <c r="L108" s="2">
        <f t="shared" si="4"/>
        <v>7</v>
      </c>
      <c r="M108" s="2">
        <f t="shared" si="5"/>
        <v>16</v>
      </c>
      <c r="N108" s="2">
        <v>16</v>
      </c>
      <c r="O108" s="2">
        <v>14</v>
      </c>
      <c r="P108" t="s">
        <v>26</v>
      </c>
      <c r="Q108" s="3" t="s">
        <v>83</v>
      </c>
      <c r="R108" s="3" t="s">
        <v>84</v>
      </c>
    </row>
    <row r="109" spans="1:18" ht="35" customHeight="1">
      <c r="A109" t="s">
        <v>313</v>
      </c>
      <c r="B109" s="3" t="s">
        <v>43</v>
      </c>
      <c r="C109">
        <v>0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f t="shared" si="3"/>
        <v>0</v>
      </c>
      <c r="L109" s="2">
        <f t="shared" si="4"/>
        <v>7</v>
      </c>
      <c r="M109" s="2">
        <f t="shared" si="5"/>
        <v>7</v>
      </c>
      <c r="N109" s="2">
        <v>7</v>
      </c>
      <c r="O109" s="2">
        <v>14</v>
      </c>
      <c r="P109" t="s">
        <v>26</v>
      </c>
      <c r="Q109" s="3" t="s">
        <v>122</v>
      </c>
      <c r="R109" s="3" t="s">
        <v>123</v>
      </c>
    </row>
    <row r="110" spans="1:18" ht="35" customHeight="1">
      <c r="A110" t="s">
        <v>314</v>
      </c>
      <c r="B110" s="3" t="s">
        <v>225</v>
      </c>
      <c r="C110">
        <v>6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0</v>
      </c>
      <c r="K110" s="2">
        <f t="shared" si="3"/>
        <v>1</v>
      </c>
      <c r="L110" s="2">
        <f t="shared" si="4"/>
        <v>6</v>
      </c>
      <c r="M110" s="2">
        <f t="shared" si="5"/>
        <v>6</v>
      </c>
      <c r="N110" s="2">
        <v>0</v>
      </c>
      <c r="O110" s="2">
        <v>12</v>
      </c>
      <c r="P110" t="s">
        <v>315</v>
      </c>
      <c r="Q110" s="3" t="s">
        <v>225</v>
      </c>
      <c r="R110" s="3" t="s">
        <v>168</v>
      </c>
    </row>
    <row r="111" spans="1:18" ht="35" customHeight="1">
      <c r="A111" t="s">
        <v>316</v>
      </c>
      <c r="B111" s="3" t="s">
        <v>43</v>
      </c>
      <c r="C111">
        <v>0</v>
      </c>
      <c r="D111" s="2">
        <v>1</v>
      </c>
      <c r="E111" s="2">
        <v>1</v>
      </c>
      <c r="F111" s="2">
        <v>0</v>
      </c>
      <c r="G111" s="2">
        <v>0</v>
      </c>
      <c r="H111" s="2">
        <v>1</v>
      </c>
      <c r="I111" s="2">
        <v>1</v>
      </c>
      <c r="J111" s="2">
        <v>0</v>
      </c>
      <c r="K111" s="2">
        <f t="shared" si="3"/>
        <v>1</v>
      </c>
      <c r="L111" s="2">
        <f t="shared" si="4"/>
        <v>4</v>
      </c>
      <c r="M111" s="2">
        <f t="shared" si="5"/>
        <v>4</v>
      </c>
      <c r="N111" s="2">
        <v>4</v>
      </c>
      <c r="O111" s="2">
        <v>14</v>
      </c>
      <c r="P111" t="s">
        <v>26</v>
      </c>
      <c r="Q111" s="3" t="s">
        <v>142</v>
      </c>
      <c r="R111" s="3" t="s">
        <v>143</v>
      </c>
    </row>
    <row r="112" spans="1:18" ht="35" customHeight="1">
      <c r="A112" t="s">
        <v>317</v>
      </c>
      <c r="B112" s="3" t="s">
        <v>43</v>
      </c>
      <c r="C112">
        <v>0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f t="shared" si="3"/>
        <v>0</v>
      </c>
      <c r="L112" s="2">
        <f t="shared" si="4"/>
        <v>7</v>
      </c>
      <c r="M112" s="2">
        <f t="shared" si="5"/>
        <v>7</v>
      </c>
      <c r="N112" s="2">
        <v>7</v>
      </c>
      <c r="O112" s="2">
        <v>13</v>
      </c>
      <c r="P112" t="s">
        <v>310</v>
      </c>
      <c r="Q112" s="3" t="s">
        <v>122</v>
      </c>
      <c r="R112" s="3" t="s">
        <v>123</v>
      </c>
    </row>
    <row r="113" spans="1:18" ht="35" customHeight="1">
      <c r="A113" t="s">
        <v>318</v>
      </c>
      <c r="B113" s="3" t="s">
        <v>319</v>
      </c>
      <c r="C113">
        <v>7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f t="shared" si="3"/>
        <v>0</v>
      </c>
      <c r="L113" s="2">
        <f t="shared" si="4"/>
        <v>7</v>
      </c>
      <c r="M113" s="2">
        <f t="shared" si="5"/>
        <v>7</v>
      </c>
      <c r="N113" s="2">
        <v>0</v>
      </c>
      <c r="O113" s="2">
        <v>14</v>
      </c>
      <c r="P113" t="s">
        <v>26</v>
      </c>
      <c r="Q113" s="3" t="s">
        <v>319</v>
      </c>
      <c r="R113" s="3" t="s">
        <v>171</v>
      </c>
    </row>
    <row r="114" spans="1:18" ht="35" customHeight="1">
      <c r="A114" t="s">
        <v>320</v>
      </c>
      <c r="B114" s="3" t="s">
        <v>43</v>
      </c>
      <c r="C114">
        <v>0</v>
      </c>
      <c r="D114" s="2">
        <v>1</v>
      </c>
      <c r="E114" s="2">
        <v>0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f t="shared" si="3"/>
        <v>1</v>
      </c>
      <c r="L114" s="2">
        <f t="shared" si="4"/>
        <v>6</v>
      </c>
      <c r="M114" s="2">
        <f t="shared" si="5"/>
        <v>6</v>
      </c>
      <c r="N114" s="2">
        <v>6</v>
      </c>
      <c r="O114" s="2">
        <v>12</v>
      </c>
      <c r="P114" t="s">
        <v>321</v>
      </c>
      <c r="Q114" s="3" t="s">
        <v>173</v>
      </c>
      <c r="R114" s="3" t="s">
        <v>174</v>
      </c>
    </row>
    <row r="115" spans="1:18" ht="35" customHeight="1">
      <c r="A115" t="s">
        <v>322</v>
      </c>
      <c r="B115" s="3" t="s">
        <v>43</v>
      </c>
      <c r="C115">
        <v>0</v>
      </c>
      <c r="D115" s="2">
        <v>2</v>
      </c>
      <c r="E115" s="2">
        <v>2</v>
      </c>
      <c r="F115" s="2">
        <v>2</v>
      </c>
      <c r="G115" s="2">
        <v>2</v>
      </c>
      <c r="H115" s="2">
        <v>2</v>
      </c>
      <c r="I115" s="2">
        <v>2</v>
      </c>
      <c r="J115" s="2">
        <v>2</v>
      </c>
      <c r="K115" s="2">
        <f t="shared" si="3"/>
        <v>0</v>
      </c>
      <c r="L115" s="2">
        <f t="shared" si="4"/>
        <v>7</v>
      </c>
      <c r="M115" s="2">
        <f t="shared" si="5"/>
        <v>14</v>
      </c>
      <c r="N115" s="2">
        <v>14</v>
      </c>
      <c r="O115" s="2">
        <v>13</v>
      </c>
      <c r="P115" t="s">
        <v>210</v>
      </c>
      <c r="Q115" s="3" t="s">
        <v>49</v>
      </c>
      <c r="R115" s="3" t="s">
        <v>50</v>
      </c>
    </row>
    <row r="116" spans="1:18" ht="35" customHeight="1">
      <c r="A116" t="s">
        <v>323</v>
      </c>
      <c r="B116" s="3" t="s">
        <v>324</v>
      </c>
      <c r="C116">
        <v>14</v>
      </c>
      <c r="D116" s="2">
        <v>2</v>
      </c>
      <c r="E116" s="2">
        <v>2</v>
      </c>
      <c r="F116" s="2">
        <v>2</v>
      </c>
      <c r="G116" s="2">
        <v>2</v>
      </c>
      <c r="H116" s="2">
        <v>2</v>
      </c>
      <c r="I116" s="2">
        <v>2</v>
      </c>
      <c r="J116" s="2">
        <v>2</v>
      </c>
      <c r="K116" s="2">
        <f t="shared" si="3"/>
        <v>0</v>
      </c>
      <c r="L116" s="2">
        <f t="shared" si="4"/>
        <v>7</v>
      </c>
      <c r="M116" s="2">
        <f t="shared" si="5"/>
        <v>14</v>
      </c>
      <c r="N116" s="2">
        <v>0</v>
      </c>
      <c r="O116" s="2">
        <v>13</v>
      </c>
      <c r="P116" t="s">
        <v>210</v>
      </c>
      <c r="Q116" s="3" t="s">
        <v>324</v>
      </c>
      <c r="R116" s="3" t="s">
        <v>179</v>
      </c>
    </row>
    <row r="117" spans="1:18" ht="35" customHeight="1">
      <c r="A117" t="s">
        <v>325</v>
      </c>
      <c r="B117" s="3" t="s">
        <v>43</v>
      </c>
      <c r="C117">
        <v>0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2</v>
      </c>
      <c r="K117" s="2">
        <f t="shared" si="3"/>
        <v>1</v>
      </c>
      <c r="L117" s="2">
        <f t="shared" si="4"/>
        <v>7</v>
      </c>
      <c r="M117" s="2">
        <f t="shared" si="5"/>
        <v>8</v>
      </c>
      <c r="N117" s="2">
        <v>8</v>
      </c>
      <c r="O117" s="2">
        <v>14</v>
      </c>
      <c r="P117" t="s">
        <v>26</v>
      </c>
      <c r="Q117" s="3" t="s">
        <v>119</v>
      </c>
      <c r="R117" s="3" t="s">
        <v>120</v>
      </c>
    </row>
    <row r="118" spans="1:18" ht="35" customHeight="1">
      <c r="A118" t="s">
        <v>326</v>
      </c>
      <c r="B118" s="3" t="s">
        <v>327</v>
      </c>
      <c r="C118">
        <v>14</v>
      </c>
      <c r="D118" s="2">
        <v>2</v>
      </c>
      <c r="E118" s="2">
        <v>2</v>
      </c>
      <c r="F118" s="2">
        <v>2</v>
      </c>
      <c r="G118" s="2">
        <v>2</v>
      </c>
      <c r="H118" s="2">
        <v>2</v>
      </c>
      <c r="I118" s="2">
        <v>2</v>
      </c>
      <c r="J118" s="2">
        <v>2</v>
      </c>
      <c r="K118" s="2">
        <f t="shared" si="3"/>
        <v>0</v>
      </c>
      <c r="L118" s="2">
        <f t="shared" si="4"/>
        <v>7</v>
      </c>
      <c r="M118" s="2">
        <f t="shared" si="5"/>
        <v>14</v>
      </c>
      <c r="N118" s="2">
        <v>0</v>
      </c>
      <c r="O118" s="2">
        <v>14</v>
      </c>
      <c r="P118" t="s">
        <v>26</v>
      </c>
      <c r="Q118" s="3" t="s">
        <v>327</v>
      </c>
      <c r="R118" s="3" t="s">
        <v>187</v>
      </c>
    </row>
    <row r="119" spans="1:18" ht="35" customHeight="1">
      <c r="A119" t="s">
        <v>328</v>
      </c>
      <c r="B119" s="3" t="s">
        <v>329</v>
      </c>
      <c r="C119">
        <v>3</v>
      </c>
      <c r="D119" s="2">
        <v>1</v>
      </c>
      <c r="E119" s="2">
        <v>1</v>
      </c>
      <c r="F119" s="2">
        <v>0</v>
      </c>
      <c r="G119" s="2">
        <v>1</v>
      </c>
      <c r="H119" s="2">
        <v>1</v>
      </c>
      <c r="I119" s="2">
        <v>1</v>
      </c>
      <c r="J119" s="2">
        <v>1</v>
      </c>
      <c r="K119" s="2">
        <f t="shared" si="3"/>
        <v>1</v>
      </c>
      <c r="L119" s="2">
        <f t="shared" si="4"/>
        <v>6</v>
      </c>
      <c r="M119" s="2">
        <f t="shared" si="5"/>
        <v>6</v>
      </c>
      <c r="N119" s="2">
        <v>3</v>
      </c>
      <c r="O119" s="2">
        <v>14</v>
      </c>
      <c r="P119" t="s">
        <v>26</v>
      </c>
      <c r="Q119" s="3" t="s">
        <v>330</v>
      </c>
      <c r="R119" s="3" t="s">
        <v>331</v>
      </c>
    </row>
    <row r="120" spans="1:18" ht="35" customHeight="1">
      <c r="A120" t="s">
        <v>332</v>
      </c>
      <c r="B120" s="3" t="s">
        <v>43</v>
      </c>
      <c r="C120">
        <v>0</v>
      </c>
      <c r="D120" s="2">
        <v>1</v>
      </c>
      <c r="E120" s="2">
        <v>0</v>
      </c>
      <c r="F120" s="2">
        <v>0</v>
      </c>
      <c r="G120" s="2">
        <v>1</v>
      </c>
      <c r="H120" s="2">
        <v>1</v>
      </c>
      <c r="I120" s="2">
        <v>1</v>
      </c>
      <c r="J120" s="2">
        <v>1</v>
      </c>
      <c r="K120" s="2">
        <f t="shared" si="3"/>
        <v>1</v>
      </c>
      <c r="L120" s="2">
        <f t="shared" si="4"/>
        <v>5</v>
      </c>
      <c r="M120" s="2">
        <f t="shared" si="5"/>
        <v>5</v>
      </c>
      <c r="N120" s="2">
        <v>5</v>
      </c>
      <c r="O120" s="2">
        <v>14</v>
      </c>
      <c r="P120" t="s">
        <v>26</v>
      </c>
      <c r="Q120" s="3" t="s">
        <v>139</v>
      </c>
      <c r="R120" s="3" t="s">
        <v>140</v>
      </c>
    </row>
    <row r="121" spans="1:18" ht="35" customHeight="1">
      <c r="A121" t="s">
        <v>333</v>
      </c>
      <c r="B121" s="3" t="s">
        <v>43</v>
      </c>
      <c r="C121">
        <v>0</v>
      </c>
      <c r="D121" s="2">
        <v>2</v>
      </c>
      <c r="E121" s="2">
        <v>2</v>
      </c>
      <c r="F121" s="2">
        <v>2</v>
      </c>
      <c r="G121" s="2">
        <v>2</v>
      </c>
      <c r="H121" s="2">
        <v>2</v>
      </c>
      <c r="I121" s="2">
        <v>2</v>
      </c>
      <c r="J121" s="2">
        <v>2</v>
      </c>
      <c r="K121" s="2">
        <f t="shared" si="3"/>
        <v>0</v>
      </c>
      <c r="L121" s="2">
        <f t="shared" si="4"/>
        <v>7</v>
      </c>
      <c r="M121" s="2">
        <f t="shared" si="5"/>
        <v>14</v>
      </c>
      <c r="N121" s="2">
        <v>14</v>
      </c>
      <c r="O121" s="2">
        <v>14</v>
      </c>
      <c r="P121" t="s">
        <v>26</v>
      </c>
      <c r="Q121" s="3" t="s">
        <v>49</v>
      </c>
      <c r="R121" s="3" t="s">
        <v>50</v>
      </c>
    </row>
    <row r="122" spans="1:18" ht="35" customHeight="1">
      <c r="A122" t="s">
        <v>334</v>
      </c>
      <c r="B122" s="3" t="s">
        <v>43</v>
      </c>
      <c r="C12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1</v>
      </c>
      <c r="J122" s="2">
        <v>0</v>
      </c>
      <c r="K122" s="2">
        <f t="shared" si="3"/>
        <v>1</v>
      </c>
      <c r="L122" s="2">
        <f t="shared" si="4"/>
        <v>3</v>
      </c>
      <c r="M122" s="2">
        <f t="shared" si="5"/>
        <v>3</v>
      </c>
      <c r="N122" s="2">
        <v>3</v>
      </c>
      <c r="O122" s="2">
        <v>14</v>
      </c>
      <c r="P122" t="s">
        <v>26</v>
      </c>
      <c r="Q122" s="3" t="s">
        <v>145</v>
      </c>
      <c r="R122" s="3" t="s">
        <v>146</v>
      </c>
    </row>
    <row r="123" spans="1:18" ht="35" customHeight="1">
      <c r="A123" t="s">
        <v>335</v>
      </c>
      <c r="B123" s="3" t="s">
        <v>336</v>
      </c>
      <c r="C123">
        <v>11</v>
      </c>
      <c r="D123" s="2">
        <v>2</v>
      </c>
      <c r="E123" s="2">
        <v>2</v>
      </c>
      <c r="F123" s="2">
        <v>1</v>
      </c>
      <c r="G123" s="2">
        <v>2</v>
      </c>
      <c r="H123" s="2">
        <v>1</v>
      </c>
      <c r="I123" s="2">
        <v>2</v>
      </c>
      <c r="J123" s="2">
        <v>2</v>
      </c>
      <c r="K123" s="2">
        <f t="shared" si="3"/>
        <v>1</v>
      </c>
      <c r="L123" s="2">
        <f t="shared" si="4"/>
        <v>7</v>
      </c>
      <c r="M123" s="2">
        <f t="shared" si="5"/>
        <v>12</v>
      </c>
      <c r="N123" s="2">
        <v>1</v>
      </c>
      <c r="O123" s="2">
        <v>12</v>
      </c>
      <c r="P123" t="s">
        <v>77</v>
      </c>
      <c r="Q123" s="3" t="s">
        <v>337</v>
      </c>
      <c r="R123" s="3" t="s">
        <v>338</v>
      </c>
    </row>
    <row r="124" spans="1:18" ht="35" customHeight="1">
      <c r="A124" t="s">
        <v>339</v>
      </c>
      <c r="B124" s="3" t="s">
        <v>43</v>
      </c>
      <c r="C124">
        <v>0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f t="shared" si="3"/>
        <v>0</v>
      </c>
      <c r="L124" s="2">
        <f t="shared" si="4"/>
        <v>7</v>
      </c>
      <c r="M124" s="2">
        <f t="shared" si="5"/>
        <v>7</v>
      </c>
      <c r="N124" s="2">
        <v>7</v>
      </c>
      <c r="O124" s="2">
        <v>14</v>
      </c>
      <c r="P124" t="s">
        <v>26</v>
      </c>
      <c r="Q124" s="3" t="s">
        <v>122</v>
      </c>
      <c r="R124" s="3" t="s">
        <v>123</v>
      </c>
    </row>
    <row r="125" spans="1:18" ht="35" customHeight="1">
      <c r="A125" t="s">
        <v>340</v>
      </c>
      <c r="B125" s="3" t="s">
        <v>341</v>
      </c>
      <c r="C125">
        <v>3</v>
      </c>
      <c r="D125" s="2">
        <v>1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f t="shared" si="3"/>
        <v>1</v>
      </c>
      <c r="L125" s="2">
        <f t="shared" si="4"/>
        <v>3</v>
      </c>
      <c r="M125" s="2">
        <f t="shared" si="5"/>
        <v>3</v>
      </c>
      <c r="N125" s="2">
        <v>0</v>
      </c>
      <c r="O125" s="2">
        <v>14</v>
      </c>
      <c r="P125" t="s">
        <v>26</v>
      </c>
      <c r="Q125" s="3" t="s">
        <v>341</v>
      </c>
      <c r="R125" s="3" t="s">
        <v>342</v>
      </c>
    </row>
    <row r="126" spans="1:18" ht="35" customHeight="1">
      <c r="A126" t="s">
        <v>343</v>
      </c>
      <c r="B126" s="3" t="s">
        <v>43</v>
      </c>
      <c r="C126">
        <v>0</v>
      </c>
      <c r="D126" s="2">
        <v>2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f t="shared" si="3"/>
        <v>1</v>
      </c>
      <c r="L126" s="2">
        <f t="shared" si="4"/>
        <v>7</v>
      </c>
      <c r="M126" s="2">
        <f t="shared" si="5"/>
        <v>8</v>
      </c>
      <c r="N126" s="2">
        <v>8</v>
      </c>
      <c r="O126" s="2">
        <v>2</v>
      </c>
      <c r="P126" t="s">
        <v>92</v>
      </c>
      <c r="Q126" s="3" t="s">
        <v>119</v>
      </c>
      <c r="R126" s="3" t="s">
        <v>120</v>
      </c>
    </row>
    <row r="127" spans="1:18" ht="35" customHeight="1">
      <c r="A127" t="s">
        <v>344</v>
      </c>
      <c r="B127" s="3" t="s">
        <v>345</v>
      </c>
      <c r="C127">
        <v>6</v>
      </c>
      <c r="D127" s="2">
        <v>1</v>
      </c>
      <c r="E127" s="2">
        <v>0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f t="shared" si="3"/>
        <v>1</v>
      </c>
      <c r="L127" s="2">
        <f t="shared" si="4"/>
        <v>6</v>
      </c>
      <c r="M127" s="2">
        <f t="shared" si="5"/>
        <v>6</v>
      </c>
      <c r="N127" s="2">
        <v>0</v>
      </c>
      <c r="O127" s="2">
        <v>13</v>
      </c>
      <c r="P127" t="s">
        <v>310</v>
      </c>
      <c r="Q127" s="3" t="s">
        <v>345</v>
      </c>
      <c r="R127" s="3" t="s">
        <v>168</v>
      </c>
    </row>
    <row r="128" spans="1:18" ht="35" customHeight="1">
      <c r="A128" t="s">
        <v>346</v>
      </c>
      <c r="B128" s="3" t="s">
        <v>43</v>
      </c>
      <c r="C128">
        <v>0</v>
      </c>
      <c r="D128" s="2">
        <v>1</v>
      </c>
      <c r="E128" s="2">
        <v>1</v>
      </c>
      <c r="F128" s="2">
        <v>1</v>
      </c>
      <c r="G128" s="2">
        <v>1</v>
      </c>
      <c r="H128" s="2">
        <v>0</v>
      </c>
      <c r="I128" s="2">
        <v>1</v>
      </c>
      <c r="J128" s="2">
        <v>1</v>
      </c>
      <c r="K128" s="2">
        <f t="shared" si="3"/>
        <v>1</v>
      </c>
      <c r="L128" s="2">
        <f t="shared" si="4"/>
        <v>6</v>
      </c>
      <c r="M128" s="2">
        <f t="shared" si="5"/>
        <v>6</v>
      </c>
      <c r="N128" s="2">
        <v>6</v>
      </c>
      <c r="O128" s="2">
        <v>14</v>
      </c>
      <c r="P128" t="s">
        <v>26</v>
      </c>
      <c r="Q128" s="3" t="s">
        <v>173</v>
      </c>
      <c r="R128" s="3" t="s">
        <v>174</v>
      </c>
    </row>
    <row r="129" spans="1:18" ht="35" customHeight="1">
      <c r="A129" t="s">
        <v>347</v>
      </c>
      <c r="B129" s="3" t="s">
        <v>43</v>
      </c>
      <c r="C129">
        <v>0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f t="shared" si="3"/>
        <v>0</v>
      </c>
      <c r="L129" s="2">
        <f t="shared" si="4"/>
        <v>7</v>
      </c>
      <c r="M129" s="2">
        <f t="shared" si="5"/>
        <v>7</v>
      </c>
      <c r="N129" s="2">
        <v>7</v>
      </c>
      <c r="O129" s="2">
        <v>14</v>
      </c>
      <c r="P129" t="s">
        <v>26</v>
      </c>
      <c r="Q129" s="3" t="s">
        <v>122</v>
      </c>
      <c r="R129" s="3" t="s">
        <v>123</v>
      </c>
    </row>
    <row r="130" spans="1:18" ht="35" customHeight="1">
      <c r="A130" t="s">
        <v>348</v>
      </c>
      <c r="B130" s="3" t="s">
        <v>43</v>
      </c>
      <c r="C130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f t="shared" si="3"/>
        <v>1</v>
      </c>
      <c r="L130" s="2">
        <f t="shared" si="4"/>
        <v>1</v>
      </c>
      <c r="M130" s="2">
        <f t="shared" si="5"/>
        <v>1</v>
      </c>
      <c r="N130" s="2">
        <v>1</v>
      </c>
      <c r="O130" s="2">
        <v>13</v>
      </c>
      <c r="P130" t="s">
        <v>97</v>
      </c>
      <c r="Q130" s="3" t="s">
        <v>271</v>
      </c>
      <c r="R130" s="3" t="s">
        <v>272</v>
      </c>
    </row>
    <row r="131" spans="1:18" ht="35" customHeight="1">
      <c r="A131" t="s">
        <v>349</v>
      </c>
      <c r="B131" s="3" t="s">
        <v>43</v>
      </c>
      <c r="C131">
        <v>0</v>
      </c>
      <c r="D131" s="2">
        <v>2</v>
      </c>
      <c r="E131" s="2">
        <v>2</v>
      </c>
      <c r="F131" s="2">
        <v>2</v>
      </c>
      <c r="G131" s="2">
        <v>2</v>
      </c>
      <c r="H131" s="2">
        <v>2</v>
      </c>
      <c r="I131" s="2">
        <v>2</v>
      </c>
      <c r="J131" s="2">
        <v>2</v>
      </c>
      <c r="K131" s="2">
        <f t="shared" ref="K131:K194" si="6">MAX(D131:J131)-MIN(D131:J131)</f>
        <v>0</v>
      </c>
      <c r="L131" s="2">
        <f t="shared" ref="L131:L194" si="7">COUNTIF(D131:J131,"&gt;0")</f>
        <v>7</v>
      </c>
      <c r="M131" s="2">
        <f t="shared" ref="M131:M194" si="8">SUM(D131:J131)</f>
        <v>14</v>
      </c>
      <c r="N131" s="2">
        <v>14</v>
      </c>
      <c r="O131" s="2">
        <v>14</v>
      </c>
      <c r="P131" t="s">
        <v>26</v>
      </c>
      <c r="Q131" s="3" t="s">
        <v>49</v>
      </c>
      <c r="R131" s="3" t="s">
        <v>50</v>
      </c>
    </row>
    <row r="132" spans="1:18" ht="35" customHeight="1">
      <c r="A132" t="s">
        <v>350</v>
      </c>
      <c r="B132" s="3" t="s">
        <v>43</v>
      </c>
      <c r="C132">
        <v>0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f t="shared" si="6"/>
        <v>0</v>
      </c>
      <c r="L132" s="2">
        <f t="shared" si="7"/>
        <v>7</v>
      </c>
      <c r="M132" s="2">
        <f t="shared" si="8"/>
        <v>7</v>
      </c>
      <c r="N132" s="2">
        <v>7</v>
      </c>
      <c r="O132" s="2">
        <v>14</v>
      </c>
      <c r="P132" t="s">
        <v>26</v>
      </c>
      <c r="Q132" s="3" t="s">
        <v>122</v>
      </c>
      <c r="R132" s="3" t="s">
        <v>123</v>
      </c>
    </row>
    <row r="133" spans="1:18" ht="35" customHeight="1">
      <c r="A133" t="s">
        <v>351</v>
      </c>
      <c r="B133" s="3" t="s">
        <v>352</v>
      </c>
      <c r="C133">
        <v>11</v>
      </c>
      <c r="D133" s="2">
        <v>2</v>
      </c>
      <c r="E133" s="2">
        <v>2</v>
      </c>
      <c r="F133" s="2">
        <v>2</v>
      </c>
      <c r="G133" s="2">
        <v>2</v>
      </c>
      <c r="H133" s="2">
        <v>2</v>
      </c>
      <c r="I133" s="2">
        <v>2</v>
      </c>
      <c r="J133" s="2">
        <v>2</v>
      </c>
      <c r="K133" s="2">
        <f t="shared" si="6"/>
        <v>0</v>
      </c>
      <c r="L133" s="2">
        <f t="shared" si="7"/>
        <v>7</v>
      </c>
      <c r="M133" s="2">
        <f t="shared" si="8"/>
        <v>14</v>
      </c>
      <c r="N133" s="2">
        <v>3</v>
      </c>
      <c r="O133" s="2">
        <v>14</v>
      </c>
      <c r="P133" t="s">
        <v>26</v>
      </c>
      <c r="Q133" s="3" t="s">
        <v>353</v>
      </c>
      <c r="R133" s="3" t="s">
        <v>354</v>
      </c>
    </row>
    <row r="134" spans="1:18" ht="35" customHeight="1">
      <c r="A134" t="s">
        <v>355</v>
      </c>
      <c r="B134" s="3" t="s">
        <v>356</v>
      </c>
      <c r="C134">
        <v>7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f t="shared" si="6"/>
        <v>0</v>
      </c>
      <c r="L134" s="2">
        <f t="shared" si="7"/>
        <v>7</v>
      </c>
      <c r="M134" s="2">
        <f t="shared" si="8"/>
        <v>7</v>
      </c>
      <c r="N134" s="2">
        <v>0</v>
      </c>
      <c r="O134" s="2">
        <v>14</v>
      </c>
      <c r="P134" t="s">
        <v>26</v>
      </c>
      <c r="Q134" s="3" t="s">
        <v>356</v>
      </c>
      <c r="R134" s="3" t="s">
        <v>171</v>
      </c>
    </row>
    <row r="135" spans="1:18" ht="35" customHeight="1">
      <c r="A135" t="s">
        <v>357</v>
      </c>
      <c r="B135" s="3" t="s">
        <v>43</v>
      </c>
      <c r="C135">
        <v>0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f t="shared" si="6"/>
        <v>0</v>
      </c>
      <c r="L135" s="2">
        <f t="shared" si="7"/>
        <v>7</v>
      </c>
      <c r="M135" s="2">
        <f t="shared" si="8"/>
        <v>7</v>
      </c>
      <c r="N135" s="2">
        <v>7</v>
      </c>
      <c r="O135" s="2">
        <v>13</v>
      </c>
      <c r="P135" t="s">
        <v>128</v>
      </c>
      <c r="Q135" s="3" t="s">
        <v>122</v>
      </c>
      <c r="R135" s="3" t="s">
        <v>123</v>
      </c>
    </row>
    <row r="136" spans="1:18" ht="35" customHeight="1">
      <c r="A136" t="s">
        <v>358</v>
      </c>
      <c r="B136" s="3" t="s">
        <v>43</v>
      </c>
      <c r="C136">
        <v>0</v>
      </c>
      <c r="D136" s="2">
        <v>1</v>
      </c>
      <c r="E136" s="2">
        <v>2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f t="shared" si="6"/>
        <v>1</v>
      </c>
      <c r="L136" s="2">
        <f t="shared" si="7"/>
        <v>7</v>
      </c>
      <c r="M136" s="2">
        <f t="shared" si="8"/>
        <v>8</v>
      </c>
      <c r="N136" s="2">
        <v>8</v>
      </c>
      <c r="O136" s="2">
        <v>12</v>
      </c>
      <c r="P136" t="s">
        <v>186</v>
      </c>
      <c r="Q136" s="3" t="s">
        <v>119</v>
      </c>
      <c r="R136" s="3" t="s">
        <v>120</v>
      </c>
    </row>
    <row r="137" spans="1:18" ht="35" customHeight="1">
      <c r="A137" t="s">
        <v>359</v>
      </c>
      <c r="B137" s="3" t="s">
        <v>360</v>
      </c>
      <c r="C137">
        <v>13</v>
      </c>
      <c r="D137" s="2">
        <v>2</v>
      </c>
      <c r="E137" s="2">
        <v>2</v>
      </c>
      <c r="F137" s="2">
        <v>1</v>
      </c>
      <c r="G137" s="2">
        <v>2</v>
      </c>
      <c r="H137" s="2">
        <v>2</v>
      </c>
      <c r="I137" s="2">
        <v>2</v>
      </c>
      <c r="J137" s="2">
        <v>2</v>
      </c>
      <c r="K137" s="2">
        <f t="shared" si="6"/>
        <v>1</v>
      </c>
      <c r="L137" s="2">
        <f t="shared" si="7"/>
        <v>7</v>
      </c>
      <c r="M137" s="2">
        <f t="shared" si="8"/>
        <v>13</v>
      </c>
      <c r="N137" s="2">
        <v>0</v>
      </c>
      <c r="O137" s="2">
        <v>13</v>
      </c>
      <c r="P137" t="s">
        <v>160</v>
      </c>
      <c r="Q137" s="3" t="s">
        <v>360</v>
      </c>
      <c r="R137" s="3" t="s">
        <v>233</v>
      </c>
    </row>
    <row r="138" spans="1:18" ht="35" customHeight="1">
      <c r="A138" t="s">
        <v>62</v>
      </c>
      <c r="B138" s="3" t="s">
        <v>63</v>
      </c>
      <c r="C138">
        <v>28</v>
      </c>
      <c r="D138" s="2">
        <v>5</v>
      </c>
      <c r="E138" s="2">
        <v>5</v>
      </c>
      <c r="F138" s="2">
        <v>3</v>
      </c>
      <c r="G138" s="2">
        <v>4</v>
      </c>
      <c r="H138" s="2">
        <v>3</v>
      </c>
      <c r="I138" s="2">
        <v>4</v>
      </c>
      <c r="J138" s="2">
        <v>4</v>
      </c>
      <c r="K138" s="2">
        <f t="shared" si="6"/>
        <v>2</v>
      </c>
      <c r="L138" s="2">
        <f t="shared" si="7"/>
        <v>7</v>
      </c>
      <c r="M138" s="2">
        <f t="shared" si="8"/>
        <v>28</v>
      </c>
      <c r="N138" s="2">
        <v>0</v>
      </c>
      <c r="O138" s="2">
        <v>3</v>
      </c>
      <c r="P138" t="s">
        <v>64</v>
      </c>
      <c r="Q138" s="3" t="s">
        <v>63</v>
      </c>
      <c r="R138" s="3" t="s">
        <v>65</v>
      </c>
    </row>
    <row r="139" spans="1:18" ht="35" customHeight="1">
      <c r="A139" t="s">
        <v>361</v>
      </c>
      <c r="B139" s="3" t="s">
        <v>43</v>
      </c>
      <c r="C139">
        <v>0</v>
      </c>
      <c r="D139" s="2">
        <v>1</v>
      </c>
      <c r="E139" s="2">
        <v>2</v>
      </c>
      <c r="F139" s="2">
        <v>1</v>
      </c>
      <c r="G139" s="2">
        <v>1</v>
      </c>
      <c r="H139" s="2">
        <v>1</v>
      </c>
      <c r="I139" s="2">
        <v>2</v>
      </c>
      <c r="J139" s="2">
        <v>1</v>
      </c>
      <c r="K139" s="2">
        <f t="shared" si="6"/>
        <v>1</v>
      </c>
      <c r="L139" s="2">
        <f t="shared" si="7"/>
        <v>7</v>
      </c>
      <c r="M139" s="2">
        <f t="shared" si="8"/>
        <v>9</v>
      </c>
      <c r="N139" s="2">
        <v>9</v>
      </c>
      <c r="O139" s="2">
        <v>12</v>
      </c>
      <c r="P139" t="s">
        <v>362</v>
      </c>
      <c r="Q139" s="3" t="s">
        <v>113</v>
      </c>
      <c r="R139" s="3" t="s">
        <v>114</v>
      </c>
    </row>
    <row r="140" spans="1:18" ht="35" customHeight="1">
      <c r="A140" t="s">
        <v>363</v>
      </c>
      <c r="B140" s="3" t="s">
        <v>43</v>
      </c>
      <c r="C140">
        <v>0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f t="shared" si="6"/>
        <v>0</v>
      </c>
      <c r="L140" s="2">
        <f t="shared" si="7"/>
        <v>7</v>
      </c>
      <c r="M140" s="2">
        <f t="shared" si="8"/>
        <v>7</v>
      </c>
      <c r="N140" s="2">
        <v>7</v>
      </c>
      <c r="O140" s="2">
        <v>14</v>
      </c>
      <c r="P140" t="s">
        <v>26</v>
      </c>
      <c r="Q140" s="3" t="s">
        <v>122</v>
      </c>
      <c r="R140" s="3" t="s">
        <v>123</v>
      </c>
    </row>
    <row r="141" spans="1:18" ht="35" customHeight="1">
      <c r="A141" t="s">
        <v>364</v>
      </c>
      <c r="B141" s="3" t="s">
        <v>43</v>
      </c>
      <c r="C141">
        <v>0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0</v>
      </c>
      <c r="K141" s="2">
        <f t="shared" si="6"/>
        <v>1</v>
      </c>
      <c r="L141" s="2">
        <f t="shared" si="7"/>
        <v>6</v>
      </c>
      <c r="M141" s="2">
        <f t="shared" si="8"/>
        <v>6</v>
      </c>
      <c r="N141" s="2">
        <v>6</v>
      </c>
      <c r="O141" s="2">
        <v>12</v>
      </c>
      <c r="P141" t="s">
        <v>365</v>
      </c>
      <c r="Q141" s="3" t="s">
        <v>173</v>
      </c>
      <c r="R141" s="3" t="s">
        <v>174</v>
      </c>
    </row>
    <row r="142" spans="1:18" ht="35" customHeight="1">
      <c r="A142" t="s">
        <v>366</v>
      </c>
      <c r="B142" s="3" t="s">
        <v>43</v>
      </c>
      <c r="C142">
        <v>0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f t="shared" si="6"/>
        <v>0</v>
      </c>
      <c r="L142" s="2">
        <f t="shared" si="7"/>
        <v>7</v>
      </c>
      <c r="M142" s="2">
        <f t="shared" si="8"/>
        <v>7</v>
      </c>
      <c r="N142" s="2">
        <v>7</v>
      </c>
      <c r="O142" s="2">
        <v>14</v>
      </c>
      <c r="P142" t="s">
        <v>26</v>
      </c>
      <c r="Q142" s="3" t="s">
        <v>122</v>
      </c>
      <c r="R142" s="3" t="s">
        <v>123</v>
      </c>
    </row>
    <row r="143" spans="1:18" ht="35" customHeight="1">
      <c r="A143" t="s">
        <v>367</v>
      </c>
      <c r="B143" s="3" t="s">
        <v>368</v>
      </c>
      <c r="C143">
        <v>7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f t="shared" si="6"/>
        <v>0</v>
      </c>
      <c r="L143" s="2">
        <f t="shared" si="7"/>
        <v>7</v>
      </c>
      <c r="M143" s="2">
        <f t="shared" si="8"/>
        <v>7</v>
      </c>
      <c r="N143" s="2">
        <v>0</v>
      </c>
      <c r="O143" s="2">
        <v>13</v>
      </c>
      <c r="P143" t="s">
        <v>210</v>
      </c>
      <c r="Q143" s="3" t="s">
        <v>368</v>
      </c>
      <c r="R143" s="3" t="s">
        <v>171</v>
      </c>
    </row>
    <row r="144" spans="1:18" ht="35" customHeight="1">
      <c r="A144" t="s">
        <v>369</v>
      </c>
      <c r="B144" s="3" t="s">
        <v>43</v>
      </c>
      <c r="C144">
        <v>0</v>
      </c>
      <c r="D144" s="2">
        <v>1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f t="shared" si="6"/>
        <v>1</v>
      </c>
      <c r="L144" s="2">
        <f t="shared" si="7"/>
        <v>3</v>
      </c>
      <c r="M144" s="2">
        <f t="shared" si="8"/>
        <v>3</v>
      </c>
      <c r="N144" s="2">
        <v>3</v>
      </c>
      <c r="O144" s="2">
        <v>14</v>
      </c>
      <c r="P144" t="s">
        <v>26</v>
      </c>
      <c r="Q144" s="3" t="s">
        <v>145</v>
      </c>
      <c r="R144" s="3" t="s">
        <v>146</v>
      </c>
    </row>
    <row r="145" spans="1:18" ht="35" customHeight="1">
      <c r="A145" t="s">
        <v>370</v>
      </c>
      <c r="B145" s="3" t="s">
        <v>43</v>
      </c>
      <c r="C145">
        <v>0</v>
      </c>
      <c r="D145" s="2">
        <v>1</v>
      </c>
      <c r="E145" s="2">
        <v>0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f t="shared" si="6"/>
        <v>1</v>
      </c>
      <c r="L145" s="2">
        <f t="shared" si="7"/>
        <v>6</v>
      </c>
      <c r="M145" s="2">
        <f t="shared" si="8"/>
        <v>6</v>
      </c>
      <c r="N145" s="2">
        <v>6</v>
      </c>
      <c r="O145" s="2">
        <v>14</v>
      </c>
      <c r="P145" t="s">
        <v>26</v>
      </c>
      <c r="Q145" s="3" t="s">
        <v>173</v>
      </c>
      <c r="R145" s="3" t="s">
        <v>174</v>
      </c>
    </row>
    <row r="146" spans="1:18" ht="35" customHeight="1">
      <c r="A146" t="s">
        <v>371</v>
      </c>
      <c r="B146" s="3" t="s">
        <v>43</v>
      </c>
      <c r="C146">
        <v>0</v>
      </c>
      <c r="D146" s="2">
        <v>2</v>
      </c>
      <c r="E146" s="2">
        <v>2</v>
      </c>
      <c r="F146" s="2">
        <v>2</v>
      </c>
      <c r="G146" s="2">
        <v>2</v>
      </c>
      <c r="H146" s="2">
        <v>2</v>
      </c>
      <c r="I146" s="2">
        <v>2</v>
      </c>
      <c r="J146" s="2">
        <v>2</v>
      </c>
      <c r="K146" s="2">
        <f t="shared" si="6"/>
        <v>0</v>
      </c>
      <c r="L146" s="2">
        <f t="shared" si="7"/>
        <v>7</v>
      </c>
      <c r="M146" s="2">
        <f t="shared" si="8"/>
        <v>14</v>
      </c>
      <c r="N146" s="2">
        <v>14</v>
      </c>
      <c r="O146" s="2">
        <v>14</v>
      </c>
      <c r="P146" t="s">
        <v>26</v>
      </c>
      <c r="Q146" s="3" t="s">
        <v>49</v>
      </c>
      <c r="R146" s="3" t="s">
        <v>50</v>
      </c>
    </row>
    <row r="147" spans="1:18" ht="35" customHeight="1">
      <c r="A147" t="s">
        <v>372</v>
      </c>
      <c r="B147" s="3" t="s">
        <v>43</v>
      </c>
      <c r="C147">
        <v>0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f t="shared" si="6"/>
        <v>0</v>
      </c>
      <c r="L147" s="2">
        <f t="shared" si="7"/>
        <v>7</v>
      </c>
      <c r="M147" s="2">
        <f t="shared" si="8"/>
        <v>7</v>
      </c>
      <c r="N147" s="2">
        <v>7</v>
      </c>
      <c r="O147" s="2">
        <v>12</v>
      </c>
      <c r="P147" t="s">
        <v>186</v>
      </c>
      <c r="Q147" s="3" t="s">
        <v>122</v>
      </c>
      <c r="R147" s="3" t="s">
        <v>123</v>
      </c>
    </row>
    <row r="148" spans="1:18" ht="35" customHeight="1">
      <c r="A148" t="s">
        <v>85</v>
      </c>
      <c r="B148" s="3" t="s">
        <v>43</v>
      </c>
      <c r="C148">
        <v>0</v>
      </c>
      <c r="D148" s="2">
        <v>2</v>
      </c>
      <c r="E148" s="2">
        <v>2</v>
      </c>
      <c r="F148" s="2">
        <v>3</v>
      </c>
      <c r="G148" s="2">
        <v>2</v>
      </c>
      <c r="H148" s="2">
        <v>1</v>
      </c>
      <c r="I148" s="2">
        <v>3</v>
      </c>
      <c r="J148" s="2">
        <v>3</v>
      </c>
      <c r="K148" s="2">
        <f t="shared" si="6"/>
        <v>2</v>
      </c>
      <c r="L148" s="2">
        <f t="shared" si="7"/>
        <v>7</v>
      </c>
      <c r="M148" s="2">
        <f t="shared" si="8"/>
        <v>16</v>
      </c>
      <c r="N148" s="2">
        <v>16</v>
      </c>
      <c r="O148" s="2">
        <v>7</v>
      </c>
      <c r="P148" t="s">
        <v>86</v>
      </c>
      <c r="Q148" s="3" t="s">
        <v>83</v>
      </c>
      <c r="R148" s="3" t="s">
        <v>84</v>
      </c>
    </row>
    <row r="149" spans="1:18" ht="35" customHeight="1">
      <c r="A149" t="s">
        <v>373</v>
      </c>
      <c r="B149" s="3" t="s">
        <v>43</v>
      </c>
      <c r="C149">
        <v>0</v>
      </c>
      <c r="D149" s="2">
        <v>0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f t="shared" si="6"/>
        <v>1</v>
      </c>
      <c r="L149" s="2">
        <f t="shared" si="7"/>
        <v>1</v>
      </c>
      <c r="M149" s="2">
        <f t="shared" si="8"/>
        <v>1</v>
      </c>
      <c r="N149" s="2">
        <v>1</v>
      </c>
      <c r="O149" s="2">
        <v>14</v>
      </c>
      <c r="P149" t="s">
        <v>26</v>
      </c>
      <c r="Q149" s="3" t="s">
        <v>271</v>
      </c>
      <c r="R149" s="3" t="s">
        <v>272</v>
      </c>
    </row>
    <row r="150" spans="1:18" ht="35" customHeight="1">
      <c r="A150" t="s">
        <v>374</v>
      </c>
      <c r="B150" s="3" t="s">
        <v>375</v>
      </c>
      <c r="C150">
        <v>7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f t="shared" si="6"/>
        <v>0</v>
      </c>
      <c r="L150" s="2">
        <f t="shared" si="7"/>
        <v>7</v>
      </c>
      <c r="M150" s="2">
        <f t="shared" si="8"/>
        <v>7</v>
      </c>
      <c r="N150" s="2">
        <v>0</v>
      </c>
      <c r="O150" s="2">
        <v>14</v>
      </c>
      <c r="P150" t="s">
        <v>26</v>
      </c>
      <c r="Q150" s="3" t="s">
        <v>375</v>
      </c>
      <c r="R150" s="3" t="s">
        <v>171</v>
      </c>
    </row>
    <row r="151" spans="1:18" ht="35" customHeight="1">
      <c r="A151" t="s">
        <v>376</v>
      </c>
      <c r="B151" s="3" t="s">
        <v>377</v>
      </c>
      <c r="C151">
        <v>6</v>
      </c>
      <c r="D151" s="2">
        <v>1</v>
      </c>
      <c r="E151" s="2">
        <v>1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f t="shared" si="6"/>
        <v>0</v>
      </c>
      <c r="L151" s="2">
        <f t="shared" si="7"/>
        <v>7</v>
      </c>
      <c r="M151" s="2">
        <f t="shared" si="8"/>
        <v>7</v>
      </c>
      <c r="N151" s="2">
        <v>1</v>
      </c>
      <c r="O151" s="2">
        <v>13</v>
      </c>
      <c r="P151" t="s">
        <v>160</v>
      </c>
      <c r="Q151" s="3" t="s">
        <v>378</v>
      </c>
      <c r="R151" s="3" t="s">
        <v>130</v>
      </c>
    </row>
    <row r="152" spans="1:18" ht="35" customHeight="1">
      <c r="A152" t="s">
        <v>125</v>
      </c>
      <c r="B152" s="3" t="s">
        <v>43</v>
      </c>
      <c r="C152">
        <v>0</v>
      </c>
      <c r="D152" s="2">
        <v>1</v>
      </c>
      <c r="E152" s="2">
        <v>0</v>
      </c>
      <c r="F152" s="2">
        <v>1</v>
      </c>
      <c r="G152" s="2">
        <v>2</v>
      </c>
      <c r="H152" s="2">
        <v>2</v>
      </c>
      <c r="I152" s="2">
        <v>0</v>
      </c>
      <c r="J152" s="2">
        <v>1</v>
      </c>
      <c r="K152" s="2">
        <f t="shared" si="6"/>
        <v>2</v>
      </c>
      <c r="L152" s="2">
        <f t="shared" si="7"/>
        <v>5</v>
      </c>
      <c r="M152" s="2">
        <f t="shared" si="8"/>
        <v>7</v>
      </c>
      <c r="N152" s="2">
        <v>7</v>
      </c>
      <c r="O152" s="2">
        <v>14</v>
      </c>
      <c r="P152" t="s">
        <v>26</v>
      </c>
      <c r="Q152" s="3" t="s">
        <v>122</v>
      </c>
      <c r="R152" s="3" t="s">
        <v>123</v>
      </c>
    </row>
    <row r="153" spans="1:18" ht="35" customHeight="1">
      <c r="A153" t="s">
        <v>379</v>
      </c>
      <c r="B153" s="3" t="s">
        <v>43</v>
      </c>
      <c r="C153">
        <v>0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f t="shared" si="6"/>
        <v>0</v>
      </c>
      <c r="L153" s="2">
        <f t="shared" si="7"/>
        <v>7</v>
      </c>
      <c r="M153" s="2">
        <f t="shared" si="8"/>
        <v>7</v>
      </c>
      <c r="N153" s="2">
        <v>7</v>
      </c>
      <c r="O153" s="2">
        <v>14</v>
      </c>
      <c r="P153" t="s">
        <v>26</v>
      </c>
      <c r="Q153" s="3" t="s">
        <v>122</v>
      </c>
      <c r="R153" s="3" t="s">
        <v>123</v>
      </c>
    </row>
    <row r="154" spans="1:18" ht="35" customHeight="1">
      <c r="A154" t="s">
        <v>380</v>
      </c>
      <c r="B154" s="3" t="s">
        <v>43</v>
      </c>
      <c r="C154">
        <v>0</v>
      </c>
      <c r="D154" s="2">
        <v>2</v>
      </c>
      <c r="E154" s="2">
        <v>2</v>
      </c>
      <c r="F154" s="2">
        <v>2</v>
      </c>
      <c r="G154" s="2">
        <v>2</v>
      </c>
      <c r="H154" s="2">
        <v>2</v>
      </c>
      <c r="I154" s="2">
        <v>2</v>
      </c>
      <c r="J154" s="2">
        <v>2</v>
      </c>
      <c r="K154" s="2">
        <f t="shared" si="6"/>
        <v>0</v>
      </c>
      <c r="L154" s="2">
        <f t="shared" si="7"/>
        <v>7</v>
      </c>
      <c r="M154" s="2">
        <f t="shared" si="8"/>
        <v>14</v>
      </c>
      <c r="N154" s="2">
        <v>14</v>
      </c>
      <c r="O154" s="2">
        <v>14</v>
      </c>
      <c r="P154" t="s">
        <v>26</v>
      </c>
      <c r="Q154" s="3" t="s">
        <v>49</v>
      </c>
      <c r="R154" s="3" t="s">
        <v>50</v>
      </c>
    </row>
    <row r="155" spans="1:18" ht="35" customHeight="1">
      <c r="A155" t="s">
        <v>381</v>
      </c>
      <c r="B155" s="3" t="s">
        <v>43</v>
      </c>
      <c r="C155">
        <v>0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f t="shared" si="6"/>
        <v>1</v>
      </c>
      <c r="L155" s="2">
        <f t="shared" si="7"/>
        <v>1</v>
      </c>
      <c r="M155" s="2">
        <f t="shared" si="8"/>
        <v>1</v>
      </c>
      <c r="N155" s="2">
        <v>1</v>
      </c>
      <c r="O155" s="2">
        <v>13</v>
      </c>
      <c r="P155" t="s">
        <v>128</v>
      </c>
      <c r="Q155" s="3" t="s">
        <v>271</v>
      </c>
      <c r="R155" s="3" t="s">
        <v>272</v>
      </c>
    </row>
    <row r="156" spans="1:18" ht="35" customHeight="1">
      <c r="A156" t="s">
        <v>382</v>
      </c>
      <c r="B156" s="3" t="s">
        <v>43</v>
      </c>
      <c r="C156">
        <v>0</v>
      </c>
      <c r="D156" s="2">
        <v>1</v>
      </c>
      <c r="E156" s="2">
        <v>1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f t="shared" si="6"/>
        <v>0</v>
      </c>
      <c r="L156" s="2">
        <f t="shared" si="7"/>
        <v>7</v>
      </c>
      <c r="M156" s="2">
        <f t="shared" si="8"/>
        <v>7</v>
      </c>
      <c r="N156" s="2">
        <v>7</v>
      </c>
      <c r="O156" s="2">
        <v>14</v>
      </c>
      <c r="P156" t="s">
        <v>26</v>
      </c>
      <c r="Q156" s="3" t="s">
        <v>122</v>
      </c>
      <c r="R156" s="3" t="s">
        <v>123</v>
      </c>
    </row>
    <row r="157" spans="1:18" ht="35" customHeight="1">
      <c r="A157" t="s">
        <v>383</v>
      </c>
      <c r="B157" s="3" t="s">
        <v>43</v>
      </c>
      <c r="C157">
        <v>0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f t="shared" si="6"/>
        <v>0</v>
      </c>
      <c r="L157" s="2">
        <f t="shared" si="7"/>
        <v>7</v>
      </c>
      <c r="M157" s="2">
        <f t="shared" si="8"/>
        <v>7</v>
      </c>
      <c r="N157" s="2">
        <v>7</v>
      </c>
      <c r="O157" s="2">
        <v>13</v>
      </c>
      <c r="P157" t="s">
        <v>128</v>
      </c>
      <c r="Q157" s="3" t="s">
        <v>122</v>
      </c>
      <c r="R157" s="3" t="s">
        <v>123</v>
      </c>
    </row>
    <row r="158" spans="1:18" ht="35" customHeight="1">
      <c r="A158" t="s">
        <v>384</v>
      </c>
      <c r="B158" s="3" t="s">
        <v>43</v>
      </c>
      <c r="C158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f t="shared" si="6"/>
        <v>1</v>
      </c>
      <c r="L158" s="2">
        <f t="shared" si="7"/>
        <v>1</v>
      </c>
      <c r="M158" s="2">
        <f t="shared" si="8"/>
        <v>1</v>
      </c>
      <c r="N158" s="2">
        <v>1</v>
      </c>
      <c r="O158" s="2">
        <v>14</v>
      </c>
      <c r="P158" t="s">
        <v>26</v>
      </c>
      <c r="Q158" s="3" t="s">
        <v>271</v>
      </c>
      <c r="R158" s="3" t="s">
        <v>272</v>
      </c>
    </row>
    <row r="159" spans="1:18" ht="35" customHeight="1">
      <c r="A159" t="s">
        <v>385</v>
      </c>
      <c r="B159" s="3" t="s">
        <v>43</v>
      </c>
      <c r="C159">
        <v>0</v>
      </c>
      <c r="D159" s="2">
        <v>1</v>
      </c>
      <c r="E159" s="2">
        <v>1</v>
      </c>
      <c r="F159" s="2">
        <v>1</v>
      </c>
      <c r="G159" s="2">
        <v>0</v>
      </c>
      <c r="H159" s="2">
        <v>1</v>
      </c>
      <c r="I159" s="2">
        <v>1</v>
      </c>
      <c r="J159" s="2">
        <v>1</v>
      </c>
      <c r="K159" s="2">
        <f t="shared" si="6"/>
        <v>1</v>
      </c>
      <c r="L159" s="2">
        <f t="shared" si="7"/>
        <v>6</v>
      </c>
      <c r="M159" s="2">
        <f t="shared" si="8"/>
        <v>6</v>
      </c>
      <c r="N159" s="2">
        <v>6</v>
      </c>
      <c r="O159" s="2">
        <v>14</v>
      </c>
      <c r="P159" t="s">
        <v>26</v>
      </c>
      <c r="Q159" s="3" t="s">
        <v>173</v>
      </c>
      <c r="R159" s="3" t="s">
        <v>174</v>
      </c>
    </row>
    <row r="160" spans="1:18" ht="35" customHeight="1">
      <c r="A160" t="s">
        <v>386</v>
      </c>
      <c r="B160" s="3" t="s">
        <v>43</v>
      </c>
      <c r="C160">
        <v>0</v>
      </c>
      <c r="D160" s="2">
        <v>2</v>
      </c>
      <c r="E160" s="2">
        <v>1</v>
      </c>
      <c r="F160" s="2">
        <v>2</v>
      </c>
      <c r="G160" s="2">
        <v>2</v>
      </c>
      <c r="H160" s="2">
        <v>2</v>
      </c>
      <c r="I160" s="2">
        <v>2</v>
      </c>
      <c r="J160" s="2">
        <v>2</v>
      </c>
      <c r="K160" s="2">
        <f t="shared" si="6"/>
        <v>1</v>
      </c>
      <c r="L160" s="2">
        <f t="shared" si="7"/>
        <v>7</v>
      </c>
      <c r="M160" s="2">
        <f t="shared" si="8"/>
        <v>13</v>
      </c>
      <c r="N160" s="2">
        <v>13</v>
      </c>
      <c r="O160" s="2">
        <v>14</v>
      </c>
      <c r="P160" t="s">
        <v>26</v>
      </c>
      <c r="Q160" s="3" t="s">
        <v>53</v>
      </c>
      <c r="R160" s="3" t="s">
        <v>54</v>
      </c>
    </row>
    <row r="161" spans="1:18" ht="35" customHeight="1">
      <c r="A161" t="s">
        <v>387</v>
      </c>
      <c r="B161" s="3" t="s">
        <v>43</v>
      </c>
      <c r="C161">
        <v>0</v>
      </c>
      <c r="D161" s="2">
        <v>3</v>
      </c>
      <c r="E161" s="2">
        <v>4</v>
      </c>
      <c r="F161" s="2">
        <v>3</v>
      </c>
      <c r="G161" s="2">
        <v>3</v>
      </c>
      <c r="H161" s="2">
        <v>3</v>
      </c>
      <c r="I161" s="2">
        <v>3</v>
      </c>
      <c r="J161" s="2">
        <v>3</v>
      </c>
      <c r="K161" s="2">
        <f t="shared" si="6"/>
        <v>1</v>
      </c>
      <c r="L161" s="2">
        <f t="shared" si="7"/>
        <v>7</v>
      </c>
      <c r="M161" s="2">
        <f t="shared" si="8"/>
        <v>22</v>
      </c>
      <c r="N161" s="2">
        <v>22</v>
      </c>
      <c r="O161" s="2">
        <v>11</v>
      </c>
      <c r="P161" t="s">
        <v>388</v>
      </c>
      <c r="Q161" s="3" t="s">
        <v>67</v>
      </c>
      <c r="R161" s="3" t="s">
        <v>68</v>
      </c>
    </row>
    <row r="162" spans="1:18" ht="35" customHeight="1">
      <c r="A162" t="s">
        <v>389</v>
      </c>
      <c r="B162" s="3" t="s">
        <v>43</v>
      </c>
      <c r="C162">
        <v>0</v>
      </c>
      <c r="D162" s="2">
        <v>1</v>
      </c>
      <c r="E162" s="2">
        <v>1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f t="shared" si="6"/>
        <v>0</v>
      </c>
      <c r="L162" s="2">
        <f t="shared" si="7"/>
        <v>7</v>
      </c>
      <c r="M162" s="2">
        <f t="shared" si="8"/>
        <v>7</v>
      </c>
      <c r="N162" s="2">
        <v>7</v>
      </c>
      <c r="O162" s="2">
        <v>14</v>
      </c>
      <c r="P162" t="s">
        <v>26</v>
      </c>
      <c r="Q162" s="3" t="s">
        <v>122</v>
      </c>
      <c r="R162" s="3" t="s">
        <v>123</v>
      </c>
    </row>
    <row r="163" spans="1:18" ht="35" customHeight="1">
      <c r="A163" t="s">
        <v>390</v>
      </c>
      <c r="B163" s="3" t="s">
        <v>43</v>
      </c>
      <c r="C163">
        <v>0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f t="shared" si="6"/>
        <v>0</v>
      </c>
      <c r="L163" s="2">
        <f t="shared" si="7"/>
        <v>7</v>
      </c>
      <c r="M163" s="2">
        <f t="shared" si="8"/>
        <v>7</v>
      </c>
      <c r="N163" s="2">
        <v>7</v>
      </c>
      <c r="O163" s="2">
        <v>12</v>
      </c>
      <c r="P163" t="s">
        <v>186</v>
      </c>
      <c r="Q163" s="3" t="s">
        <v>122</v>
      </c>
      <c r="R163" s="3" t="s">
        <v>123</v>
      </c>
    </row>
    <row r="164" spans="1:18" ht="35" customHeight="1">
      <c r="A164" t="s">
        <v>391</v>
      </c>
      <c r="B164" s="3" t="s">
        <v>392</v>
      </c>
      <c r="C164">
        <v>7</v>
      </c>
      <c r="D164" s="2">
        <v>1</v>
      </c>
      <c r="E164" s="2">
        <v>1</v>
      </c>
      <c r="F164" s="2">
        <v>2</v>
      </c>
      <c r="G164" s="2">
        <v>2</v>
      </c>
      <c r="H164" s="2">
        <v>1</v>
      </c>
      <c r="I164" s="2">
        <v>1</v>
      </c>
      <c r="J164" s="2">
        <v>1</v>
      </c>
      <c r="K164" s="2">
        <f t="shared" si="6"/>
        <v>1</v>
      </c>
      <c r="L164" s="2">
        <f t="shared" si="7"/>
        <v>7</v>
      </c>
      <c r="M164" s="2">
        <f t="shared" si="8"/>
        <v>9</v>
      </c>
      <c r="N164" s="2">
        <v>2</v>
      </c>
      <c r="O164" s="2">
        <v>14</v>
      </c>
      <c r="P164" t="s">
        <v>26</v>
      </c>
      <c r="Q164" s="3" t="s">
        <v>393</v>
      </c>
      <c r="R164" s="3" t="s">
        <v>394</v>
      </c>
    </row>
    <row r="165" spans="1:18" ht="35" customHeight="1">
      <c r="A165" t="s">
        <v>395</v>
      </c>
      <c r="B165" s="3" t="s">
        <v>43</v>
      </c>
      <c r="C165">
        <v>0</v>
      </c>
      <c r="D165" s="2">
        <v>1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0</v>
      </c>
      <c r="K165" s="2">
        <f t="shared" si="6"/>
        <v>1</v>
      </c>
      <c r="L165" s="2">
        <f t="shared" si="7"/>
        <v>6</v>
      </c>
      <c r="M165" s="2">
        <f t="shared" si="8"/>
        <v>6</v>
      </c>
      <c r="N165" s="2">
        <v>6</v>
      </c>
      <c r="O165" s="2">
        <v>14</v>
      </c>
      <c r="P165" t="s">
        <v>26</v>
      </c>
      <c r="Q165" s="3" t="s">
        <v>173</v>
      </c>
      <c r="R165" s="3" t="s">
        <v>174</v>
      </c>
    </row>
    <row r="166" spans="1:18" ht="35" customHeight="1">
      <c r="A166" t="s">
        <v>396</v>
      </c>
      <c r="B166" s="3" t="s">
        <v>43</v>
      </c>
      <c r="C166">
        <v>0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f t="shared" si="6"/>
        <v>0</v>
      </c>
      <c r="L166" s="2">
        <f t="shared" si="7"/>
        <v>7</v>
      </c>
      <c r="M166" s="2">
        <f t="shared" si="8"/>
        <v>7</v>
      </c>
      <c r="N166" s="2">
        <v>7</v>
      </c>
      <c r="O166" s="2">
        <v>14</v>
      </c>
      <c r="P166" t="s">
        <v>26</v>
      </c>
      <c r="Q166" s="3" t="s">
        <v>122</v>
      </c>
      <c r="R166" s="3" t="s">
        <v>123</v>
      </c>
    </row>
    <row r="167" spans="1:18" ht="35" customHeight="1">
      <c r="A167" t="s">
        <v>397</v>
      </c>
      <c r="B167" s="3" t="s">
        <v>43</v>
      </c>
      <c r="C167">
        <v>0</v>
      </c>
      <c r="D167" s="2">
        <v>2</v>
      </c>
      <c r="E167" s="2">
        <v>2</v>
      </c>
      <c r="F167" s="2">
        <v>2</v>
      </c>
      <c r="G167" s="2">
        <v>2</v>
      </c>
      <c r="H167" s="2">
        <v>2</v>
      </c>
      <c r="I167" s="2">
        <v>2</v>
      </c>
      <c r="J167" s="2">
        <v>1</v>
      </c>
      <c r="K167" s="2">
        <f t="shared" si="6"/>
        <v>1</v>
      </c>
      <c r="L167" s="2">
        <f t="shared" si="7"/>
        <v>7</v>
      </c>
      <c r="M167" s="2">
        <f t="shared" si="8"/>
        <v>13</v>
      </c>
      <c r="N167" s="2">
        <v>13</v>
      </c>
      <c r="O167" s="2">
        <v>14</v>
      </c>
      <c r="P167" t="s">
        <v>26</v>
      </c>
      <c r="Q167" s="3" t="s">
        <v>53</v>
      </c>
      <c r="R167" s="3" t="s">
        <v>54</v>
      </c>
    </row>
    <row r="168" spans="1:18" ht="35" customHeight="1">
      <c r="A168" t="s">
        <v>398</v>
      </c>
      <c r="B168" s="3" t="s">
        <v>43</v>
      </c>
      <c r="C168">
        <v>0</v>
      </c>
      <c r="D168" s="2">
        <v>1</v>
      </c>
      <c r="E168" s="2">
        <v>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f t="shared" si="6"/>
        <v>0</v>
      </c>
      <c r="L168" s="2">
        <f t="shared" si="7"/>
        <v>7</v>
      </c>
      <c r="M168" s="2">
        <f t="shared" si="8"/>
        <v>7</v>
      </c>
      <c r="N168" s="2">
        <v>7</v>
      </c>
      <c r="O168" s="2">
        <v>14</v>
      </c>
      <c r="P168" t="s">
        <v>26</v>
      </c>
      <c r="Q168" s="3" t="s">
        <v>122</v>
      </c>
      <c r="R168" s="3" t="s">
        <v>123</v>
      </c>
    </row>
    <row r="169" spans="1:18" ht="35" customHeight="1">
      <c r="A169" t="s">
        <v>399</v>
      </c>
      <c r="B169" s="3" t="s">
        <v>43</v>
      </c>
      <c r="C169">
        <v>0</v>
      </c>
      <c r="D169" s="2">
        <v>1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f t="shared" si="6"/>
        <v>0</v>
      </c>
      <c r="L169" s="2">
        <f t="shared" si="7"/>
        <v>7</v>
      </c>
      <c r="M169" s="2">
        <f t="shared" si="8"/>
        <v>7</v>
      </c>
      <c r="N169" s="2">
        <v>7</v>
      </c>
      <c r="O169" s="2">
        <v>14</v>
      </c>
      <c r="P169" t="s">
        <v>26</v>
      </c>
      <c r="Q169" s="3" t="s">
        <v>122</v>
      </c>
      <c r="R169" s="3" t="s">
        <v>123</v>
      </c>
    </row>
    <row r="170" spans="1:18" ht="35" customHeight="1">
      <c r="A170" t="s">
        <v>400</v>
      </c>
      <c r="B170" s="3" t="s">
        <v>43</v>
      </c>
      <c r="C170">
        <v>0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f t="shared" si="6"/>
        <v>0</v>
      </c>
      <c r="L170" s="2">
        <f t="shared" si="7"/>
        <v>7</v>
      </c>
      <c r="M170" s="2">
        <f t="shared" si="8"/>
        <v>7</v>
      </c>
      <c r="N170" s="2">
        <v>7</v>
      </c>
      <c r="O170" s="2">
        <v>14</v>
      </c>
      <c r="P170" t="s">
        <v>26</v>
      </c>
      <c r="Q170" s="3" t="s">
        <v>122</v>
      </c>
      <c r="R170" s="3" t="s">
        <v>123</v>
      </c>
    </row>
    <row r="171" spans="1:18" ht="35" customHeight="1">
      <c r="A171" t="s">
        <v>401</v>
      </c>
      <c r="B171" s="3" t="s">
        <v>402</v>
      </c>
      <c r="C171">
        <v>10</v>
      </c>
      <c r="D171" s="2">
        <v>2</v>
      </c>
      <c r="E171" s="2">
        <v>2</v>
      </c>
      <c r="F171" s="2">
        <v>2</v>
      </c>
      <c r="G171" s="2">
        <v>2</v>
      </c>
      <c r="H171" s="2">
        <v>2</v>
      </c>
      <c r="I171" s="2">
        <v>2</v>
      </c>
      <c r="J171" s="2">
        <v>2</v>
      </c>
      <c r="K171" s="2">
        <f t="shared" si="6"/>
        <v>0</v>
      </c>
      <c r="L171" s="2">
        <f t="shared" si="7"/>
        <v>7</v>
      </c>
      <c r="M171" s="2">
        <f t="shared" si="8"/>
        <v>14</v>
      </c>
      <c r="N171" s="2">
        <v>4</v>
      </c>
      <c r="O171" s="2">
        <v>14</v>
      </c>
      <c r="P171" t="s">
        <v>26</v>
      </c>
      <c r="Q171" s="3" t="s">
        <v>403</v>
      </c>
      <c r="R171" s="3" t="s">
        <v>404</v>
      </c>
    </row>
    <row r="172" spans="1:18" ht="35" customHeight="1">
      <c r="A172" t="s">
        <v>405</v>
      </c>
      <c r="B172" s="3" t="s">
        <v>43</v>
      </c>
      <c r="C172">
        <v>0</v>
      </c>
      <c r="D172" s="2">
        <v>0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f t="shared" si="6"/>
        <v>1</v>
      </c>
      <c r="L172" s="2">
        <f t="shared" si="7"/>
        <v>1</v>
      </c>
      <c r="M172" s="2">
        <f t="shared" si="8"/>
        <v>1</v>
      </c>
      <c r="N172" s="2">
        <v>1</v>
      </c>
      <c r="O172" s="2">
        <v>13</v>
      </c>
      <c r="P172" t="s">
        <v>128</v>
      </c>
      <c r="Q172" s="3" t="s">
        <v>271</v>
      </c>
      <c r="R172" s="3" t="s">
        <v>272</v>
      </c>
    </row>
    <row r="173" spans="1:18" ht="35" customHeight="1">
      <c r="A173" t="s">
        <v>94</v>
      </c>
      <c r="B173" s="3" t="s">
        <v>43</v>
      </c>
      <c r="C173">
        <v>0</v>
      </c>
      <c r="D173" s="2">
        <v>2</v>
      </c>
      <c r="E173" s="2">
        <v>1</v>
      </c>
      <c r="F173" s="2">
        <v>1</v>
      </c>
      <c r="G173" s="2">
        <v>3</v>
      </c>
      <c r="H173" s="2">
        <v>2</v>
      </c>
      <c r="I173" s="2">
        <v>2</v>
      </c>
      <c r="J173" s="2">
        <v>2</v>
      </c>
      <c r="K173" s="2">
        <f t="shared" si="6"/>
        <v>2</v>
      </c>
      <c r="L173" s="2">
        <f t="shared" si="7"/>
        <v>7</v>
      </c>
      <c r="M173" s="2">
        <f t="shared" si="8"/>
        <v>13</v>
      </c>
      <c r="N173" s="2">
        <v>13</v>
      </c>
      <c r="O173" s="2">
        <v>12</v>
      </c>
      <c r="P173" t="s">
        <v>95</v>
      </c>
      <c r="Q173" s="3" t="s">
        <v>53</v>
      </c>
      <c r="R173" s="3" t="s">
        <v>54</v>
      </c>
    </row>
    <row r="174" spans="1:18" ht="35" customHeight="1">
      <c r="A174" t="s">
        <v>406</v>
      </c>
      <c r="B174" s="3" t="s">
        <v>43</v>
      </c>
      <c r="C174">
        <v>0</v>
      </c>
      <c r="D174" s="2">
        <v>1</v>
      </c>
      <c r="E174" s="2">
        <v>1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f t="shared" si="6"/>
        <v>0</v>
      </c>
      <c r="L174" s="2">
        <f t="shared" si="7"/>
        <v>7</v>
      </c>
      <c r="M174" s="2">
        <f t="shared" si="8"/>
        <v>7</v>
      </c>
      <c r="N174" s="2">
        <v>7</v>
      </c>
      <c r="O174" s="2">
        <v>12</v>
      </c>
      <c r="P174" t="s">
        <v>186</v>
      </c>
      <c r="Q174" s="3" t="s">
        <v>122</v>
      </c>
      <c r="R174" s="3" t="s">
        <v>123</v>
      </c>
    </row>
    <row r="175" spans="1:18" ht="35" customHeight="1">
      <c r="A175" t="s">
        <v>407</v>
      </c>
      <c r="B175" s="3" t="s">
        <v>43</v>
      </c>
      <c r="C175">
        <v>0</v>
      </c>
      <c r="D175" s="2">
        <v>1</v>
      </c>
      <c r="E175" s="2">
        <v>0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f t="shared" si="6"/>
        <v>1</v>
      </c>
      <c r="L175" s="2">
        <f t="shared" si="7"/>
        <v>6</v>
      </c>
      <c r="M175" s="2">
        <f t="shared" si="8"/>
        <v>6</v>
      </c>
      <c r="N175" s="2">
        <v>6</v>
      </c>
      <c r="O175" s="2">
        <v>14</v>
      </c>
      <c r="P175" t="s">
        <v>26</v>
      </c>
      <c r="Q175" s="3" t="s">
        <v>173</v>
      </c>
      <c r="R175" s="3" t="s">
        <v>174</v>
      </c>
    </row>
    <row r="176" spans="1:18" ht="35" customHeight="1">
      <c r="A176" t="s">
        <v>408</v>
      </c>
      <c r="B176" s="3" t="s">
        <v>409</v>
      </c>
      <c r="C176">
        <v>12</v>
      </c>
      <c r="D176" s="2">
        <v>2</v>
      </c>
      <c r="E176" s="2">
        <v>2</v>
      </c>
      <c r="F176" s="2">
        <v>2</v>
      </c>
      <c r="G176" s="2">
        <v>2</v>
      </c>
      <c r="H176" s="2">
        <v>2</v>
      </c>
      <c r="I176" s="2">
        <v>2</v>
      </c>
      <c r="J176" s="2">
        <v>2</v>
      </c>
      <c r="K176" s="2">
        <f t="shared" si="6"/>
        <v>0</v>
      </c>
      <c r="L176" s="2">
        <f t="shared" si="7"/>
        <v>7</v>
      </c>
      <c r="M176" s="2">
        <f t="shared" si="8"/>
        <v>14</v>
      </c>
      <c r="N176" s="2">
        <v>2</v>
      </c>
      <c r="O176" s="2">
        <v>14</v>
      </c>
      <c r="P176" t="s">
        <v>26</v>
      </c>
      <c r="Q176" s="3" t="s">
        <v>410</v>
      </c>
      <c r="R176" s="3" t="s">
        <v>263</v>
      </c>
    </row>
    <row r="177" spans="1:18" ht="35" customHeight="1">
      <c r="A177" t="s">
        <v>411</v>
      </c>
      <c r="B177" s="3" t="s">
        <v>43</v>
      </c>
      <c r="C177">
        <v>0</v>
      </c>
      <c r="D177" s="2">
        <v>1</v>
      </c>
      <c r="E177" s="2">
        <v>1</v>
      </c>
      <c r="F177" s="2">
        <v>2</v>
      </c>
      <c r="G177" s="2">
        <v>1</v>
      </c>
      <c r="H177" s="2">
        <v>1</v>
      </c>
      <c r="I177" s="2">
        <v>1</v>
      </c>
      <c r="J177" s="2">
        <v>1</v>
      </c>
      <c r="K177" s="2">
        <f t="shared" si="6"/>
        <v>1</v>
      </c>
      <c r="L177" s="2">
        <f t="shared" si="7"/>
        <v>7</v>
      </c>
      <c r="M177" s="2">
        <f t="shared" si="8"/>
        <v>8</v>
      </c>
      <c r="N177" s="2">
        <v>8</v>
      </c>
      <c r="O177" s="2">
        <v>11</v>
      </c>
      <c r="P177" t="s">
        <v>412</v>
      </c>
      <c r="Q177" s="3" t="s">
        <v>119</v>
      </c>
      <c r="R177" s="3" t="s">
        <v>120</v>
      </c>
    </row>
    <row r="178" spans="1:18" ht="35" customHeight="1">
      <c r="A178" t="s">
        <v>413</v>
      </c>
      <c r="B178" s="3" t="s">
        <v>43</v>
      </c>
      <c r="C178">
        <v>0</v>
      </c>
      <c r="D178" s="2">
        <v>2</v>
      </c>
      <c r="E178" s="2">
        <v>2</v>
      </c>
      <c r="F178" s="2">
        <v>2</v>
      </c>
      <c r="G178" s="2">
        <v>2</v>
      </c>
      <c r="H178" s="2">
        <v>2</v>
      </c>
      <c r="I178" s="2">
        <v>2</v>
      </c>
      <c r="J178" s="2">
        <v>2</v>
      </c>
      <c r="K178" s="2">
        <f t="shared" si="6"/>
        <v>0</v>
      </c>
      <c r="L178" s="2">
        <f t="shared" si="7"/>
        <v>7</v>
      </c>
      <c r="M178" s="2">
        <f t="shared" si="8"/>
        <v>14</v>
      </c>
      <c r="N178" s="2">
        <v>14</v>
      </c>
      <c r="O178" s="2">
        <v>14</v>
      </c>
      <c r="P178" t="s">
        <v>26</v>
      </c>
      <c r="Q178" s="3" t="s">
        <v>49</v>
      </c>
      <c r="R178" s="3" t="s">
        <v>50</v>
      </c>
    </row>
    <row r="179" spans="1:18" ht="35" customHeight="1">
      <c r="A179" t="s">
        <v>414</v>
      </c>
      <c r="B179" s="3" t="s">
        <v>43</v>
      </c>
      <c r="C179">
        <v>0</v>
      </c>
      <c r="D179" s="2">
        <v>2</v>
      </c>
      <c r="E179" s="2">
        <v>2</v>
      </c>
      <c r="F179" s="2">
        <v>2</v>
      </c>
      <c r="G179" s="2">
        <v>2</v>
      </c>
      <c r="H179" s="2">
        <v>2</v>
      </c>
      <c r="I179" s="2">
        <v>2</v>
      </c>
      <c r="J179" s="2">
        <v>2</v>
      </c>
      <c r="K179" s="2">
        <f t="shared" si="6"/>
        <v>0</v>
      </c>
      <c r="L179" s="2">
        <f t="shared" si="7"/>
        <v>7</v>
      </c>
      <c r="M179" s="2">
        <f t="shared" si="8"/>
        <v>14</v>
      </c>
      <c r="N179" s="2">
        <v>14</v>
      </c>
      <c r="O179" s="2">
        <v>14</v>
      </c>
      <c r="P179" t="s">
        <v>26</v>
      </c>
      <c r="Q179" s="3" t="s">
        <v>49</v>
      </c>
      <c r="R179" s="3" t="s">
        <v>50</v>
      </c>
    </row>
    <row r="180" spans="1:18" ht="35" customHeight="1">
      <c r="A180" t="s">
        <v>415</v>
      </c>
      <c r="B180" s="3" t="s">
        <v>43</v>
      </c>
      <c r="C180">
        <v>0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2">
        <v>0</v>
      </c>
      <c r="J180" s="2">
        <v>1</v>
      </c>
      <c r="K180" s="2">
        <f t="shared" si="6"/>
        <v>1</v>
      </c>
      <c r="L180" s="2">
        <f t="shared" si="7"/>
        <v>6</v>
      </c>
      <c r="M180" s="2">
        <f t="shared" si="8"/>
        <v>6</v>
      </c>
      <c r="N180" s="2">
        <v>6</v>
      </c>
      <c r="O180" s="2">
        <v>13</v>
      </c>
      <c r="P180" t="s">
        <v>128</v>
      </c>
      <c r="Q180" s="3" t="s">
        <v>173</v>
      </c>
      <c r="R180" s="3" t="s">
        <v>174</v>
      </c>
    </row>
    <row r="181" spans="1:18" ht="35" customHeight="1">
      <c r="A181" t="s">
        <v>416</v>
      </c>
      <c r="B181" s="3" t="s">
        <v>43</v>
      </c>
      <c r="C181">
        <v>0</v>
      </c>
      <c r="D181" s="2">
        <v>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f t="shared" si="6"/>
        <v>0</v>
      </c>
      <c r="L181" s="2">
        <f t="shared" si="7"/>
        <v>7</v>
      </c>
      <c r="M181" s="2">
        <f t="shared" si="8"/>
        <v>7</v>
      </c>
      <c r="N181" s="2">
        <v>7</v>
      </c>
      <c r="O181" s="2">
        <v>13</v>
      </c>
      <c r="P181" t="s">
        <v>310</v>
      </c>
      <c r="Q181" s="3" t="s">
        <v>122</v>
      </c>
      <c r="R181" s="3" t="s">
        <v>123</v>
      </c>
    </row>
    <row r="182" spans="1:18" ht="35" customHeight="1">
      <c r="A182" t="s">
        <v>417</v>
      </c>
      <c r="B182" s="3" t="s">
        <v>43</v>
      </c>
      <c r="C182">
        <v>0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f t="shared" si="6"/>
        <v>0</v>
      </c>
      <c r="L182" s="2">
        <f t="shared" si="7"/>
        <v>7</v>
      </c>
      <c r="M182" s="2">
        <f t="shared" si="8"/>
        <v>7</v>
      </c>
      <c r="N182" s="2">
        <v>7</v>
      </c>
      <c r="O182" s="2">
        <v>14</v>
      </c>
      <c r="P182" t="s">
        <v>26</v>
      </c>
      <c r="Q182" s="3" t="s">
        <v>122</v>
      </c>
      <c r="R182" s="3" t="s">
        <v>123</v>
      </c>
    </row>
    <row r="183" spans="1:18" ht="35" customHeight="1">
      <c r="A183" t="s">
        <v>126</v>
      </c>
      <c r="B183" s="3" t="s">
        <v>127</v>
      </c>
      <c r="C183">
        <v>6</v>
      </c>
      <c r="D183" s="2">
        <v>1</v>
      </c>
      <c r="E183" s="2">
        <v>2</v>
      </c>
      <c r="F183" s="2">
        <v>1</v>
      </c>
      <c r="G183" s="2">
        <v>0</v>
      </c>
      <c r="H183" s="2">
        <v>1</v>
      </c>
      <c r="I183" s="2">
        <v>1</v>
      </c>
      <c r="J183" s="2">
        <v>1</v>
      </c>
      <c r="K183" s="2">
        <f t="shared" si="6"/>
        <v>2</v>
      </c>
      <c r="L183" s="2">
        <f t="shared" si="7"/>
        <v>6</v>
      </c>
      <c r="M183" s="2">
        <f t="shared" si="8"/>
        <v>7</v>
      </c>
      <c r="N183" s="2">
        <v>1</v>
      </c>
      <c r="O183" s="2">
        <v>13</v>
      </c>
      <c r="P183" t="s">
        <v>128</v>
      </c>
      <c r="Q183" s="3" t="s">
        <v>129</v>
      </c>
      <c r="R183" s="3" t="s">
        <v>130</v>
      </c>
    </row>
    <row r="184" spans="1:18" ht="35" customHeight="1">
      <c r="A184" t="s">
        <v>418</v>
      </c>
      <c r="B184" s="3" t="s">
        <v>43</v>
      </c>
      <c r="C184">
        <v>0</v>
      </c>
      <c r="D184" s="2">
        <v>1</v>
      </c>
      <c r="E184" s="2">
        <v>1</v>
      </c>
      <c r="F184" s="2">
        <v>1</v>
      </c>
      <c r="G184" s="2">
        <v>0</v>
      </c>
      <c r="H184" s="2">
        <v>1</v>
      </c>
      <c r="I184" s="2">
        <v>1</v>
      </c>
      <c r="J184" s="2">
        <v>1</v>
      </c>
      <c r="K184" s="2">
        <f t="shared" si="6"/>
        <v>1</v>
      </c>
      <c r="L184" s="2">
        <f t="shared" si="7"/>
        <v>6</v>
      </c>
      <c r="M184" s="2">
        <f t="shared" si="8"/>
        <v>6</v>
      </c>
      <c r="N184" s="2">
        <v>6</v>
      </c>
      <c r="O184" s="2">
        <v>14</v>
      </c>
      <c r="P184" t="s">
        <v>26</v>
      </c>
      <c r="Q184" s="3" t="s">
        <v>173</v>
      </c>
      <c r="R184" s="3" t="s">
        <v>174</v>
      </c>
    </row>
    <row r="185" spans="1:18" ht="35" customHeight="1">
      <c r="A185" t="s">
        <v>419</v>
      </c>
      <c r="B185" s="3" t="s">
        <v>43</v>
      </c>
      <c r="C185">
        <v>0</v>
      </c>
      <c r="D185" s="2">
        <v>1</v>
      </c>
      <c r="E185" s="2">
        <v>1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f t="shared" si="6"/>
        <v>0</v>
      </c>
      <c r="L185" s="2">
        <f t="shared" si="7"/>
        <v>7</v>
      </c>
      <c r="M185" s="2">
        <f t="shared" si="8"/>
        <v>7</v>
      </c>
      <c r="N185" s="2">
        <v>7</v>
      </c>
      <c r="O185" s="2">
        <v>11</v>
      </c>
      <c r="P185" t="s">
        <v>420</v>
      </c>
      <c r="Q185" s="3" t="s">
        <v>122</v>
      </c>
      <c r="R185" s="3" t="s">
        <v>123</v>
      </c>
    </row>
    <row r="186" spans="1:18" ht="35" customHeight="1">
      <c r="A186" t="s">
        <v>421</v>
      </c>
      <c r="B186" s="3" t="s">
        <v>422</v>
      </c>
      <c r="C186">
        <v>12</v>
      </c>
      <c r="D186" s="2">
        <v>2</v>
      </c>
      <c r="E186" s="2">
        <v>1</v>
      </c>
      <c r="F186" s="2">
        <v>2</v>
      </c>
      <c r="G186" s="2">
        <v>2</v>
      </c>
      <c r="H186" s="2">
        <v>1</v>
      </c>
      <c r="I186" s="2">
        <v>2</v>
      </c>
      <c r="J186" s="2">
        <v>2</v>
      </c>
      <c r="K186" s="2">
        <f t="shared" si="6"/>
        <v>1</v>
      </c>
      <c r="L186" s="2">
        <f t="shared" si="7"/>
        <v>7</v>
      </c>
      <c r="M186" s="2">
        <f t="shared" si="8"/>
        <v>12</v>
      </c>
      <c r="N186" s="2">
        <v>0</v>
      </c>
      <c r="O186" s="2">
        <v>11</v>
      </c>
      <c r="P186" t="s">
        <v>423</v>
      </c>
      <c r="Q186" s="3" t="s">
        <v>422</v>
      </c>
      <c r="R186" s="3" t="s">
        <v>107</v>
      </c>
    </row>
    <row r="187" spans="1:18" ht="35" customHeight="1">
      <c r="A187" t="s">
        <v>424</v>
      </c>
      <c r="B187" s="3" t="s">
        <v>43</v>
      </c>
      <c r="C187">
        <v>0</v>
      </c>
      <c r="D187" s="2">
        <v>0</v>
      </c>
      <c r="E187" s="2">
        <v>1</v>
      </c>
      <c r="F187" s="2">
        <v>1</v>
      </c>
      <c r="G187" s="2">
        <v>1</v>
      </c>
      <c r="H187" s="2">
        <v>1</v>
      </c>
      <c r="I187" s="2">
        <v>0</v>
      </c>
      <c r="J187" s="2">
        <v>0</v>
      </c>
      <c r="K187" s="2">
        <f t="shared" si="6"/>
        <v>1</v>
      </c>
      <c r="L187" s="2">
        <f t="shared" si="7"/>
        <v>4</v>
      </c>
      <c r="M187" s="2">
        <f t="shared" si="8"/>
        <v>4</v>
      </c>
      <c r="N187" s="2">
        <v>4</v>
      </c>
      <c r="O187" s="2">
        <v>14</v>
      </c>
      <c r="P187" t="s">
        <v>26</v>
      </c>
      <c r="Q187" s="3" t="s">
        <v>142</v>
      </c>
      <c r="R187" s="3" t="s">
        <v>143</v>
      </c>
    </row>
    <row r="188" spans="1:18" ht="35" customHeight="1">
      <c r="A188" t="s">
        <v>425</v>
      </c>
      <c r="B188" s="3" t="s">
        <v>43</v>
      </c>
      <c r="C188">
        <v>0</v>
      </c>
      <c r="D188" s="2">
        <v>2</v>
      </c>
      <c r="E188" s="2">
        <v>2</v>
      </c>
      <c r="F188" s="2">
        <v>2</v>
      </c>
      <c r="G188" s="2">
        <v>2</v>
      </c>
      <c r="H188" s="2">
        <v>2</v>
      </c>
      <c r="I188" s="2">
        <v>2</v>
      </c>
      <c r="J188" s="2">
        <v>2</v>
      </c>
      <c r="K188" s="2">
        <f t="shared" si="6"/>
        <v>0</v>
      </c>
      <c r="L188" s="2">
        <f t="shared" si="7"/>
        <v>7</v>
      </c>
      <c r="M188" s="2">
        <f t="shared" si="8"/>
        <v>14</v>
      </c>
      <c r="N188" s="2">
        <v>14</v>
      </c>
      <c r="O188" s="2">
        <v>14</v>
      </c>
      <c r="P188" t="s">
        <v>26</v>
      </c>
      <c r="Q188" s="3" t="s">
        <v>49</v>
      </c>
      <c r="R188" s="3" t="s">
        <v>50</v>
      </c>
    </row>
    <row r="189" spans="1:18" ht="35" customHeight="1">
      <c r="A189" t="s">
        <v>426</v>
      </c>
      <c r="B189" s="3" t="s">
        <v>43</v>
      </c>
      <c r="C189">
        <v>0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f t="shared" si="6"/>
        <v>0</v>
      </c>
      <c r="L189" s="2">
        <f t="shared" si="7"/>
        <v>7</v>
      </c>
      <c r="M189" s="2">
        <f t="shared" si="8"/>
        <v>7</v>
      </c>
      <c r="N189" s="2">
        <v>7</v>
      </c>
      <c r="O189" s="2">
        <v>14</v>
      </c>
      <c r="P189" t="s">
        <v>26</v>
      </c>
      <c r="Q189" s="3" t="s">
        <v>122</v>
      </c>
      <c r="R189" s="3" t="s">
        <v>123</v>
      </c>
    </row>
    <row r="190" spans="1:18" ht="35" customHeight="1">
      <c r="A190" t="s">
        <v>427</v>
      </c>
      <c r="B190" s="3" t="s">
        <v>428</v>
      </c>
      <c r="C190">
        <v>6</v>
      </c>
      <c r="D190" s="2">
        <v>1</v>
      </c>
      <c r="E190" s="2">
        <v>1</v>
      </c>
      <c r="F190" s="2">
        <v>0</v>
      </c>
      <c r="G190" s="2">
        <v>1</v>
      </c>
      <c r="H190" s="2">
        <v>1</v>
      </c>
      <c r="I190" s="2">
        <v>1</v>
      </c>
      <c r="J190" s="2">
        <v>1</v>
      </c>
      <c r="K190" s="2">
        <f t="shared" si="6"/>
        <v>1</v>
      </c>
      <c r="L190" s="2">
        <f t="shared" si="7"/>
        <v>6</v>
      </c>
      <c r="M190" s="2">
        <f t="shared" si="8"/>
        <v>6</v>
      </c>
      <c r="N190" s="2">
        <v>0</v>
      </c>
      <c r="O190" s="2">
        <v>14</v>
      </c>
      <c r="P190" t="s">
        <v>26</v>
      </c>
      <c r="Q190" s="3" t="s">
        <v>428</v>
      </c>
      <c r="R190" s="3" t="s">
        <v>168</v>
      </c>
    </row>
    <row r="191" spans="1:18" ht="35" customHeight="1">
      <c r="A191" t="s">
        <v>429</v>
      </c>
      <c r="B191" s="3" t="s">
        <v>43</v>
      </c>
      <c r="C191">
        <v>0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f t="shared" si="6"/>
        <v>0</v>
      </c>
      <c r="L191" s="2">
        <f t="shared" si="7"/>
        <v>7</v>
      </c>
      <c r="M191" s="2">
        <f t="shared" si="8"/>
        <v>7</v>
      </c>
      <c r="N191" s="2">
        <v>7</v>
      </c>
      <c r="O191" s="2">
        <v>14</v>
      </c>
      <c r="P191" t="s">
        <v>26</v>
      </c>
      <c r="Q191" s="3" t="s">
        <v>122</v>
      </c>
      <c r="R191" s="3" t="s">
        <v>123</v>
      </c>
    </row>
    <row r="192" spans="1:18" ht="35" customHeight="1">
      <c r="A192" t="s">
        <v>430</v>
      </c>
      <c r="B192" s="3" t="s">
        <v>43</v>
      </c>
      <c r="C192">
        <v>0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f t="shared" si="6"/>
        <v>0</v>
      </c>
      <c r="L192" s="2">
        <f t="shared" si="7"/>
        <v>7</v>
      </c>
      <c r="M192" s="2">
        <f t="shared" si="8"/>
        <v>7</v>
      </c>
      <c r="N192" s="2">
        <v>7</v>
      </c>
      <c r="O192" s="2">
        <v>14</v>
      </c>
      <c r="P192" t="s">
        <v>26</v>
      </c>
      <c r="Q192" s="3" t="s">
        <v>122</v>
      </c>
      <c r="R192" s="3" t="s">
        <v>123</v>
      </c>
    </row>
    <row r="193" spans="1:18" ht="35" customHeight="1">
      <c r="A193" t="s">
        <v>431</v>
      </c>
      <c r="B193" s="3" t="s">
        <v>43</v>
      </c>
      <c r="C193">
        <v>0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f t="shared" si="6"/>
        <v>0</v>
      </c>
      <c r="L193" s="2">
        <f t="shared" si="7"/>
        <v>7</v>
      </c>
      <c r="M193" s="2">
        <f t="shared" si="8"/>
        <v>7</v>
      </c>
      <c r="N193" s="2">
        <v>7</v>
      </c>
      <c r="O193" s="2">
        <v>14</v>
      </c>
      <c r="P193" t="s">
        <v>26</v>
      </c>
      <c r="Q193" s="3" t="s">
        <v>122</v>
      </c>
      <c r="R193" s="3" t="s">
        <v>123</v>
      </c>
    </row>
    <row r="194" spans="1:18" ht="35" customHeight="1">
      <c r="A194" t="s">
        <v>432</v>
      </c>
      <c r="B194" s="3" t="s">
        <v>43</v>
      </c>
      <c r="C194">
        <v>0</v>
      </c>
      <c r="D194" s="2">
        <v>0</v>
      </c>
      <c r="E194" s="2">
        <v>1</v>
      </c>
      <c r="F194" s="2">
        <v>1</v>
      </c>
      <c r="G194" s="2">
        <v>0</v>
      </c>
      <c r="H194" s="2">
        <v>1</v>
      </c>
      <c r="I194" s="2">
        <v>0</v>
      </c>
      <c r="J194" s="2">
        <v>0</v>
      </c>
      <c r="K194" s="2">
        <f t="shared" si="6"/>
        <v>1</v>
      </c>
      <c r="L194" s="2">
        <f t="shared" si="7"/>
        <v>3</v>
      </c>
      <c r="M194" s="2">
        <f t="shared" si="8"/>
        <v>3</v>
      </c>
      <c r="N194" s="2">
        <v>3</v>
      </c>
      <c r="O194" s="2">
        <v>11</v>
      </c>
      <c r="P194" t="s">
        <v>433</v>
      </c>
      <c r="Q194" s="3" t="s">
        <v>145</v>
      </c>
      <c r="R194" s="3" t="s">
        <v>146</v>
      </c>
    </row>
    <row r="195" spans="1:18" ht="35" customHeight="1">
      <c r="A195" t="s">
        <v>434</v>
      </c>
      <c r="B195" s="3" t="s">
        <v>43</v>
      </c>
      <c r="C195">
        <v>0</v>
      </c>
      <c r="D195" s="2">
        <v>2</v>
      </c>
      <c r="E195" s="2">
        <v>2</v>
      </c>
      <c r="F195" s="2">
        <v>2</v>
      </c>
      <c r="G195" s="2">
        <v>2</v>
      </c>
      <c r="H195" s="2">
        <v>2</v>
      </c>
      <c r="I195" s="2">
        <v>2</v>
      </c>
      <c r="J195" s="2">
        <v>2</v>
      </c>
      <c r="K195" s="2">
        <f t="shared" ref="K195:K258" si="9">MAX(D195:J195)-MIN(D195:J195)</f>
        <v>0</v>
      </c>
      <c r="L195" s="2">
        <f t="shared" ref="L195:L258" si="10">COUNTIF(D195:J195,"&gt;0")</f>
        <v>7</v>
      </c>
      <c r="M195" s="2">
        <f t="shared" ref="M195:M258" si="11">SUM(D195:J195)</f>
        <v>14</v>
      </c>
      <c r="N195" s="2">
        <v>14</v>
      </c>
      <c r="O195" s="2">
        <v>13</v>
      </c>
      <c r="P195" t="s">
        <v>160</v>
      </c>
      <c r="Q195" s="3" t="s">
        <v>49</v>
      </c>
      <c r="R195" s="3" t="s">
        <v>50</v>
      </c>
    </row>
    <row r="196" spans="1:18" ht="35" customHeight="1">
      <c r="A196" t="s">
        <v>435</v>
      </c>
      <c r="B196" s="3" t="s">
        <v>43</v>
      </c>
      <c r="C196">
        <v>0</v>
      </c>
      <c r="D196" s="2">
        <v>2</v>
      </c>
      <c r="E196" s="2">
        <v>2</v>
      </c>
      <c r="F196" s="2">
        <v>2</v>
      </c>
      <c r="G196" s="2">
        <v>2</v>
      </c>
      <c r="H196" s="2">
        <v>2</v>
      </c>
      <c r="I196" s="2">
        <v>2</v>
      </c>
      <c r="J196" s="2">
        <v>2</v>
      </c>
      <c r="K196" s="2">
        <f t="shared" si="9"/>
        <v>0</v>
      </c>
      <c r="L196" s="2">
        <f t="shared" si="10"/>
        <v>7</v>
      </c>
      <c r="M196" s="2">
        <f t="shared" si="11"/>
        <v>14</v>
      </c>
      <c r="N196" s="2">
        <v>14</v>
      </c>
      <c r="O196" s="2">
        <v>14</v>
      </c>
      <c r="P196" t="s">
        <v>26</v>
      </c>
      <c r="Q196" s="3" t="s">
        <v>49</v>
      </c>
      <c r="R196" s="3" t="s">
        <v>50</v>
      </c>
    </row>
    <row r="197" spans="1:18" ht="35" customHeight="1">
      <c r="A197" t="s">
        <v>436</v>
      </c>
      <c r="B197" s="3" t="s">
        <v>437</v>
      </c>
      <c r="C197">
        <v>7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f t="shared" si="9"/>
        <v>0</v>
      </c>
      <c r="L197" s="2">
        <f t="shared" si="10"/>
        <v>7</v>
      </c>
      <c r="M197" s="2">
        <f t="shared" si="11"/>
        <v>7</v>
      </c>
      <c r="N197" s="2">
        <v>0</v>
      </c>
      <c r="O197" s="2">
        <v>14</v>
      </c>
      <c r="P197" t="s">
        <v>26</v>
      </c>
      <c r="Q197" s="3" t="s">
        <v>437</v>
      </c>
      <c r="R197" s="3" t="s">
        <v>171</v>
      </c>
    </row>
    <row r="198" spans="1:18" ht="35" customHeight="1">
      <c r="A198" t="s">
        <v>438</v>
      </c>
      <c r="B198" s="3" t="s">
        <v>43</v>
      </c>
      <c r="C198">
        <v>0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f t="shared" si="9"/>
        <v>0</v>
      </c>
      <c r="L198" s="2">
        <f t="shared" si="10"/>
        <v>7</v>
      </c>
      <c r="M198" s="2">
        <f t="shared" si="11"/>
        <v>7</v>
      </c>
      <c r="N198" s="2">
        <v>7</v>
      </c>
      <c r="O198" s="2">
        <v>14</v>
      </c>
      <c r="P198" t="s">
        <v>26</v>
      </c>
      <c r="Q198" s="3" t="s">
        <v>122</v>
      </c>
      <c r="R198" s="3" t="s">
        <v>123</v>
      </c>
    </row>
    <row r="199" spans="1:18" ht="35" customHeight="1">
      <c r="A199" t="s">
        <v>439</v>
      </c>
      <c r="B199" s="3" t="s">
        <v>43</v>
      </c>
      <c r="C199">
        <v>0</v>
      </c>
      <c r="D199" s="2">
        <v>1</v>
      </c>
      <c r="E199" s="2">
        <v>1</v>
      </c>
      <c r="F199" s="2">
        <v>1</v>
      </c>
      <c r="G199" s="2">
        <v>0</v>
      </c>
      <c r="H199" s="2">
        <v>1</v>
      </c>
      <c r="I199" s="2">
        <v>1</v>
      </c>
      <c r="J199" s="2">
        <v>1</v>
      </c>
      <c r="K199" s="2">
        <f t="shared" si="9"/>
        <v>1</v>
      </c>
      <c r="L199" s="2">
        <f t="shared" si="10"/>
        <v>6</v>
      </c>
      <c r="M199" s="2">
        <f t="shared" si="11"/>
        <v>6</v>
      </c>
      <c r="N199" s="2">
        <v>6</v>
      </c>
      <c r="O199" s="2">
        <v>14</v>
      </c>
      <c r="P199" t="s">
        <v>26</v>
      </c>
      <c r="Q199" s="3" t="s">
        <v>173</v>
      </c>
      <c r="R199" s="3" t="s">
        <v>174</v>
      </c>
    </row>
    <row r="200" spans="1:18" ht="35" customHeight="1">
      <c r="A200" t="s">
        <v>440</v>
      </c>
      <c r="B200" s="3" t="s">
        <v>43</v>
      </c>
      <c r="C200">
        <v>0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f t="shared" si="9"/>
        <v>0</v>
      </c>
      <c r="L200" s="2">
        <f t="shared" si="10"/>
        <v>7</v>
      </c>
      <c r="M200" s="2">
        <f t="shared" si="11"/>
        <v>7</v>
      </c>
      <c r="N200" s="2">
        <v>7</v>
      </c>
      <c r="O200" s="2">
        <v>14</v>
      </c>
      <c r="P200" t="s">
        <v>26</v>
      </c>
      <c r="Q200" s="3" t="s">
        <v>122</v>
      </c>
      <c r="R200" s="3" t="s">
        <v>123</v>
      </c>
    </row>
    <row r="201" spans="1:18" ht="35" customHeight="1">
      <c r="A201" t="s">
        <v>441</v>
      </c>
      <c r="B201" s="3" t="s">
        <v>442</v>
      </c>
      <c r="C201">
        <v>1</v>
      </c>
      <c r="D201" s="2">
        <v>0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f t="shared" si="9"/>
        <v>1</v>
      </c>
      <c r="L201" s="2">
        <f t="shared" si="10"/>
        <v>1</v>
      </c>
      <c r="M201" s="2">
        <f t="shared" si="11"/>
        <v>1</v>
      </c>
      <c r="N201" s="2">
        <v>0</v>
      </c>
      <c r="O201" s="2">
        <v>13</v>
      </c>
      <c r="P201" t="s">
        <v>310</v>
      </c>
      <c r="Q201" s="3" t="s">
        <v>442</v>
      </c>
      <c r="R201" s="3" t="s">
        <v>443</v>
      </c>
    </row>
    <row r="202" spans="1:18" ht="35" customHeight="1">
      <c r="A202" t="s">
        <v>444</v>
      </c>
      <c r="B202" s="3" t="s">
        <v>43</v>
      </c>
      <c r="C202">
        <v>0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f t="shared" si="9"/>
        <v>0</v>
      </c>
      <c r="L202" s="2">
        <f t="shared" si="10"/>
        <v>7</v>
      </c>
      <c r="M202" s="2">
        <f t="shared" si="11"/>
        <v>7</v>
      </c>
      <c r="N202" s="2">
        <v>7</v>
      </c>
      <c r="O202" s="2">
        <v>14</v>
      </c>
      <c r="P202" t="s">
        <v>26</v>
      </c>
      <c r="Q202" s="3" t="s">
        <v>122</v>
      </c>
      <c r="R202" s="3" t="s">
        <v>123</v>
      </c>
    </row>
    <row r="203" spans="1:18" ht="35" customHeight="1">
      <c r="A203" t="s">
        <v>445</v>
      </c>
      <c r="B203" s="3" t="s">
        <v>43</v>
      </c>
      <c r="C203">
        <v>0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f t="shared" si="9"/>
        <v>0</v>
      </c>
      <c r="L203" s="2">
        <f t="shared" si="10"/>
        <v>7</v>
      </c>
      <c r="M203" s="2">
        <f t="shared" si="11"/>
        <v>7</v>
      </c>
      <c r="N203" s="2">
        <v>7</v>
      </c>
      <c r="O203" s="2">
        <v>14</v>
      </c>
      <c r="P203" t="s">
        <v>26</v>
      </c>
      <c r="Q203" s="3" t="s">
        <v>122</v>
      </c>
      <c r="R203" s="3" t="s">
        <v>123</v>
      </c>
    </row>
    <row r="204" spans="1:18" ht="35" customHeight="1">
      <c r="A204" t="s">
        <v>446</v>
      </c>
      <c r="B204" s="3" t="s">
        <v>43</v>
      </c>
      <c r="C204">
        <v>0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f t="shared" si="9"/>
        <v>0</v>
      </c>
      <c r="L204" s="2">
        <f t="shared" si="10"/>
        <v>7</v>
      </c>
      <c r="M204" s="2">
        <f t="shared" si="11"/>
        <v>7</v>
      </c>
      <c r="N204" s="2">
        <v>7</v>
      </c>
      <c r="O204" s="2">
        <v>13</v>
      </c>
      <c r="P204" t="s">
        <v>160</v>
      </c>
      <c r="Q204" s="3" t="s">
        <v>122</v>
      </c>
      <c r="R204" s="3" t="s">
        <v>123</v>
      </c>
    </row>
    <row r="205" spans="1:18" ht="35" customHeight="1">
      <c r="A205" t="s">
        <v>447</v>
      </c>
      <c r="B205" s="3" t="s">
        <v>448</v>
      </c>
      <c r="C205">
        <v>7</v>
      </c>
      <c r="D205" s="2">
        <v>1</v>
      </c>
      <c r="E205" s="2">
        <v>1</v>
      </c>
      <c r="F205" s="2">
        <v>2</v>
      </c>
      <c r="G205" s="2">
        <v>1</v>
      </c>
      <c r="H205" s="2">
        <v>1</v>
      </c>
      <c r="I205" s="2">
        <v>1</v>
      </c>
      <c r="J205" s="2">
        <v>1</v>
      </c>
      <c r="K205" s="2">
        <f t="shared" si="9"/>
        <v>1</v>
      </c>
      <c r="L205" s="2">
        <f t="shared" si="10"/>
        <v>7</v>
      </c>
      <c r="M205" s="2">
        <f t="shared" si="11"/>
        <v>8</v>
      </c>
      <c r="N205" s="2">
        <v>1</v>
      </c>
      <c r="O205" s="2">
        <v>14</v>
      </c>
      <c r="P205" t="s">
        <v>26</v>
      </c>
      <c r="Q205" s="3" t="s">
        <v>449</v>
      </c>
      <c r="R205" s="3" t="s">
        <v>450</v>
      </c>
    </row>
    <row r="206" spans="1:18" ht="35" customHeight="1">
      <c r="A206" t="s">
        <v>451</v>
      </c>
      <c r="B206" s="3" t="s">
        <v>43</v>
      </c>
      <c r="C206">
        <v>0</v>
      </c>
      <c r="D206" s="2">
        <v>1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>
        <f t="shared" si="9"/>
        <v>1</v>
      </c>
      <c r="L206" s="2">
        <f t="shared" si="10"/>
        <v>3</v>
      </c>
      <c r="M206" s="2">
        <f t="shared" si="11"/>
        <v>3</v>
      </c>
      <c r="N206" s="2">
        <v>3</v>
      </c>
      <c r="O206" s="2">
        <v>14</v>
      </c>
      <c r="P206" t="s">
        <v>26</v>
      </c>
      <c r="Q206" s="3" t="s">
        <v>145</v>
      </c>
      <c r="R206" s="3" t="s">
        <v>146</v>
      </c>
    </row>
    <row r="207" spans="1:18" ht="35" customHeight="1">
      <c r="A207" t="s">
        <v>452</v>
      </c>
      <c r="B207" s="3" t="s">
        <v>43</v>
      </c>
      <c r="C207">
        <v>0</v>
      </c>
      <c r="D207" s="2">
        <v>2</v>
      </c>
      <c r="E207" s="2">
        <v>2</v>
      </c>
      <c r="F207" s="2">
        <v>2</v>
      </c>
      <c r="G207" s="2">
        <v>1</v>
      </c>
      <c r="H207" s="2">
        <v>2</v>
      </c>
      <c r="I207" s="2">
        <v>2</v>
      </c>
      <c r="J207" s="2">
        <v>2</v>
      </c>
      <c r="K207" s="2">
        <f t="shared" si="9"/>
        <v>1</v>
      </c>
      <c r="L207" s="2">
        <f t="shared" si="10"/>
        <v>7</v>
      </c>
      <c r="M207" s="2">
        <f t="shared" si="11"/>
        <v>13</v>
      </c>
      <c r="N207" s="2">
        <v>13</v>
      </c>
      <c r="O207" s="2">
        <v>14</v>
      </c>
      <c r="P207" t="s">
        <v>26</v>
      </c>
      <c r="Q207" s="3" t="s">
        <v>53</v>
      </c>
      <c r="R207" s="3" t="s">
        <v>54</v>
      </c>
    </row>
    <row r="208" spans="1:18" ht="35" customHeight="1">
      <c r="A208" t="s">
        <v>453</v>
      </c>
      <c r="B208" s="3" t="s">
        <v>43</v>
      </c>
      <c r="C208">
        <v>0</v>
      </c>
      <c r="D208" s="2">
        <v>1</v>
      </c>
      <c r="E208" s="2">
        <v>0</v>
      </c>
      <c r="F208" s="2">
        <v>1</v>
      </c>
      <c r="G208" s="2">
        <v>0</v>
      </c>
      <c r="H208" s="2">
        <v>1</v>
      </c>
      <c r="I208" s="2">
        <v>1</v>
      </c>
      <c r="J208" s="2">
        <v>1</v>
      </c>
      <c r="K208" s="2">
        <f t="shared" si="9"/>
        <v>1</v>
      </c>
      <c r="L208" s="2">
        <f t="shared" si="10"/>
        <v>5</v>
      </c>
      <c r="M208" s="2">
        <f t="shared" si="11"/>
        <v>5</v>
      </c>
      <c r="N208" s="2">
        <v>5</v>
      </c>
      <c r="O208" s="2">
        <v>14</v>
      </c>
      <c r="P208" t="s">
        <v>26</v>
      </c>
      <c r="Q208" s="3" t="s">
        <v>139</v>
      </c>
      <c r="R208" s="3" t="s">
        <v>140</v>
      </c>
    </row>
    <row r="209" spans="1:18" ht="35" customHeight="1">
      <c r="A209" t="s">
        <v>454</v>
      </c>
      <c r="B209" s="3" t="s">
        <v>43</v>
      </c>
      <c r="C209">
        <v>0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f t="shared" si="9"/>
        <v>0</v>
      </c>
      <c r="L209" s="2">
        <f t="shared" si="10"/>
        <v>7</v>
      </c>
      <c r="M209" s="2">
        <f t="shared" si="11"/>
        <v>7</v>
      </c>
      <c r="N209" s="2">
        <v>7</v>
      </c>
      <c r="O209" s="2">
        <v>14</v>
      </c>
      <c r="P209" t="s">
        <v>26</v>
      </c>
      <c r="Q209" s="3" t="s">
        <v>122</v>
      </c>
      <c r="R209" s="3" t="s">
        <v>123</v>
      </c>
    </row>
    <row r="210" spans="1:18" ht="35" customHeight="1">
      <c r="A210" t="s">
        <v>455</v>
      </c>
      <c r="B210" s="3" t="s">
        <v>279</v>
      </c>
      <c r="C210">
        <v>7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f t="shared" si="9"/>
        <v>0</v>
      </c>
      <c r="L210" s="2">
        <f t="shared" si="10"/>
        <v>7</v>
      </c>
      <c r="M210" s="2">
        <f t="shared" si="11"/>
        <v>7</v>
      </c>
      <c r="N210" s="2">
        <v>0</v>
      </c>
      <c r="O210" s="2">
        <v>14</v>
      </c>
      <c r="P210" t="s">
        <v>26</v>
      </c>
      <c r="Q210" s="3" t="s">
        <v>279</v>
      </c>
      <c r="R210" s="3" t="s">
        <v>280</v>
      </c>
    </row>
    <row r="211" spans="1:18" ht="35" customHeight="1">
      <c r="A211" t="s">
        <v>456</v>
      </c>
      <c r="B211" s="3" t="s">
        <v>43</v>
      </c>
      <c r="C211">
        <v>0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f t="shared" si="9"/>
        <v>0</v>
      </c>
      <c r="L211" s="2">
        <f t="shared" si="10"/>
        <v>7</v>
      </c>
      <c r="M211" s="2">
        <f t="shared" si="11"/>
        <v>7</v>
      </c>
      <c r="N211" s="2">
        <v>7</v>
      </c>
      <c r="O211" s="2">
        <v>14</v>
      </c>
      <c r="P211" t="s">
        <v>26</v>
      </c>
      <c r="Q211" s="3" t="s">
        <v>122</v>
      </c>
      <c r="R211" s="3" t="s">
        <v>123</v>
      </c>
    </row>
    <row r="212" spans="1:18" ht="35" customHeight="1">
      <c r="A212" t="s">
        <v>457</v>
      </c>
      <c r="B212" s="3" t="s">
        <v>458</v>
      </c>
      <c r="C212">
        <v>3</v>
      </c>
      <c r="D212" s="2">
        <v>1</v>
      </c>
      <c r="E212" s="2">
        <v>1</v>
      </c>
      <c r="F212" s="2">
        <v>0</v>
      </c>
      <c r="G212" s="2">
        <v>0</v>
      </c>
      <c r="H212" s="2">
        <v>1</v>
      </c>
      <c r="I212" s="2">
        <v>1</v>
      </c>
      <c r="J212" s="2">
        <v>1</v>
      </c>
      <c r="K212" s="2">
        <f t="shared" si="9"/>
        <v>1</v>
      </c>
      <c r="L212" s="2">
        <f t="shared" si="10"/>
        <v>5</v>
      </c>
      <c r="M212" s="2">
        <f t="shared" si="11"/>
        <v>5</v>
      </c>
      <c r="N212" s="2">
        <v>2</v>
      </c>
      <c r="O212" s="2">
        <v>11</v>
      </c>
      <c r="P212" t="s">
        <v>420</v>
      </c>
      <c r="Q212" s="3" t="s">
        <v>459</v>
      </c>
      <c r="R212" s="3" t="s">
        <v>460</v>
      </c>
    </row>
    <row r="213" spans="1:18" ht="35" customHeight="1">
      <c r="A213" t="s">
        <v>461</v>
      </c>
      <c r="B213" s="3" t="s">
        <v>43</v>
      </c>
      <c r="C213">
        <v>0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f t="shared" si="9"/>
        <v>0</v>
      </c>
      <c r="L213" s="2">
        <f t="shared" si="10"/>
        <v>7</v>
      </c>
      <c r="M213" s="2">
        <f t="shared" si="11"/>
        <v>7</v>
      </c>
      <c r="N213" s="2">
        <v>0</v>
      </c>
      <c r="O213" s="2">
        <v>14</v>
      </c>
      <c r="P213" t="s">
        <v>26</v>
      </c>
      <c r="Q213" s="3" t="s">
        <v>462</v>
      </c>
      <c r="R213" s="3" t="s">
        <v>463</v>
      </c>
    </row>
    <row r="214" spans="1:18" ht="35" customHeight="1">
      <c r="A214" t="s">
        <v>464</v>
      </c>
      <c r="B214" s="3" t="s">
        <v>43</v>
      </c>
      <c r="C214">
        <v>0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f t="shared" si="9"/>
        <v>0</v>
      </c>
      <c r="L214" s="2">
        <f t="shared" si="10"/>
        <v>7</v>
      </c>
      <c r="M214" s="2">
        <f t="shared" si="11"/>
        <v>7</v>
      </c>
      <c r="N214" s="2">
        <v>7</v>
      </c>
      <c r="O214" s="2">
        <v>14</v>
      </c>
      <c r="P214" t="s">
        <v>26</v>
      </c>
      <c r="Q214" s="3" t="s">
        <v>122</v>
      </c>
      <c r="R214" s="3" t="s">
        <v>123</v>
      </c>
    </row>
    <row r="215" spans="1:18" ht="35" customHeight="1">
      <c r="A215" t="s">
        <v>465</v>
      </c>
      <c r="B215" s="3" t="s">
        <v>43</v>
      </c>
      <c r="C215">
        <v>0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f t="shared" si="9"/>
        <v>0</v>
      </c>
      <c r="L215" s="2">
        <f t="shared" si="10"/>
        <v>7</v>
      </c>
      <c r="M215" s="2">
        <f t="shared" si="11"/>
        <v>7</v>
      </c>
      <c r="N215" s="2">
        <v>7</v>
      </c>
      <c r="O215" s="2">
        <v>14</v>
      </c>
      <c r="P215" t="s">
        <v>26</v>
      </c>
      <c r="Q215" s="3" t="s">
        <v>122</v>
      </c>
      <c r="R215" s="3" t="s">
        <v>123</v>
      </c>
    </row>
    <row r="216" spans="1:18" ht="35" customHeight="1">
      <c r="A216" t="s">
        <v>104</v>
      </c>
      <c r="B216" s="3" t="s">
        <v>43</v>
      </c>
      <c r="C216">
        <v>0</v>
      </c>
      <c r="D216" s="2">
        <v>2</v>
      </c>
      <c r="E216" s="2">
        <v>2</v>
      </c>
      <c r="F216" s="2">
        <v>1</v>
      </c>
      <c r="G216" s="2">
        <v>1</v>
      </c>
      <c r="H216" s="2">
        <v>2</v>
      </c>
      <c r="I216" s="2">
        <v>1</v>
      </c>
      <c r="J216" s="2">
        <v>3</v>
      </c>
      <c r="K216" s="2">
        <f t="shared" si="9"/>
        <v>2</v>
      </c>
      <c r="L216" s="2">
        <f t="shared" si="10"/>
        <v>7</v>
      </c>
      <c r="M216" s="2">
        <f t="shared" si="11"/>
        <v>12</v>
      </c>
      <c r="N216" s="2">
        <v>12</v>
      </c>
      <c r="O216" s="2">
        <v>14</v>
      </c>
      <c r="P216" t="s">
        <v>26</v>
      </c>
      <c r="Q216" s="3" t="s">
        <v>98</v>
      </c>
      <c r="R216" s="3" t="s">
        <v>99</v>
      </c>
    </row>
    <row r="217" spans="1:18" ht="35" customHeight="1">
      <c r="A217" t="s">
        <v>466</v>
      </c>
      <c r="B217" s="3" t="s">
        <v>43</v>
      </c>
      <c r="C217">
        <v>0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f t="shared" si="9"/>
        <v>0</v>
      </c>
      <c r="L217" s="2">
        <f t="shared" si="10"/>
        <v>7</v>
      </c>
      <c r="M217" s="2">
        <f t="shared" si="11"/>
        <v>7</v>
      </c>
      <c r="N217" s="2">
        <v>7</v>
      </c>
      <c r="O217" s="2">
        <v>14</v>
      </c>
      <c r="P217" t="s">
        <v>26</v>
      </c>
      <c r="Q217" s="3" t="s">
        <v>122</v>
      </c>
      <c r="R217" s="3" t="s">
        <v>123</v>
      </c>
    </row>
    <row r="218" spans="1:18" ht="35" customHeight="1">
      <c r="A218" t="s">
        <v>467</v>
      </c>
      <c r="B218" s="3" t="s">
        <v>43</v>
      </c>
      <c r="C218">
        <v>0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f t="shared" si="9"/>
        <v>0</v>
      </c>
      <c r="L218" s="2">
        <f t="shared" si="10"/>
        <v>7</v>
      </c>
      <c r="M218" s="2">
        <f t="shared" si="11"/>
        <v>7</v>
      </c>
      <c r="N218" s="2">
        <v>7</v>
      </c>
      <c r="O218" s="2">
        <v>12</v>
      </c>
      <c r="P218" t="s">
        <v>315</v>
      </c>
      <c r="Q218" s="3" t="s">
        <v>122</v>
      </c>
      <c r="R218" s="3" t="s">
        <v>123</v>
      </c>
    </row>
    <row r="219" spans="1:18" ht="35" customHeight="1">
      <c r="A219" t="s">
        <v>468</v>
      </c>
      <c r="B219" s="3" t="s">
        <v>43</v>
      </c>
      <c r="C219">
        <v>0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f t="shared" si="9"/>
        <v>0</v>
      </c>
      <c r="L219" s="2">
        <f t="shared" si="10"/>
        <v>7</v>
      </c>
      <c r="M219" s="2">
        <f t="shared" si="11"/>
        <v>7</v>
      </c>
      <c r="N219" s="2">
        <v>7</v>
      </c>
      <c r="O219" s="2">
        <v>14</v>
      </c>
      <c r="P219" t="s">
        <v>26</v>
      </c>
      <c r="Q219" s="3" t="s">
        <v>122</v>
      </c>
      <c r="R219" s="3" t="s">
        <v>123</v>
      </c>
    </row>
    <row r="220" spans="1:18" ht="35" customHeight="1">
      <c r="A220" t="s">
        <v>469</v>
      </c>
      <c r="B220" s="3" t="s">
        <v>43</v>
      </c>
      <c r="C220">
        <v>0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f t="shared" si="9"/>
        <v>0</v>
      </c>
      <c r="L220" s="2">
        <f t="shared" si="10"/>
        <v>7</v>
      </c>
      <c r="M220" s="2">
        <f t="shared" si="11"/>
        <v>7</v>
      </c>
      <c r="N220" s="2">
        <v>7</v>
      </c>
      <c r="O220" s="2">
        <v>14</v>
      </c>
      <c r="P220" t="s">
        <v>26</v>
      </c>
      <c r="Q220" s="3" t="s">
        <v>122</v>
      </c>
      <c r="R220" s="3" t="s">
        <v>123</v>
      </c>
    </row>
    <row r="221" spans="1:18" ht="35" customHeight="1">
      <c r="A221" t="s">
        <v>470</v>
      </c>
      <c r="B221" s="3" t="s">
        <v>43</v>
      </c>
      <c r="C221">
        <v>0</v>
      </c>
      <c r="D221" s="2">
        <v>1</v>
      </c>
      <c r="E221" s="2">
        <v>1</v>
      </c>
      <c r="F221" s="2">
        <v>2</v>
      </c>
      <c r="G221" s="2">
        <v>1</v>
      </c>
      <c r="H221" s="2">
        <v>1</v>
      </c>
      <c r="I221" s="2">
        <v>1</v>
      </c>
      <c r="J221" s="2">
        <v>1</v>
      </c>
      <c r="K221" s="2">
        <f t="shared" si="9"/>
        <v>1</v>
      </c>
      <c r="L221" s="2">
        <f t="shared" si="10"/>
        <v>7</v>
      </c>
      <c r="M221" s="2">
        <f t="shared" si="11"/>
        <v>8</v>
      </c>
      <c r="N221" s="2">
        <v>8</v>
      </c>
      <c r="O221" s="2">
        <v>14</v>
      </c>
      <c r="P221" t="s">
        <v>26</v>
      </c>
      <c r="Q221" s="3" t="s">
        <v>119</v>
      </c>
      <c r="R221" s="3" t="s">
        <v>120</v>
      </c>
    </row>
    <row r="222" spans="1:18" ht="35" customHeight="1">
      <c r="A222" t="s">
        <v>471</v>
      </c>
      <c r="B222" s="3" t="s">
        <v>43</v>
      </c>
      <c r="C222">
        <v>0</v>
      </c>
      <c r="D222" s="2">
        <v>1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1</v>
      </c>
      <c r="K222" s="2">
        <f t="shared" si="9"/>
        <v>1</v>
      </c>
      <c r="L222" s="2">
        <f t="shared" si="10"/>
        <v>3</v>
      </c>
      <c r="M222" s="2">
        <f t="shared" si="11"/>
        <v>3</v>
      </c>
      <c r="N222" s="2">
        <v>3</v>
      </c>
      <c r="O222" s="2">
        <v>12</v>
      </c>
      <c r="P222" t="s">
        <v>77</v>
      </c>
      <c r="Q222" s="3" t="s">
        <v>145</v>
      </c>
      <c r="R222" s="3" t="s">
        <v>146</v>
      </c>
    </row>
    <row r="223" spans="1:18" ht="35" customHeight="1">
      <c r="A223" t="s">
        <v>137</v>
      </c>
      <c r="B223" s="3" t="s">
        <v>43</v>
      </c>
      <c r="C223">
        <v>0</v>
      </c>
      <c r="D223" s="2">
        <v>2</v>
      </c>
      <c r="E223" s="2">
        <v>1</v>
      </c>
      <c r="F223" s="2">
        <v>1</v>
      </c>
      <c r="G223" s="2">
        <v>1</v>
      </c>
      <c r="H223" s="2">
        <v>0</v>
      </c>
      <c r="I223" s="2">
        <v>0</v>
      </c>
      <c r="J223" s="2">
        <v>0</v>
      </c>
      <c r="K223" s="2">
        <f t="shared" si="9"/>
        <v>2</v>
      </c>
      <c r="L223" s="2">
        <f t="shared" si="10"/>
        <v>4</v>
      </c>
      <c r="M223" s="2">
        <f t="shared" si="11"/>
        <v>5</v>
      </c>
      <c r="N223" s="2">
        <v>5</v>
      </c>
      <c r="O223" s="2">
        <v>5</v>
      </c>
      <c r="P223" t="s">
        <v>138</v>
      </c>
      <c r="Q223" s="3" t="s">
        <v>139</v>
      </c>
      <c r="R223" s="3" t="s">
        <v>140</v>
      </c>
    </row>
    <row r="224" spans="1:18" ht="35" customHeight="1">
      <c r="A224" t="s">
        <v>472</v>
      </c>
      <c r="B224" s="3" t="s">
        <v>43</v>
      </c>
      <c r="C224">
        <v>0</v>
      </c>
      <c r="D224" s="2">
        <v>0</v>
      </c>
      <c r="E224" s="2">
        <v>1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f t="shared" si="9"/>
        <v>1</v>
      </c>
      <c r="L224" s="2">
        <f t="shared" si="10"/>
        <v>2</v>
      </c>
      <c r="M224" s="2">
        <f t="shared" si="11"/>
        <v>2</v>
      </c>
      <c r="N224" s="2">
        <v>2</v>
      </c>
      <c r="O224" s="2">
        <v>13</v>
      </c>
      <c r="P224" t="s">
        <v>160</v>
      </c>
      <c r="Q224" s="3" t="s">
        <v>152</v>
      </c>
      <c r="R224" s="3" t="s">
        <v>153</v>
      </c>
    </row>
    <row r="225" spans="1:18" ht="35" customHeight="1">
      <c r="A225" t="s">
        <v>473</v>
      </c>
      <c r="B225" s="3" t="s">
        <v>43</v>
      </c>
      <c r="C225">
        <v>0</v>
      </c>
      <c r="D225" s="2">
        <v>1</v>
      </c>
      <c r="E225" s="2">
        <v>1</v>
      </c>
      <c r="F225" s="2">
        <v>2</v>
      </c>
      <c r="G225" s="2">
        <v>1</v>
      </c>
      <c r="H225" s="2">
        <v>1</v>
      </c>
      <c r="I225" s="2">
        <v>1</v>
      </c>
      <c r="J225" s="2">
        <v>1</v>
      </c>
      <c r="K225" s="2">
        <f t="shared" si="9"/>
        <v>1</v>
      </c>
      <c r="L225" s="2">
        <f t="shared" si="10"/>
        <v>7</v>
      </c>
      <c r="M225" s="2">
        <f t="shared" si="11"/>
        <v>8</v>
      </c>
      <c r="N225" s="2">
        <v>8</v>
      </c>
      <c r="O225" s="2">
        <v>14</v>
      </c>
      <c r="P225" t="s">
        <v>26</v>
      </c>
      <c r="Q225" s="3" t="s">
        <v>119</v>
      </c>
      <c r="R225" s="3" t="s">
        <v>120</v>
      </c>
    </row>
    <row r="226" spans="1:18" ht="35" customHeight="1">
      <c r="A226" t="s">
        <v>474</v>
      </c>
      <c r="B226" s="3" t="s">
        <v>43</v>
      </c>
      <c r="C226">
        <v>0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f t="shared" si="9"/>
        <v>0</v>
      </c>
      <c r="L226" s="2">
        <f t="shared" si="10"/>
        <v>7</v>
      </c>
      <c r="M226" s="2">
        <f t="shared" si="11"/>
        <v>7</v>
      </c>
      <c r="N226" s="2">
        <v>7</v>
      </c>
      <c r="O226" s="2">
        <v>14</v>
      </c>
      <c r="P226" t="s">
        <v>26</v>
      </c>
      <c r="Q226" s="3" t="s">
        <v>122</v>
      </c>
      <c r="R226" s="3" t="s">
        <v>123</v>
      </c>
    </row>
    <row r="227" spans="1:18" ht="35" customHeight="1">
      <c r="A227" t="s">
        <v>475</v>
      </c>
      <c r="B227" s="3" t="s">
        <v>43</v>
      </c>
      <c r="C227">
        <v>0</v>
      </c>
      <c r="D227" s="2">
        <v>2</v>
      </c>
      <c r="E227" s="2">
        <v>2</v>
      </c>
      <c r="F227" s="2">
        <v>2</v>
      </c>
      <c r="G227" s="2">
        <v>2</v>
      </c>
      <c r="H227" s="2">
        <v>2</v>
      </c>
      <c r="I227" s="2">
        <v>2</v>
      </c>
      <c r="J227" s="2">
        <v>2</v>
      </c>
      <c r="K227" s="2">
        <f t="shared" si="9"/>
        <v>0</v>
      </c>
      <c r="L227" s="2">
        <f t="shared" si="10"/>
        <v>7</v>
      </c>
      <c r="M227" s="2">
        <f t="shared" si="11"/>
        <v>14</v>
      </c>
      <c r="N227" s="2">
        <v>14</v>
      </c>
      <c r="O227" s="2">
        <v>14</v>
      </c>
      <c r="P227" t="s">
        <v>26</v>
      </c>
      <c r="Q227" s="3" t="s">
        <v>49</v>
      </c>
      <c r="R227" s="3" t="s">
        <v>50</v>
      </c>
    </row>
    <row r="228" spans="1:18" ht="35" customHeight="1">
      <c r="A228" t="s">
        <v>476</v>
      </c>
      <c r="B228" s="3" t="s">
        <v>477</v>
      </c>
      <c r="C228">
        <v>7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f t="shared" si="9"/>
        <v>0</v>
      </c>
      <c r="L228" s="2">
        <f t="shared" si="10"/>
        <v>7</v>
      </c>
      <c r="M228" s="2">
        <f t="shared" si="11"/>
        <v>7</v>
      </c>
      <c r="N228" s="2">
        <v>0</v>
      </c>
      <c r="O228" s="2">
        <v>14</v>
      </c>
      <c r="P228" t="s">
        <v>26</v>
      </c>
      <c r="Q228" s="3" t="s">
        <v>477</v>
      </c>
      <c r="R228" s="3" t="s">
        <v>171</v>
      </c>
    </row>
    <row r="229" spans="1:18" ht="35" customHeight="1">
      <c r="A229" t="s">
        <v>478</v>
      </c>
      <c r="B229" s="3" t="s">
        <v>43</v>
      </c>
      <c r="C229">
        <v>0</v>
      </c>
      <c r="D229" s="2">
        <v>1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f t="shared" si="9"/>
        <v>0</v>
      </c>
      <c r="L229" s="2">
        <f t="shared" si="10"/>
        <v>7</v>
      </c>
      <c r="M229" s="2">
        <f t="shared" si="11"/>
        <v>7</v>
      </c>
      <c r="N229" s="2">
        <v>7</v>
      </c>
      <c r="O229" s="2">
        <v>13</v>
      </c>
      <c r="P229" t="s">
        <v>479</v>
      </c>
      <c r="Q229" s="3" t="s">
        <v>122</v>
      </c>
      <c r="R229" s="3" t="s">
        <v>123</v>
      </c>
    </row>
    <row r="230" spans="1:18" ht="35" customHeight="1">
      <c r="A230" t="s">
        <v>480</v>
      </c>
      <c r="B230" s="3" t="s">
        <v>43</v>
      </c>
      <c r="C230">
        <v>0</v>
      </c>
      <c r="D230" s="2">
        <v>1</v>
      </c>
      <c r="E230" s="2">
        <v>1</v>
      </c>
      <c r="F230" s="2">
        <v>0</v>
      </c>
      <c r="G230" s="2">
        <v>1</v>
      </c>
      <c r="H230" s="2">
        <v>1</v>
      </c>
      <c r="I230" s="2">
        <v>1</v>
      </c>
      <c r="J230" s="2">
        <v>1</v>
      </c>
      <c r="K230" s="2">
        <f t="shared" si="9"/>
        <v>1</v>
      </c>
      <c r="L230" s="2">
        <f t="shared" si="10"/>
        <v>6</v>
      </c>
      <c r="M230" s="2">
        <f t="shared" si="11"/>
        <v>6</v>
      </c>
      <c r="N230" s="2">
        <v>6</v>
      </c>
      <c r="O230" s="2">
        <v>13</v>
      </c>
      <c r="P230" t="s">
        <v>210</v>
      </c>
      <c r="Q230" s="3" t="s">
        <v>173</v>
      </c>
      <c r="R230" s="3" t="s">
        <v>174</v>
      </c>
    </row>
    <row r="231" spans="1:18" ht="35" customHeight="1">
      <c r="A231" t="s">
        <v>481</v>
      </c>
      <c r="B231" s="3" t="s">
        <v>43</v>
      </c>
      <c r="C231">
        <v>0</v>
      </c>
      <c r="D231" s="2">
        <v>0</v>
      </c>
      <c r="E231" s="2">
        <v>1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f t="shared" si="9"/>
        <v>1</v>
      </c>
      <c r="L231" s="2">
        <f t="shared" si="10"/>
        <v>1</v>
      </c>
      <c r="M231" s="2">
        <f t="shared" si="11"/>
        <v>1</v>
      </c>
      <c r="N231" s="2">
        <v>1</v>
      </c>
      <c r="O231" s="2">
        <v>14</v>
      </c>
      <c r="P231" t="s">
        <v>26</v>
      </c>
      <c r="Q231" s="3" t="s">
        <v>271</v>
      </c>
      <c r="R231" s="3" t="s">
        <v>272</v>
      </c>
    </row>
    <row r="232" spans="1:18" ht="35" customHeight="1">
      <c r="A232" t="s">
        <v>482</v>
      </c>
      <c r="B232" s="3" t="s">
        <v>43</v>
      </c>
      <c r="C232">
        <v>0</v>
      </c>
      <c r="D232" s="2">
        <v>1</v>
      </c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f t="shared" si="9"/>
        <v>0</v>
      </c>
      <c r="L232" s="2">
        <f t="shared" si="10"/>
        <v>7</v>
      </c>
      <c r="M232" s="2">
        <f t="shared" si="11"/>
        <v>7</v>
      </c>
      <c r="N232" s="2">
        <v>7</v>
      </c>
      <c r="O232" s="2">
        <v>14</v>
      </c>
      <c r="P232" t="s">
        <v>26</v>
      </c>
      <c r="Q232" s="3" t="s">
        <v>122</v>
      </c>
      <c r="R232" s="3" t="s">
        <v>123</v>
      </c>
    </row>
    <row r="233" spans="1:18" ht="35" customHeight="1">
      <c r="A233" t="s">
        <v>483</v>
      </c>
      <c r="B233" s="3" t="s">
        <v>43</v>
      </c>
      <c r="C233">
        <v>0</v>
      </c>
      <c r="D233" s="2">
        <v>2</v>
      </c>
      <c r="E233" s="2">
        <v>2</v>
      </c>
      <c r="F233" s="2">
        <v>2</v>
      </c>
      <c r="G233" s="2">
        <v>2</v>
      </c>
      <c r="H233" s="2">
        <v>2</v>
      </c>
      <c r="I233" s="2">
        <v>2</v>
      </c>
      <c r="J233" s="2">
        <v>2</v>
      </c>
      <c r="K233" s="2">
        <f t="shared" si="9"/>
        <v>0</v>
      </c>
      <c r="L233" s="2">
        <f t="shared" si="10"/>
        <v>7</v>
      </c>
      <c r="M233" s="2">
        <f t="shared" si="11"/>
        <v>14</v>
      </c>
      <c r="N233" s="2">
        <v>14</v>
      </c>
      <c r="O233" s="2">
        <v>13</v>
      </c>
      <c r="P233" t="s">
        <v>210</v>
      </c>
      <c r="Q233" s="3" t="s">
        <v>49</v>
      </c>
      <c r="R233" s="3" t="s">
        <v>50</v>
      </c>
    </row>
    <row r="234" spans="1:18" ht="35" customHeight="1">
      <c r="A234" t="s">
        <v>484</v>
      </c>
      <c r="B234" s="3" t="s">
        <v>43</v>
      </c>
      <c r="C234">
        <v>0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f t="shared" si="9"/>
        <v>0</v>
      </c>
      <c r="L234" s="2">
        <f t="shared" si="10"/>
        <v>7</v>
      </c>
      <c r="M234" s="2">
        <f t="shared" si="11"/>
        <v>7</v>
      </c>
      <c r="N234" s="2">
        <v>7</v>
      </c>
      <c r="O234" s="2">
        <v>13</v>
      </c>
      <c r="P234" t="s">
        <v>310</v>
      </c>
      <c r="Q234" s="3" t="s">
        <v>122</v>
      </c>
      <c r="R234" s="3" t="s">
        <v>123</v>
      </c>
    </row>
    <row r="235" spans="1:18" ht="35" customHeight="1">
      <c r="A235" t="s">
        <v>485</v>
      </c>
      <c r="B235" s="3" t="s">
        <v>43</v>
      </c>
      <c r="C235">
        <v>0</v>
      </c>
      <c r="D235" s="2">
        <v>1</v>
      </c>
      <c r="E235" s="2">
        <v>1</v>
      </c>
      <c r="F235" s="2">
        <v>1</v>
      </c>
      <c r="G235" s="2">
        <v>1</v>
      </c>
      <c r="H235" s="2">
        <v>0</v>
      </c>
      <c r="I235" s="2">
        <v>1</v>
      </c>
      <c r="J235" s="2">
        <v>1</v>
      </c>
      <c r="K235" s="2">
        <f t="shared" si="9"/>
        <v>1</v>
      </c>
      <c r="L235" s="2">
        <f t="shared" si="10"/>
        <v>6</v>
      </c>
      <c r="M235" s="2">
        <f t="shared" si="11"/>
        <v>6</v>
      </c>
      <c r="N235" s="2">
        <v>6</v>
      </c>
      <c r="O235" s="2">
        <v>13</v>
      </c>
      <c r="P235" t="s">
        <v>310</v>
      </c>
      <c r="Q235" s="3" t="s">
        <v>173</v>
      </c>
      <c r="R235" s="3" t="s">
        <v>174</v>
      </c>
    </row>
    <row r="236" spans="1:18" ht="35" customHeight="1">
      <c r="A236" t="s">
        <v>486</v>
      </c>
      <c r="B236" s="3" t="s">
        <v>43</v>
      </c>
      <c r="C236">
        <v>0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2">
        <v>0</v>
      </c>
      <c r="J236" s="2">
        <v>1</v>
      </c>
      <c r="K236" s="2">
        <f t="shared" si="9"/>
        <v>1</v>
      </c>
      <c r="L236" s="2">
        <f t="shared" si="10"/>
        <v>6</v>
      </c>
      <c r="M236" s="2">
        <f t="shared" si="11"/>
        <v>6</v>
      </c>
      <c r="N236" s="2">
        <v>6</v>
      </c>
      <c r="O236" s="2">
        <v>14</v>
      </c>
      <c r="P236" t="s">
        <v>26</v>
      </c>
      <c r="Q236" s="3" t="s">
        <v>173</v>
      </c>
      <c r="R236" s="3" t="s">
        <v>174</v>
      </c>
    </row>
    <row r="237" spans="1:18" ht="35" customHeight="1">
      <c r="A237" t="s">
        <v>487</v>
      </c>
      <c r="B237" s="3" t="s">
        <v>43</v>
      </c>
      <c r="C237">
        <v>0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f t="shared" si="9"/>
        <v>0</v>
      </c>
      <c r="L237" s="2">
        <f t="shared" si="10"/>
        <v>7</v>
      </c>
      <c r="M237" s="2">
        <f t="shared" si="11"/>
        <v>7</v>
      </c>
      <c r="N237" s="2">
        <v>7</v>
      </c>
      <c r="O237" s="2">
        <v>14</v>
      </c>
      <c r="P237" t="s">
        <v>26</v>
      </c>
      <c r="Q237" s="3" t="s">
        <v>122</v>
      </c>
      <c r="R237" s="3" t="s">
        <v>123</v>
      </c>
    </row>
    <row r="238" spans="1:18" ht="35" customHeight="1">
      <c r="A238" t="s">
        <v>488</v>
      </c>
      <c r="B238" s="3" t="s">
        <v>43</v>
      </c>
      <c r="C238">
        <v>0</v>
      </c>
      <c r="D238" s="2">
        <v>1</v>
      </c>
      <c r="E238" s="2">
        <v>1</v>
      </c>
      <c r="F238" s="2">
        <v>0</v>
      </c>
      <c r="G238" s="2">
        <v>1</v>
      </c>
      <c r="H238" s="2">
        <v>1</v>
      </c>
      <c r="I238" s="2">
        <v>1</v>
      </c>
      <c r="J238" s="2">
        <v>1</v>
      </c>
      <c r="K238" s="2">
        <f t="shared" si="9"/>
        <v>1</v>
      </c>
      <c r="L238" s="2">
        <f t="shared" si="10"/>
        <v>6</v>
      </c>
      <c r="M238" s="2">
        <f t="shared" si="11"/>
        <v>6</v>
      </c>
      <c r="N238" s="2">
        <v>6</v>
      </c>
      <c r="O238" s="2">
        <v>12</v>
      </c>
      <c r="P238" t="s">
        <v>77</v>
      </c>
      <c r="Q238" s="3" t="s">
        <v>173</v>
      </c>
      <c r="R238" s="3" t="s">
        <v>174</v>
      </c>
    </row>
    <row r="239" spans="1:18" ht="35" customHeight="1">
      <c r="A239" t="s">
        <v>489</v>
      </c>
      <c r="B239" s="3" t="s">
        <v>43</v>
      </c>
      <c r="C239">
        <v>0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f t="shared" si="9"/>
        <v>0</v>
      </c>
      <c r="L239" s="2">
        <f t="shared" si="10"/>
        <v>7</v>
      </c>
      <c r="M239" s="2">
        <f t="shared" si="11"/>
        <v>7</v>
      </c>
      <c r="N239" s="2">
        <v>7</v>
      </c>
      <c r="O239" s="2">
        <v>14</v>
      </c>
      <c r="P239" t="s">
        <v>26</v>
      </c>
      <c r="Q239" s="3" t="s">
        <v>122</v>
      </c>
      <c r="R239" s="3" t="s">
        <v>123</v>
      </c>
    </row>
    <row r="240" spans="1:18" ht="35" customHeight="1">
      <c r="A240" t="s">
        <v>490</v>
      </c>
      <c r="B240" s="3" t="s">
        <v>43</v>
      </c>
      <c r="C240">
        <v>0</v>
      </c>
      <c r="D240" s="2">
        <v>1</v>
      </c>
      <c r="E240" s="2">
        <v>0</v>
      </c>
      <c r="F240" s="2">
        <v>0</v>
      </c>
      <c r="G240" s="2">
        <v>1</v>
      </c>
      <c r="H240" s="2">
        <v>1</v>
      </c>
      <c r="I240" s="2">
        <v>1</v>
      </c>
      <c r="J240" s="2">
        <v>1</v>
      </c>
      <c r="K240" s="2">
        <f t="shared" si="9"/>
        <v>1</v>
      </c>
      <c r="L240" s="2">
        <f t="shared" si="10"/>
        <v>5</v>
      </c>
      <c r="M240" s="2">
        <f t="shared" si="11"/>
        <v>5</v>
      </c>
      <c r="N240" s="2">
        <v>5</v>
      </c>
      <c r="O240" s="2">
        <v>14</v>
      </c>
      <c r="P240" t="s">
        <v>26</v>
      </c>
      <c r="Q240" s="3" t="s">
        <v>139</v>
      </c>
      <c r="R240" s="3" t="s">
        <v>140</v>
      </c>
    </row>
    <row r="241" spans="1:18" ht="35" customHeight="1">
      <c r="A241" t="s">
        <v>491</v>
      </c>
      <c r="B241" s="3" t="s">
        <v>492</v>
      </c>
      <c r="C241">
        <v>7</v>
      </c>
      <c r="D241" s="2">
        <v>1</v>
      </c>
      <c r="E241" s="2">
        <v>1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f t="shared" si="9"/>
        <v>0</v>
      </c>
      <c r="L241" s="2">
        <f t="shared" si="10"/>
        <v>7</v>
      </c>
      <c r="M241" s="2">
        <f t="shared" si="11"/>
        <v>7</v>
      </c>
      <c r="N241" s="2">
        <v>0</v>
      </c>
      <c r="O241" s="2">
        <v>14</v>
      </c>
      <c r="P241" t="s">
        <v>26</v>
      </c>
      <c r="Q241" s="3" t="s">
        <v>492</v>
      </c>
      <c r="R241" s="3" t="s">
        <v>171</v>
      </c>
    </row>
    <row r="242" spans="1:18" ht="35" customHeight="1">
      <c r="A242" t="s">
        <v>493</v>
      </c>
      <c r="B242" s="3" t="s">
        <v>43</v>
      </c>
      <c r="C242">
        <v>0</v>
      </c>
      <c r="D242" s="2">
        <v>1</v>
      </c>
      <c r="E242" s="2">
        <v>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f t="shared" si="9"/>
        <v>0</v>
      </c>
      <c r="L242" s="2">
        <f t="shared" si="10"/>
        <v>7</v>
      </c>
      <c r="M242" s="2">
        <f t="shared" si="11"/>
        <v>7</v>
      </c>
      <c r="N242" s="2">
        <v>7</v>
      </c>
      <c r="O242" s="2">
        <v>14</v>
      </c>
      <c r="P242" t="s">
        <v>26</v>
      </c>
      <c r="Q242" s="3" t="s">
        <v>122</v>
      </c>
      <c r="R242" s="3" t="s">
        <v>123</v>
      </c>
    </row>
    <row r="243" spans="1:18" ht="35" customHeight="1">
      <c r="A243" t="s">
        <v>494</v>
      </c>
      <c r="B243" s="3" t="s">
        <v>43</v>
      </c>
      <c r="C243">
        <v>0</v>
      </c>
      <c r="D243" s="2">
        <v>1</v>
      </c>
      <c r="E243" s="2">
        <v>1</v>
      </c>
      <c r="F243" s="2">
        <v>0</v>
      </c>
      <c r="G243" s="2">
        <v>1</v>
      </c>
      <c r="H243" s="2">
        <v>1</v>
      </c>
      <c r="I243" s="2">
        <v>1</v>
      </c>
      <c r="J243" s="2">
        <v>1</v>
      </c>
      <c r="K243" s="2">
        <f t="shared" si="9"/>
        <v>1</v>
      </c>
      <c r="L243" s="2">
        <f t="shared" si="10"/>
        <v>6</v>
      </c>
      <c r="M243" s="2">
        <f t="shared" si="11"/>
        <v>6</v>
      </c>
      <c r="N243" s="2">
        <v>6</v>
      </c>
      <c r="O243" s="2">
        <v>14</v>
      </c>
      <c r="P243" t="s">
        <v>26</v>
      </c>
      <c r="Q243" s="3" t="s">
        <v>173</v>
      </c>
      <c r="R243" s="3" t="s">
        <v>174</v>
      </c>
    </row>
    <row r="244" spans="1:18" ht="35" customHeight="1">
      <c r="A244" t="s">
        <v>495</v>
      </c>
      <c r="B244" s="3" t="s">
        <v>43</v>
      </c>
      <c r="C244">
        <v>0</v>
      </c>
      <c r="D244" s="2">
        <v>1</v>
      </c>
      <c r="E244" s="2">
        <v>1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f t="shared" si="9"/>
        <v>0</v>
      </c>
      <c r="L244" s="2">
        <f t="shared" si="10"/>
        <v>7</v>
      </c>
      <c r="M244" s="2">
        <f t="shared" si="11"/>
        <v>7</v>
      </c>
      <c r="N244" s="2">
        <v>7</v>
      </c>
      <c r="O244" s="2">
        <v>14</v>
      </c>
      <c r="P244" t="s">
        <v>26</v>
      </c>
      <c r="Q244" s="3" t="s">
        <v>122</v>
      </c>
      <c r="R244" s="3" t="s">
        <v>123</v>
      </c>
    </row>
    <row r="245" spans="1:18" ht="35" customHeight="1">
      <c r="A245" t="s">
        <v>496</v>
      </c>
      <c r="B245" s="3" t="s">
        <v>43</v>
      </c>
      <c r="C245">
        <v>0</v>
      </c>
      <c r="D245" s="2">
        <v>1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f t="shared" si="9"/>
        <v>0</v>
      </c>
      <c r="L245" s="2">
        <f t="shared" si="10"/>
        <v>7</v>
      </c>
      <c r="M245" s="2">
        <f t="shared" si="11"/>
        <v>7</v>
      </c>
      <c r="N245" s="2">
        <v>7</v>
      </c>
      <c r="O245" s="2">
        <v>14</v>
      </c>
      <c r="P245" t="s">
        <v>26</v>
      </c>
      <c r="Q245" s="3" t="s">
        <v>122</v>
      </c>
      <c r="R245" s="3" t="s">
        <v>123</v>
      </c>
    </row>
    <row r="246" spans="1:18" ht="35" customHeight="1">
      <c r="A246" t="s">
        <v>497</v>
      </c>
      <c r="B246" s="3" t="s">
        <v>43</v>
      </c>
      <c r="C246">
        <v>0</v>
      </c>
      <c r="D246" s="2">
        <v>1</v>
      </c>
      <c r="E246" s="2">
        <v>1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f t="shared" si="9"/>
        <v>0</v>
      </c>
      <c r="L246" s="2">
        <f t="shared" si="10"/>
        <v>7</v>
      </c>
      <c r="M246" s="2">
        <f t="shared" si="11"/>
        <v>7</v>
      </c>
      <c r="N246" s="2">
        <v>7</v>
      </c>
      <c r="O246" s="2">
        <v>14</v>
      </c>
      <c r="P246" t="s">
        <v>26</v>
      </c>
      <c r="Q246" s="3" t="s">
        <v>122</v>
      </c>
      <c r="R246" s="3" t="s">
        <v>123</v>
      </c>
    </row>
    <row r="247" spans="1:18" ht="35" customHeight="1">
      <c r="A247" t="s">
        <v>498</v>
      </c>
      <c r="B247" s="3" t="s">
        <v>43</v>
      </c>
      <c r="C247">
        <v>0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f t="shared" si="9"/>
        <v>0</v>
      </c>
      <c r="L247" s="2">
        <f t="shared" si="10"/>
        <v>7</v>
      </c>
      <c r="M247" s="2">
        <f t="shared" si="11"/>
        <v>7</v>
      </c>
      <c r="N247" s="2">
        <v>7</v>
      </c>
      <c r="O247" s="2">
        <v>13</v>
      </c>
      <c r="P247" t="s">
        <v>128</v>
      </c>
      <c r="Q247" s="3" t="s">
        <v>122</v>
      </c>
      <c r="R247" s="3" t="s">
        <v>123</v>
      </c>
    </row>
    <row r="248" spans="1:18" ht="35" customHeight="1">
      <c r="A248" t="s">
        <v>499</v>
      </c>
      <c r="B248" s="3" t="s">
        <v>500</v>
      </c>
      <c r="C248">
        <v>6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f t="shared" si="9"/>
        <v>0</v>
      </c>
      <c r="L248" s="2">
        <f t="shared" si="10"/>
        <v>7</v>
      </c>
      <c r="M248" s="2">
        <f t="shared" si="11"/>
        <v>7</v>
      </c>
      <c r="N248" s="2">
        <v>1</v>
      </c>
      <c r="O248" s="2">
        <v>14</v>
      </c>
      <c r="P248" t="s">
        <v>26</v>
      </c>
      <c r="Q248" s="3" t="s">
        <v>501</v>
      </c>
      <c r="R248" s="3" t="s">
        <v>130</v>
      </c>
    </row>
    <row r="249" spans="1:18" ht="35" customHeight="1">
      <c r="A249" t="s">
        <v>502</v>
      </c>
      <c r="B249" s="3" t="s">
        <v>43</v>
      </c>
      <c r="C249">
        <v>0</v>
      </c>
      <c r="D249" s="2">
        <v>1</v>
      </c>
      <c r="E249" s="2">
        <v>1</v>
      </c>
      <c r="F249" s="2">
        <v>1</v>
      </c>
      <c r="G249" s="2">
        <v>0</v>
      </c>
      <c r="H249" s="2">
        <v>1</v>
      </c>
      <c r="I249" s="2">
        <v>1</v>
      </c>
      <c r="J249" s="2">
        <v>1</v>
      </c>
      <c r="K249" s="2">
        <f t="shared" si="9"/>
        <v>1</v>
      </c>
      <c r="L249" s="2">
        <f t="shared" si="10"/>
        <v>6</v>
      </c>
      <c r="M249" s="2">
        <f t="shared" si="11"/>
        <v>6</v>
      </c>
      <c r="N249" s="2">
        <v>6</v>
      </c>
      <c r="O249" s="2">
        <v>12</v>
      </c>
      <c r="P249" t="s">
        <v>186</v>
      </c>
      <c r="Q249" s="3" t="s">
        <v>173</v>
      </c>
      <c r="R249" s="3" t="s">
        <v>174</v>
      </c>
    </row>
    <row r="250" spans="1:18" ht="35" customHeight="1">
      <c r="A250" t="s">
        <v>37</v>
      </c>
      <c r="B250" s="3" t="s">
        <v>38</v>
      </c>
      <c r="C250">
        <v>7</v>
      </c>
      <c r="D250" s="2">
        <v>1</v>
      </c>
      <c r="E250" s="2">
        <v>1</v>
      </c>
      <c r="F250" s="2">
        <v>5</v>
      </c>
      <c r="G250" s="2">
        <v>2</v>
      </c>
      <c r="H250" s="2">
        <v>2</v>
      </c>
      <c r="I250" s="2">
        <v>4</v>
      </c>
      <c r="J250" s="2">
        <v>1</v>
      </c>
      <c r="K250" s="2">
        <f t="shared" si="9"/>
        <v>4</v>
      </c>
      <c r="L250" s="2">
        <f t="shared" si="10"/>
        <v>7</v>
      </c>
      <c r="M250" s="2">
        <f t="shared" si="11"/>
        <v>16</v>
      </c>
      <c r="N250" s="2">
        <v>9</v>
      </c>
      <c r="O250" s="2">
        <v>11</v>
      </c>
      <c r="P250" t="s">
        <v>39</v>
      </c>
      <c r="Q250" s="3" t="s">
        <v>40</v>
      </c>
      <c r="R250" s="3" t="s">
        <v>41</v>
      </c>
    </row>
    <row r="251" spans="1:18" ht="35" customHeight="1">
      <c r="A251" t="s">
        <v>503</v>
      </c>
      <c r="B251" s="3" t="s">
        <v>43</v>
      </c>
      <c r="C251">
        <v>0</v>
      </c>
      <c r="D251" s="2">
        <v>1</v>
      </c>
      <c r="E251" s="2">
        <v>1</v>
      </c>
      <c r="F251" s="2">
        <v>1</v>
      </c>
      <c r="G251" s="2">
        <v>1</v>
      </c>
      <c r="H251" s="2">
        <v>0</v>
      </c>
      <c r="I251" s="2">
        <v>0</v>
      </c>
      <c r="J251" s="2">
        <v>1</v>
      </c>
      <c r="K251" s="2">
        <f t="shared" si="9"/>
        <v>1</v>
      </c>
      <c r="L251" s="2">
        <f t="shared" si="10"/>
        <v>5</v>
      </c>
      <c r="M251" s="2">
        <f t="shared" si="11"/>
        <v>5</v>
      </c>
      <c r="N251" s="2">
        <v>5</v>
      </c>
      <c r="O251" s="2">
        <v>13</v>
      </c>
      <c r="P251" t="s">
        <v>310</v>
      </c>
      <c r="Q251" s="3" t="s">
        <v>139</v>
      </c>
      <c r="R251" s="3" t="s">
        <v>140</v>
      </c>
    </row>
    <row r="252" spans="1:18" ht="35" customHeight="1">
      <c r="A252" t="s">
        <v>504</v>
      </c>
      <c r="B252" s="3" t="s">
        <v>43</v>
      </c>
      <c r="C252">
        <v>0</v>
      </c>
      <c r="D252" s="2">
        <v>1</v>
      </c>
      <c r="E252" s="2">
        <v>0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f t="shared" si="9"/>
        <v>1</v>
      </c>
      <c r="L252" s="2">
        <f t="shared" si="10"/>
        <v>6</v>
      </c>
      <c r="M252" s="2">
        <f t="shared" si="11"/>
        <v>6</v>
      </c>
      <c r="N252" s="2">
        <v>6</v>
      </c>
      <c r="O252" s="2">
        <v>14</v>
      </c>
      <c r="P252" t="s">
        <v>26</v>
      </c>
      <c r="Q252" s="3" t="s">
        <v>173</v>
      </c>
      <c r="R252" s="3" t="s">
        <v>174</v>
      </c>
    </row>
    <row r="253" spans="1:18" ht="35" customHeight="1">
      <c r="A253" t="s">
        <v>505</v>
      </c>
      <c r="B253" s="3" t="s">
        <v>43</v>
      </c>
      <c r="C253">
        <v>0</v>
      </c>
      <c r="D253" s="2">
        <v>1</v>
      </c>
      <c r="E253" s="2">
        <v>2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f t="shared" si="9"/>
        <v>1</v>
      </c>
      <c r="L253" s="2">
        <f t="shared" si="10"/>
        <v>7</v>
      </c>
      <c r="M253" s="2">
        <f t="shared" si="11"/>
        <v>8</v>
      </c>
      <c r="N253" s="2">
        <v>8</v>
      </c>
      <c r="O253" s="2">
        <v>13</v>
      </c>
      <c r="P253" t="s">
        <v>128</v>
      </c>
      <c r="Q253" s="3" t="s">
        <v>119</v>
      </c>
      <c r="R253" s="3" t="s">
        <v>120</v>
      </c>
    </row>
    <row r="254" spans="1:18" ht="35" customHeight="1">
      <c r="A254" t="s">
        <v>506</v>
      </c>
      <c r="B254" s="3" t="s">
        <v>43</v>
      </c>
      <c r="C254">
        <v>0</v>
      </c>
      <c r="D254" s="2">
        <v>0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f t="shared" si="9"/>
        <v>1</v>
      </c>
      <c r="L254" s="2">
        <f t="shared" si="10"/>
        <v>1</v>
      </c>
      <c r="M254" s="2">
        <f t="shared" si="11"/>
        <v>1</v>
      </c>
      <c r="N254" s="2">
        <v>1</v>
      </c>
      <c r="O254" s="2">
        <v>14</v>
      </c>
      <c r="P254" t="s">
        <v>26</v>
      </c>
      <c r="Q254" s="3" t="s">
        <v>271</v>
      </c>
      <c r="R254" s="3" t="s">
        <v>272</v>
      </c>
    </row>
    <row r="255" spans="1:18" ht="35" customHeight="1">
      <c r="A255" t="s">
        <v>507</v>
      </c>
      <c r="B255" s="3" t="s">
        <v>43</v>
      </c>
      <c r="C255">
        <v>0</v>
      </c>
      <c r="D255" s="2">
        <v>1</v>
      </c>
      <c r="E255" s="2">
        <v>1</v>
      </c>
      <c r="F255" s="2">
        <v>0</v>
      </c>
      <c r="G255" s="2">
        <v>0</v>
      </c>
      <c r="H255" s="2">
        <v>1</v>
      </c>
      <c r="I255" s="2">
        <v>0</v>
      </c>
      <c r="J255" s="2">
        <v>0</v>
      </c>
      <c r="K255" s="2">
        <f t="shared" si="9"/>
        <v>1</v>
      </c>
      <c r="L255" s="2">
        <f t="shared" si="10"/>
        <v>3</v>
      </c>
      <c r="M255" s="2">
        <f t="shared" si="11"/>
        <v>3</v>
      </c>
      <c r="N255" s="2">
        <v>3</v>
      </c>
      <c r="O255" s="2">
        <v>12</v>
      </c>
      <c r="P255" t="s">
        <v>362</v>
      </c>
      <c r="Q255" s="3" t="s">
        <v>145</v>
      </c>
      <c r="R255" s="3" t="s">
        <v>146</v>
      </c>
    </row>
    <row r="256" spans="1:18" ht="35" customHeight="1">
      <c r="A256" t="s">
        <v>508</v>
      </c>
      <c r="B256" s="3" t="s">
        <v>43</v>
      </c>
      <c r="C256">
        <v>0</v>
      </c>
      <c r="D256" s="2">
        <v>1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f t="shared" si="9"/>
        <v>0</v>
      </c>
      <c r="L256" s="2">
        <f t="shared" si="10"/>
        <v>7</v>
      </c>
      <c r="M256" s="2">
        <f t="shared" si="11"/>
        <v>7</v>
      </c>
      <c r="N256" s="2">
        <v>7</v>
      </c>
      <c r="O256" s="2">
        <v>14</v>
      </c>
      <c r="P256" t="s">
        <v>26</v>
      </c>
      <c r="Q256" s="3" t="s">
        <v>122</v>
      </c>
      <c r="R256" s="3" t="s">
        <v>123</v>
      </c>
    </row>
    <row r="257" spans="1:18" ht="35" customHeight="1">
      <c r="A257" t="s">
        <v>509</v>
      </c>
      <c r="B257" s="3" t="s">
        <v>345</v>
      </c>
      <c r="C257">
        <v>6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f t="shared" si="9"/>
        <v>0</v>
      </c>
      <c r="L257" s="2">
        <f t="shared" si="10"/>
        <v>7</v>
      </c>
      <c r="M257" s="2">
        <f t="shared" si="11"/>
        <v>7</v>
      </c>
      <c r="N257" s="2">
        <v>1</v>
      </c>
      <c r="O257" s="2">
        <v>14</v>
      </c>
      <c r="P257" t="s">
        <v>26</v>
      </c>
      <c r="Q257" s="3" t="s">
        <v>510</v>
      </c>
      <c r="R257" s="3" t="s">
        <v>130</v>
      </c>
    </row>
    <row r="258" spans="1:18" ht="35" customHeight="1">
      <c r="A258" t="s">
        <v>511</v>
      </c>
      <c r="B258" s="3" t="s">
        <v>43</v>
      </c>
      <c r="C258">
        <v>0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f t="shared" si="9"/>
        <v>0</v>
      </c>
      <c r="L258" s="2">
        <f t="shared" si="10"/>
        <v>7</v>
      </c>
      <c r="M258" s="2">
        <f t="shared" si="11"/>
        <v>7</v>
      </c>
      <c r="N258" s="2">
        <v>7</v>
      </c>
      <c r="O258" s="2">
        <v>13</v>
      </c>
      <c r="P258" t="s">
        <v>512</v>
      </c>
      <c r="Q258" s="3" t="s">
        <v>122</v>
      </c>
      <c r="R258" s="3" t="s">
        <v>123</v>
      </c>
    </row>
    <row r="259" spans="1:18" ht="35" customHeight="1">
      <c r="A259" t="s">
        <v>513</v>
      </c>
      <c r="B259" s="3" t="s">
        <v>43</v>
      </c>
      <c r="C259">
        <v>0</v>
      </c>
      <c r="D259" s="2">
        <v>1</v>
      </c>
      <c r="E259" s="2">
        <v>1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f t="shared" ref="K259:K322" si="12">MAX(D259:J259)-MIN(D259:J259)</f>
        <v>0</v>
      </c>
      <c r="L259" s="2">
        <f t="shared" ref="L259:L322" si="13">COUNTIF(D259:J259,"&gt;0")</f>
        <v>7</v>
      </c>
      <c r="M259" s="2">
        <f t="shared" ref="M259:M322" si="14">SUM(D259:J259)</f>
        <v>7</v>
      </c>
      <c r="N259" s="2">
        <v>7</v>
      </c>
      <c r="O259" s="2">
        <v>14</v>
      </c>
      <c r="P259" t="s">
        <v>26</v>
      </c>
      <c r="Q259" s="3" t="s">
        <v>122</v>
      </c>
      <c r="R259" s="3" t="s">
        <v>123</v>
      </c>
    </row>
    <row r="260" spans="1:18" ht="35" customHeight="1">
      <c r="A260" t="s">
        <v>514</v>
      </c>
      <c r="B260" s="3" t="s">
        <v>43</v>
      </c>
      <c r="C260">
        <v>0</v>
      </c>
      <c r="D260" s="2">
        <v>3</v>
      </c>
      <c r="E260" s="2">
        <v>3</v>
      </c>
      <c r="F260" s="2">
        <v>3</v>
      </c>
      <c r="G260" s="2">
        <v>3</v>
      </c>
      <c r="H260" s="2">
        <v>3</v>
      </c>
      <c r="I260" s="2">
        <v>3</v>
      </c>
      <c r="J260" s="2">
        <v>3</v>
      </c>
      <c r="K260" s="2">
        <f t="shared" si="12"/>
        <v>0</v>
      </c>
      <c r="L260" s="2">
        <f t="shared" si="13"/>
        <v>7</v>
      </c>
      <c r="M260" s="2">
        <f t="shared" si="14"/>
        <v>21</v>
      </c>
      <c r="N260" s="2">
        <v>21</v>
      </c>
      <c r="O260" s="2">
        <v>3</v>
      </c>
      <c r="P260" t="s">
        <v>80</v>
      </c>
      <c r="Q260" s="3" t="s">
        <v>238</v>
      </c>
      <c r="R260" s="3" t="s">
        <v>239</v>
      </c>
    </row>
    <row r="261" spans="1:18" ht="35" customHeight="1">
      <c r="A261" t="s">
        <v>515</v>
      </c>
      <c r="B261" s="3" t="s">
        <v>43</v>
      </c>
      <c r="C261">
        <v>0</v>
      </c>
      <c r="D261" s="2">
        <v>1</v>
      </c>
      <c r="E261" s="2">
        <v>1</v>
      </c>
      <c r="F261" s="2">
        <v>1</v>
      </c>
      <c r="G261" s="2">
        <v>1</v>
      </c>
      <c r="H261" s="2">
        <v>1</v>
      </c>
      <c r="I261" s="2">
        <v>1</v>
      </c>
      <c r="J261" s="2">
        <v>0</v>
      </c>
      <c r="K261" s="2">
        <f t="shared" si="12"/>
        <v>1</v>
      </c>
      <c r="L261" s="2">
        <f t="shared" si="13"/>
        <v>6</v>
      </c>
      <c r="M261" s="2">
        <f t="shared" si="14"/>
        <v>6</v>
      </c>
      <c r="N261" s="2">
        <v>6</v>
      </c>
      <c r="O261" s="2">
        <v>12</v>
      </c>
      <c r="P261" t="s">
        <v>315</v>
      </c>
      <c r="Q261" s="3" t="s">
        <v>173</v>
      </c>
      <c r="R261" s="3" t="s">
        <v>174</v>
      </c>
    </row>
    <row r="262" spans="1:18" ht="35" customHeight="1">
      <c r="A262" t="s">
        <v>516</v>
      </c>
      <c r="B262" s="3" t="s">
        <v>43</v>
      </c>
      <c r="C262">
        <v>0</v>
      </c>
      <c r="D262" s="2">
        <v>1</v>
      </c>
      <c r="E262" s="2">
        <v>1</v>
      </c>
      <c r="F262" s="2">
        <v>1</v>
      </c>
      <c r="G262" s="2">
        <v>1</v>
      </c>
      <c r="H262" s="2">
        <v>0</v>
      </c>
      <c r="I262" s="2">
        <v>1</v>
      </c>
      <c r="J262" s="2">
        <v>1</v>
      </c>
      <c r="K262" s="2">
        <f t="shared" si="12"/>
        <v>1</v>
      </c>
      <c r="L262" s="2">
        <f t="shared" si="13"/>
        <v>6</v>
      </c>
      <c r="M262" s="2">
        <f t="shared" si="14"/>
        <v>6</v>
      </c>
      <c r="N262" s="2">
        <v>6</v>
      </c>
      <c r="O262" s="2">
        <v>13</v>
      </c>
      <c r="P262" t="s">
        <v>128</v>
      </c>
      <c r="Q262" s="3" t="s">
        <v>173</v>
      </c>
      <c r="R262" s="3" t="s">
        <v>174</v>
      </c>
    </row>
    <row r="263" spans="1:18" ht="35" customHeight="1">
      <c r="A263" t="s">
        <v>517</v>
      </c>
      <c r="B263" s="3" t="s">
        <v>518</v>
      </c>
      <c r="C263">
        <v>7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f t="shared" si="12"/>
        <v>0</v>
      </c>
      <c r="L263" s="2">
        <f t="shared" si="13"/>
        <v>7</v>
      </c>
      <c r="M263" s="2">
        <f t="shared" si="14"/>
        <v>7</v>
      </c>
      <c r="N263" s="2">
        <v>0</v>
      </c>
      <c r="O263" s="2">
        <v>14</v>
      </c>
      <c r="P263" t="s">
        <v>26</v>
      </c>
      <c r="Q263" s="3" t="s">
        <v>518</v>
      </c>
      <c r="R263" s="3" t="s">
        <v>171</v>
      </c>
    </row>
    <row r="264" spans="1:18" ht="35" customHeight="1">
      <c r="A264" t="s">
        <v>519</v>
      </c>
      <c r="B264" s="3" t="s">
        <v>43</v>
      </c>
      <c r="C264">
        <v>0</v>
      </c>
      <c r="D264" s="2">
        <v>1</v>
      </c>
      <c r="E264" s="2">
        <v>1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f t="shared" si="12"/>
        <v>0</v>
      </c>
      <c r="L264" s="2">
        <f t="shared" si="13"/>
        <v>7</v>
      </c>
      <c r="M264" s="2">
        <f t="shared" si="14"/>
        <v>7</v>
      </c>
      <c r="N264" s="2">
        <v>7</v>
      </c>
      <c r="O264" s="2">
        <v>14</v>
      </c>
      <c r="P264" t="s">
        <v>26</v>
      </c>
      <c r="Q264" s="3" t="s">
        <v>122</v>
      </c>
      <c r="R264" s="3" t="s">
        <v>123</v>
      </c>
    </row>
    <row r="265" spans="1:18" ht="35" customHeight="1">
      <c r="A265" t="s">
        <v>520</v>
      </c>
      <c r="B265" s="3" t="s">
        <v>43</v>
      </c>
      <c r="C265">
        <v>0</v>
      </c>
      <c r="D265" s="2">
        <v>1</v>
      </c>
      <c r="E265" s="2">
        <v>0</v>
      </c>
      <c r="F265" s="2">
        <v>1</v>
      </c>
      <c r="G265" s="2">
        <v>1</v>
      </c>
      <c r="H265" s="2">
        <v>1</v>
      </c>
      <c r="I265" s="2">
        <v>0</v>
      </c>
      <c r="J265" s="2">
        <v>1</v>
      </c>
      <c r="K265" s="2">
        <f t="shared" si="12"/>
        <v>1</v>
      </c>
      <c r="L265" s="2">
        <f t="shared" si="13"/>
        <v>5</v>
      </c>
      <c r="M265" s="2">
        <f t="shared" si="14"/>
        <v>5</v>
      </c>
      <c r="N265" s="2">
        <v>5</v>
      </c>
      <c r="O265" s="2">
        <v>13</v>
      </c>
      <c r="P265" t="s">
        <v>210</v>
      </c>
      <c r="Q265" s="3" t="s">
        <v>139</v>
      </c>
      <c r="R265" s="3" t="s">
        <v>140</v>
      </c>
    </row>
    <row r="266" spans="1:18" ht="35" customHeight="1">
      <c r="A266" t="s">
        <v>521</v>
      </c>
      <c r="B266" s="3" t="s">
        <v>522</v>
      </c>
      <c r="C266">
        <v>7</v>
      </c>
      <c r="D266" s="2">
        <v>1</v>
      </c>
      <c r="E266" s="2">
        <v>1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f t="shared" si="12"/>
        <v>0</v>
      </c>
      <c r="L266" s="2">
        <f t="shared" si="13"/>
        <v>7</v>
      </c>
      <c r="M266" s="2">
        <f t="shared" si="14"/>
        <v>7</v>
      </c>
      <c r="N266" s="2">
        <v>0</v>
      </c>
      <c r="O266" s="2">
        <v>14</v>
      </c>
      <c r="P266" t="s">
        <v>26</v>
      </c>
      <c r="Q266" s="3" t="s">
        <v>522</v>
      </c>
      <c r="R266" s="3" t="s">
        <v>171</v>
      </c>
    </row>
    <row r="267" spans="1:18" ht="35" customHeight="1">
      <c r="A267" t="s">
        <v>523</v>
      </c>
      <c r="B267" s="3" t="s">
        <v>43</v>
      </c>
      <c r="C267">
        <v>0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0</v>
      </c>
      <c r="J267" s="2">
        <v>1</v>
      </c>
      <c r="K267" s="2">
        <f t="shared" si="12"/>
        <v>1</v>
      </c>
      <c r="L267" s="2">
        <f t="shared" si="13"/>
        <v>6</v>
      </c>
      <c r="M267" s="2">
        <f t="shared" si="14"/>
        <v>6</v>
      </c>
      <c r="N267" s="2">
        <v>6</v>
      </c>
      <c r="O267" s="2">
        <v>14</v>
      </c>
      <c r="P267" t="s">
        <v>26</v>
      </c>
      <c r="Q267" s="3" t="s">
        <v>173</v>
      </c>
      <c r="R267" s="3" t="s">
        <v>174</v>
      </c>
    </row>
    <row r="268" spans="1:18" ht="35" customHeight="1">
      <c r="A268" t="s">
        <v>524</v>
      </c>
      <c r="B268" s="3" t="s">
        <v>525</v>
      </c>
      <c r="C268">
        <v>2</v>
      </c>
      <c r="D268" s="2">
        <v>1</v>
      </c>
      <c r="E268" s="2">
        <v>1</v>
      </c>
      <c r="F268" s="2">
        <v>1</v>
      </c>
      <c r="G268" s="2">
        <v>1</v>
      </c>
      <c r="H268" s="2">
        <v>2</v>
      </c>
      <c r="I268" s="2">
        <v>1</v>
      </c>
      <c r="J268" s="2">
        <v>1</v>
      </c>
      <c r="K268" s="2">
        <f t="shared" si="12"/>
        <v>1</v>
      </c>
      <c r="L268" s="2">
        <f t="shared" si="13"/>
        <v>7</v>
      </c>
      <c r="M268" s="2">
        <f t="shared" si="14"/>
        <v>8</v>
      </c>
      <c r="N268" s="2">
        <v>0</v>
      </c>
      <c r="O268" s="2">
        <v>13</v>
      </c>
      <c r="P268" t="s">
        <v>210</v>
      </c>
      <c r="Q268" s="3" t="s">
        <v>526</v>
      </c>
      <c r="R268" s="3" t="s">
        <v>527</v>
      </c>
    </row>
    <row r="269" spans="1:18" ht="35" customHeight="1">
      <c r="A269" t="s">
        <v>528</v>
      </c>
      <c r="B269" s="3" t="s">
        <v>43</v>
      </c>
      <c r="C269">
        <v>0</v>
      </c>
      <c r="D269" s="2">
        <v>1</v>
      </c>
      <c r="E269" s="2">
        <v>0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f t="shared" si="12"/>
        <v>1</v>
      </c>
      <c r="L269" s="2">
        <f t="shared" si="13"/>
        <v>6</v>
      </c>
      <c r="M269" s="2">
        <f t="shared" si="14"/>
        <v>6</v>
      </c>
      <c r="N269" s="2">
        <v>6</v>
      </c>
      <c r="O269" s="2">
        <v>14</v>
      </c>
      <c r="P269" t="s">
        <v>26</v>
      </c>
      <c r="Q269" s="3" t="s">
        <v>173</v>
      </c>
      <c r="R269" s="3" t="s">
        <v>174</v>
      </c>
    </row>
    <row r="270" spans="1:18" ht="35" customHeight="1">
      <c r="A270" t="s">
        <v>529</v>
      </c>
      <c r="B270" s="3" t="s">
        <v>43</v>
      </c>
      <c r="C270">
        <v>0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f t="shared" si="12"/>
        <v>0</v>
      </c>
      <c r="L270" s="2">
        <f t="shared" si="13"/>
        <v>7</v>
      </c>
      <c r="M270" s="2">
        <f t="shared" si="14"/>
        <v>7</v>
      </c>
      <c r="N270" s="2">
        <v>7</v>
      </c>
      <c r="O270" s="2">
        <v>14</v>
      </c>
      <c r="P270" t="s">
        <v>26</v>
      </c>
      <c r="Q270" s="3" t="s">
        <v>122</v>
      </c>
      <c r="R270" s="3" t="s">
        <v>123</v>
      </c>
    </row>
    <row r="271" spans="1:18" ht="35" customHeight="1">
      <c r="A271" t="s">
        <v>530</v>
      </c>
      <c r="B271" s="3" t="s">
        <v>43</v>
      </c>
      <c r="C271">
        <v>0</v>
      </c>
      <c r="D271" s="2">
        <v>2</v>
      </c>
      <c r="E271" s="2">
        <v>2</v>
      </c>
      <c r="F271" s="2">
        <v>2</v>
      </c>
      <c r="G271" s="2">
        <v>2</v>
      </c>
      <c r="H271" s="2">
        <v>2</v>
      </c>
      <c r="I271" s="2">
        <v>2</v>
      </c>
      <c r="J271" s="2">
        <v>2</v>
      </c>
      <c r="K271" s="2">
        <f t="shared" si="12"/>
        <v>0</v>
      </c>
      <c r="L271" s="2">
        <f t="shared" si="13"/>
        <v>7</v>
      </c>
      <c r="M271" s="2">
        <f t="shared" si="14"/>
        <v>14</v>
      </c>
      <c r="N271" s="2">
        <v>14</v>
      </c>
      <c r="O271" s="2">
        <v>14</v>
      </c>
      <c r="P271" t="s">
        <v>26</v>
      </c>
      <c r="Q271" s="3" t="s">
        <v>49</v>
      </c>
      <c r="R271" s="3" t="s">
        <v>50</v>
      </c>
    </row>
    <row r="272" spans="1:18" ht="35" customHeight="1">
      <c r="A272" t="s">
        <v>42</v>
      </c>
      <c r="B272" s="3" t="s">
        <v>43</v>
      </c>
      <c r="C272">
        <v>0</v>
      </c>
      <c r="D272" s="2">
        <v>1</v>
      </c>
      <c r="E272" s="2">
        <v>1</v>
      </c>
      <c r="F272" s="2">
        <v>3</v>
      </c>
      <c r="G272" s="2">
        <v>2</v>
      </c>
      <c r="H272" s="2">
        <v>3</v>
      </c>
      <c r="I272" s="2">
        <v>4</v>
      </c>
      <c r="J272" s="2">
        <v>3</v>
      </c>
      <c r="K272" s="2">
        <f t="shared" si="12"/>
        <v>3</v>
      </c>
      <c r="L272" s="2">
        <f t="shared" si="13"/>
        <v>7</v>
      </c>
      <c r="M272" s="2">
        <f t="shared" si="14"/>
        <v>17</v>
      </c>
      <c r="N272" s="2">
        <v>17</v>
      </c>
      <c r="O272" s="2">
        <v>6</v>
      </c>
      <c r="P272" t="s">
        <v>44</v>
      </c>
      <c r="Q272" s="3" t="s">
        <v>45</v>
      </c>
      <c r="R272" s="3" t="s">
        <v>46</v>
      </c>
    </row>
    <row r="273" spans="1:18" ht="35" customHeight="1">
      <c r="A273" t="s">
        <v>531</v>
      </c>
      <c r="B273" s="3" t="s">
        <v>43</v>
      </c>
      <c r="C273">
        <v>0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f t="shared" si="12"/>
        <v>0</v>
      </c>
      <c r="L273" s="2">
        <f t="shared" si="13"/>
        <v>7</v>
      </c>
      <c r="M273" s="2">
        <f t="shared" si="14"/>
        <v>7</v>
      </c>
      <c r="N273" s="2">
        <v>7</v>
      </c>
      <c r="O273" s="2">
        <v>14</v>
      </c>
      <c r="P273" t="s">
        <v>26</v>
      </c>
      <c r="Q273" s="3" t="s">
        <v>122</v>
      </c>
      <c r="R273" s="3" t="s">
        <v>123</v>
      </c>
    </row>
    <row r="274" spans="1:18" ht="35" customHeight="1">
      <c r="A274" t="s">
        <v>532</v>
      </c>
      <c r="B274" s="3" t="s">
        <v>533</v>
      </c>
      <c r="C274">
        <v>1</v>
      </c>
      <c r="D274" s="2">
        <v>1</v>
      </c>
      <c r="E274" s="2">
        <v>1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f t="shared" si="12"/>
        <v>0</v>
      </c>
      <c r="L274" s="2">
        <f t="shared" si="13"/>
        <v>7</v>
      </c>
      <c r="M274" s="2">
        <f t="shared" si="14"/>
        <v>7</v>
      </c>
      <c r="N274" s="2">
        <v>0</v>
      </c>
      <c r="O274" s="2">
        <v>13</v>
      </c>
      <c r="P274" t="s">
        <v>310</v>
      </c>
      <c r="Q274" s="3" t="s">
        <v>534</v>
      </c>
      <c r="R274" s="3" t="s">
        <v>535</v>
      </c>
    </row>
    <row r="275" spans="1:18" ht="35" customHeight="1">
      <c r="A275" t="s">
        <v>536</v>
      </c>
      <c r="B275" s="3" t="s">
        <v>43</v>
      </c>
      <c r="C275">
        <v>0</v>
      </c>
      <c r="D275" s="2">
        <v>1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1</v>
      </c>
      <c r="K275" s="2">
        <f t="shared" si="12"/>
        <v>1</v>
      </c>
      <c r="L275" s="2">
        <f t="shared" si="13"/>
        <v>3</v>
      </c>
      <c r="M275" s="2">
        <f t="shared" si="14"/>
        <v>3</v>
      </c>
      <c r="N275" s="2">
        <v>3</v>
      </c>
      <c r="O275" s="2">
        <v>14</v>
      </c>
      <c r="P275" t="s">
        <v>26</v>
      </c>
      <c r="Q275" s="3" t="s">
        <v>145</v>
      </c>
      <c r="R275" s="3" t="s">
        <v>146</v>
      </c>
    </row>
    <row r="276" spans="1:18" ht="35" customHeight="1">
      <c r="A276" t="s">
        <v>537</v>
      </c>
      <c r="B276" s="3" t="s">
        <v>43</v>
      </c>
      <c r="C276">
        <v>0</v>
      </c>
      <c r="D276" s="2">
        <v>1</v>
      </c>
      <c r="E276" s="2">
        <v>1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f t="shared" si="12"/>
        <v>0</v>
      </c>
      <c r="L276" s="2">
        <f t="shared" si="13"/>
        <v>7</v>
      </c>
      <c r="M276" s="2">
        <f t="shared" si="14"/>
        <v>7</v>
      </c>
      <c r="N276" s="2">
        <v>7</v>
      </c>
      <c r="O276" s="2">
        <v>14</v>
      </c>
      <c r="P276" t="s">
        <v>26</v>
      </c>
      <c r="Q276" s="3" t="s">
        <v>122</v>
      </c>
      <c r="R276" s="3" t="s">
        <v>123</v>
      </c>
    </row>
    <row r="277" spans="1:18" ht="35" customHeight="1">
      <c r="A277" t="s">
        <v>538</v>
      </c>
      <c r="B277" s="3" t="s">
        <v>43</v>
      </c>
      <c r="C277">
        <v>0</v>
      </c>
      <c r="D277" s="2">
        <v>1</v>
      </c>
      <c r="E277" s="2">
        <v>1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f t="shared" si="12"/>
        <v>0</v>
      </c>
      <c r="L277" s="2">
        <f t="shared" si="13"/>
        <v>7</v>
      </c>
      <c r="M277" s="2">
        <f t="shared" si="14"/>
        <v>7</v>
      </c>
      <c r="N277" s="2">
        <v>7</v>
      </c>
      <c r="O277" s="2">
        <v>13</v>
      </c>
      <c r="P277" t="s">
        <v>128</v>
      </c>
      <c r="Q277" s="3" t="s">
        <v>122</v>
      </c>
      <c r="R277" s="3" t="s">
        <v>123</v>
      </c>
    </row>
    <row r="278" spans="1:18" ht="35" customHeight="1">
      <c r="A278" t="s">
        <v>539</v>
      </c>
      <c r="B278" s="3" t="s">
        <v>43</v>
      </c>
      <c r="C278">
        <v>0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f t="shared" si="12"/>
        <v>0</v>
      </c>
      <c r="L278" s="2">
        <f t="shared" si="13"/>
        <v>7</v>
      </c>
      <c r="M278" s="2">
        <f t="shared" si="14"/>
        <v>7</v>
      </c>
      <c r="N278" s="2">
        <v>7</v>
      </c>
      <c r="O278" s="2">
        <v>14</v>
      </c>
      <c r="P278" t="s">
        <v>26</v>
      </c>
      <c r="Q278" s="3" t="s">
        <v>122</v>
      </c>
      <c r="R278" s="3" t="s">
        <v>123</v>
      </c>
    </row>
    <row r="279" spans="1:18" ht="35" customHeight="1">
      <c r="A279" t="s">
        <v>540</v>
      </c>
      <c r="B279" s="3" t="s">
        <v>43</v>
      </c>
      <c r="C279">
        <v>0</v>
      </c>
      <c r="D279" s="2">
        <v>1</v>
      </c>
      <c r="E279" s="2">
        <v>1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f t="shared" si="12"/>
        <v>0</v>
      </c>
      <c r="L279" s="2">
        <f t="shared" si="13"/>
        <v>7</v>
      </c>
      <c r="M279" s="2">
        <f t="shared" si="14"/>
        <v>7</v>
      </c>
      <c r="N279" s="2">
        <v>7</v>
      </c>
      <c r="O279" s="2">
        <v>14</v>
      </c>
      <c r="P279" t="s">
        <v>26</v>
      </c>
      <c r="Q279" s="3" t="s">
        <v>122</v>
      </c>
      <c r="R279" s="3" t="s">
        <v>123</v>
      </c>
    </row>
    <row r="280" spans="1:18" ht="35" customHeight="1">
      <c r="A280" t="s">
        <v>541</v>
      </c>
      <c r="B280" s="3" t="s">
        <v>43</v>
      </c>
      <c r="C280">
        <v>0</v>
      </c>
      <c r="D280" s="2">
        <v>0</v>
      </c>
      <c r="E280" s="2">
        <v>0</v>
      </c>
      <c r="F280" s="2">
        <v>1</v>
      </c>
      <c r="G280" s="2">
        <v>1</v>
      </c>
      <c r="H280" s="2">
        <v>0</v>
      </c>
      <c r="I280" s="2">
        <v>0</v>
      </c>
      <c r="J280" s="2">
        <v>0</v>
      </c>
      <c r="K280" s="2">
        <f t="shared" si="12"/>
        <v>1</v>
      </c>
      <c r="L280" s="2">
        <f t="shared" si="13"/>
        <v>2</v>
      </c>
      <c r="M280" s="2">
        <f t="shared" si="14"/>
        <v>2</v>
      </c>
      <c r="N280" s="2">
        <v>2</v>
      </c>
      <c r="O280" s="2">
        <v>10</v>
      </c>
      <c r="P280" t="s">
        <v>542</v>
      </c>
      <c r="Q280" s="3" t="s">
        <v>152</v>
      </c>
      <c r="R280" s="3" t="s">
        <v>153</v>
      </c>
    </row>
    <row r="281" spans="1:18" ht="35" customHeight="1">
      <c r="A281" t="s">
        <v>543</v>
      </c>
      <c r="B281" s="3" t="s">
        <v>43</v>
      </c>
      <c r="C281">
        <v>0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f t="shared" si="12"/>
        <v>0</v>
      </c>
      <c r="L281" s="2">
        <f t="shared" si="13"/>
        <v>7</v>
      </c>
      <c r="M281" s="2">
        <f t="shared" si="14"/>
        <v>7</v>
      </c>
      <c r="N281" s="2">
        <v>7</v>
      </c>
      <c r="O281" s="2">
        <v>12</v>
      </c>
      <c r="P281" t="s">
        <v>77</v>
      </c>
      <c r="Q281" s="3" t="s">
        <v>122</v>
      </c>
      <c r="R281" s="3" t="s">
        <v>123</v>
      </c>
    </row>
    <row r="282" spans="1:18" ht="35" customHeight="1">
      <c r="A282" t="s">
        <v>544</v>
      </c>
      <c r="B282" s="3" t="s">
        <v>43</v>
      </c>
      <c r="C282">
        <v>0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f t="shared" si="12"/>
        <v>0</v>
      </c>
      <c r="L282" s="2">
        <f t="shared" si="13"/>
        <v>7</v>
      </c>
      <c r="M282" s="2">
        <f t="shared" si="14"/>
        <v>7</v>
      </c>
      <c r="N282" s="2">
        <v>7</v>
      </c>
      <c r="O282" s="2">
        <v>14</v>
      </c>
      <c r="P282" t="s">
        <v>26</v>
      </c>
      <c r="Q282" s="3" t="s">
        <v>122</v>
      </c>
      <c r="R282" s="3" t="s">
        <v>123</v>
      </c>
    </row>
    <row r="283" spans="1:18" ht="35" customHeight="1">
      <c r="A283" t="s">
        <v>545</v>
      </c>
      <c r="B283" s="3" t="s">
        <v>546</v>
      </c>
      <c r="C283">
        <v>7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f t="shared" si="12"/>
        <v>0</v>
      </c>
      <c r="L283" s="2">
        <f t="shared" si="13"/>
        <v>7</v>
      </c>
      <c r="M283" s="2">
        <f t="shared" si="14"/>
        <v>7</v>
      </c>
      <c r="N283" s="2">
        <v>0</v>
      </c>
      <c r="O283" s="2">
        <v>13</v>
      </c>
      <c r="P283" t="s">
        <v>210</v>
      </c>
      <c r="Q283" s="3" t="s">
        <v>546</v>
      </c>
      <c r="R283" s="3" t="s">
        <v>171</v>
      </c>
    </row>
    <row r="284" spans="1:18" ht="35" customHeight="1">
      <c r="A284" t="s">
        <v>547</v>
      </c>
      <c r="B284" s="3" t="s">
        <v>43</v>
      </c>
      <c r="C284">
        <v>0</v>
      </c>
      <c r="D284" s="2">
        <v>0</v>
      </c>
      <c r="E284" s="2">
        <v>0</v>
      </c>
      <c r="F284" s="2">
        <v>1</v>
      </c>
      <c r="G284" s="2">
        <v>1</v>
      </c>
      <c r="H284" s="2">
        <v>1</v>
      </c>
      <c r="I284" s="2">
        <v>1</v>
      </c>
      <c r="J284" s="2">
        <v>0</v>
      </c>
      <c r="K284" s="2">
        <f t="shared" si="12"/>
        <v>1</v>
      </c>
      <c r="L284" s="2">
        <f t="shared" si="13"/>
        <v>4</v>
      </c>
      <c r="M284" s="2">
        <f t="shared" si="14"/>
        <v>4</v>
      </c>
      <c r="N284" s="2">
        <v>4</v>
      </c>
      <c r="O284" s="2">
        <v>13</v>
      </c>
      <c r="P284" t="s">
        <v>210</v>
      </c>
      <c r="Q284" s="3" t="s">
        <v>142</v>
      </c>
      <c r="R284" s="3" t="s">
        <v>143</v>
      </c>
    </row>
    <row r="285" spans="1:18" ht="35" customHeight="1">
      <c r="A285" t="s">
        <v>548</v>
      </c>
      <c r="B285" s="3" t="s">
        <v>43</v>
      </c>
      <c r="C285">
        <v>0</v>
      </c>
      <c r="D285" s="2">
        <v>1</v>
      </c>
      <c r="E285" s="2">
        <v>1</v>
      </c>
      <c r="F285" s="2">
        <v>1</v>
      </c>
      <c r="G285" s="2">
        <v>2</v>
      </c>
      <c r="H285" s="2">
        <v>1</v>
      </c>
      <c r="I285" s="2">
        <v>1</v>
      </c>
      <c r="J285" s="2">
        <v>1</v>
      </c>
      <c r="K285" s="2">
        <f t="shared" si="12"/>
        <v>1</v>
      </c>
      <c r="L285" s="2">
        <f t="shared" si="13"/>
        <v>7</v>
      </c>
      <c r="M285" s="2">
        <f t="shared" si="14"/>
        <v>8</v>
      </c>
      <c r="N285" s="2">
        <v>8</v>
      </c>
      <c r="O285" s="2">
        <v>14</v>
      </c>
      <c r="P285" t="s">
        <v>26</v>
      </c>
      <c r="Q285" s="3" t="s">
        <v>119</v>
      </c>
      <c r="R285" s="3" t="s">
        <v>120</v>
      </c>
    </row>
    <row r="286" spans="1:18" ht="35" customHeight="1">
      <c r="A286" t="s">
        <v>549</v>
      </c>
      <c r="B286" s="3" t="s">
        <v>43</v>
      </c>
      <c r="C286">
        <v>0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f t="shared" si="12"/>
        <v>0</v>
      </c>
      <c r="L286" s="2">
        <f t="shared" si="13"/>
        <v>7</v>
      </c>
      <c r="M286" s="2">
        <f t="shared" si="14"/>
        <v>7</v>
      </c>
      <c r="N286" s="2">
        <v>7</v>
      </c>
      <c r="O286" s="2">
        <v>14</v>
      </c>
      <c r="P286" t="s">
        <v>26</v>
      </c>
      <c r="Q286" s="3" t="s">
        <v>122</v>
      </c>
      <c r="R286" s="3" t="s">
        <v>123</v>
      </c>
    </row>
    <row r="287" spans="1:18" ht="35" customHeight="1">
      <c r="A287" t="s">
        <v>550</v>
      </c>
      <c r="B287" s="3" t="s">
        <v>43</v>
      </c>
      <c r="C287">
        <v>0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f t="shared" si="12"/>
        <v>0</v>
      </c>
      <c r="L287" s="2">
        <f t="shared" si="13"/>
        <v>7</v>
      </c>
      <c r="M287" s="2">
        <f t="shared" si="14"/>
        <v>7</v>
      </c>
      <c r="N287" s="2">
        <v>7</v>
      </c>
      <c r="O287" s="2">
        <v>14</v>
      </c>
      <c r="P287" t="s">
        <v>26</v>
      </c>
      <c r="Q287" s="3" t="s">
        <v>122</v>
      </c>
      <c r="R287" s="3" t="s">
        <v>123</v>
      </c>
    </row>
    <row r="288" spans="1:18" ht="35" customHeight="1">
      <c r="A288" t="s">
        <v>551</v>
      </c>
      <c r="B288" s="3" t="s">
        <v>43</v>
      </c>
      <c r="C288">
        <v>0</v>
      </c>
      <c r="D288" s="2">
        <v>1</v>
      </c>
      <c r="E288" s="2">
        <v>2</v>
      </c>
      <c r="F288" s="2">
        <v>1</v>
      </c>
      <c r="G288" s="2">
        <v>1</v>
      </c>
      <c r="H288" s="2">
        <v>1</v>
      </c>
      <c r="I288" s="2">
        <v>1</v>
      </c>
      <c r="J288" s="2">
        <v>2</v>
      </c>
      <c r="K288" s="2">
        <f t="shared" si="12"/>
        <v>1</v>
      </c>
      <c r="L288" s="2">
        <f t="shared" si="13"/>
        <v>7</v>
      </c>
      <c r="M288" s="2">
        <f t="shared" si="14"/>
        <v>9</v>
      </c>
      <c r="N288" s="2">
        <v>9</v>
      </c>
      <c r="O288" s="2">
        <v>14</v>
      </c>
      <c r="P288" t="s">
        <v>26</v>
      </c>
      <c r="Q288" s="3" t="s">
        <v>113</v>
      </c>
      <c r="R288" s="3" t="s">
        <v>114</v>
      </c>
    </row>
    <row r="289" spans="1:18" ht="35" customHeight="1">
      <c r="A289" t="s">
        <v>552</v>
      </c>
      <c r="B289" s="3" t="s">
        <v>43</v>
      </c>
      <c r="C289">
        <v>0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f t="shared" si="12"/>
        <v>0</v>
      </c>
      <c r="L289" s="2">
        <f t="shared" si="13"/>
        <v>7</v>
      </c>
      <c r="M289" s="2">
        <f t="shared" si="14"/>
        <v>7</v>
      </c>
      <c r="N289" s="2">
        <v>7</v>
      </c>
      <c r="O289" s="2">
        <v>14</v>
      </c>
      <c r="P289" t="s">
        <v>26</v>
      </c>
      <c r="Q289" s="3" t="s">
        <v>122</v>
      </c>
      <c r="R289" s="3" t="s">
        <v>123</v>
      </c>
    </row>
    <row r="290" spans="1:18" ht="35" customHeight="1">
      <c r="A290" t="s">
        <v>553</v>
      </c>
      <c r="B290" s="3" t="s">
        <v>43</v>
      </c>
      <c r="C290">
        <v>0</v>
      </c>
      <c r="D290" s="2">
        <v>2</v>
      </c>
      <c r="E290" s="2">
        <v>2</v>
      </c>
      <c r="F290" s="2">
        <v>1</v>
      </c>
      <c r="G290" s="2">
        <v>2</v>
      </c>
      <c r="H290" s="2">
        <v>2</v>
      </c>
      <c r="I290" s="2">
        <v>2</v>
      </c>
      <c r="J290" s="2">
        <v>2</v>
      </c>
      <c r="K290" s="2">
        <f t="shared" si="12"/>
        <v>1</v>
      </c>
      <c r="L290" s="2">
        <f t="shared" si="13"/>
        <v>7</v>
      </c>
      <c r="M290" s="2">
        <f t="shared" si="14"/>
        <v>13</v>
      </c>
      <c r="N290" s="2">
        <v>13</v>
      </c>
      <c r="O290" s="2">
        <v>14</v>
      </c>
      <c r="P290" t="s">
        <v>26</v>
      </c>
      <c r="Q290" s="3" t="s">
        <v>53</v>
      </c>
      <c r="R290" s="3" t="s">
        <v>54</v>
      </c>
    </row>
    <row r="291" spans="1:18" ht="35" customHeight="1">
      <c r="A291" t="s">
        <v>554</v>
      </c>
      <c r="B291" s="3" t="s">
        <v>43</v>
      </c>
      <c r="C291">
        <v>0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f t="shared" si="12"/>
        <v>0</v>
      </c>
      <c r="L291" s="2">
        <f t="shared" si="13"/>
        <v>7</v>
      </c>
      <c r="M291" s="2">
        <f t="shared" si="14"/>
        <v>7</v>
      </c>
      <c r="N291" s="2">
        <v>7</v>
      </c>
      <c r="O291" s="2">
        <v>14</v>
      </c>
      <c r="P291" t="s">
        <v>26</v>
      </c>
      <c r="Q291" s="3" t="s">
        <v>122</v>
      </c>
      <c r="R291" s="3" t="s">
        <v>123</v>
      </c>
    </row>
    <row r="292" spans="1:18" ht="35" customHeight="1">
      <c r="A292" t="s">
        <v>555</v>
      </c>
      <c r="B292" s="3" t="s">
        <v>43</v>
      </c>
      <c r="C292">
        <v>0</v>
      </c>
      <c r="D292" s="2">
        <v>1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f t="shared" si="12"/>
        <v>0</v>
      </c>
      <c r="L292" s="2">
        <f t="shared" si="13"/>
        <v>7</v>
      </c>
      <c r="M292" s="2">
        <f t="shared" si="14"/>
        <v>7</v>
      </c>
      <c r="N292" s="2">
        <v>7</v>
      </c>
      <c r="O292" s="2">
        <v>14</v>
      </c>
      <c r="P292" t="s">
        <v>26</v>
      </c>
      <c r="Q292" s="3" t="s">
        <v>122</v>
      </c>
      <c r="R292" s="3" t="s">
        <v>123</v>
      </c>
    </row>
    <row r="293" spans="1:18" ht="35" customHeight="1">
      <c r="A293" t="s">
        <v>556</v>
      </c>
      <c r="B293" s="3" t="s">
        <v>43</v>
      </c>
      <c r="C293">
        <v>0</v>
      </c>
      <c r="D293" s="2">
        <v>1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f t="shared" si="12"/>
        <v>0</v>
      </c>
      <c r="L293" s="2">
        <f t="shared" si="13"/>
        <v>7</v>
      </c>
      <c r="M293" s="2">
        <f t="shared" si="14"/>
        <v>7</v>
      </c>
      <c r="N293" s="2">
        <v>7</v>
      </c>
      <c r="O293" s="2">
        <v>14</v>
      </c>
      <c r="P293" t="s">
        <v>26</v>
      </c>
      <c r="Q293" s="3" t="s">
        <v>122</v>
      </c>
      <c r="R293" s="3" t="s">
        <v>123</v>
      </c>
    </row>
    <row r="294" spans="1:18" ht="35" customHeight="1">
      <c r="A294" t="s">
        <v>557</v>
      </c>
      <c r="B294" s="3" t="s">
        <v>43</v>
      </c>
      <c r="C294">
        <v>0</v>
      </c>
      <c r="D294" s="2">
        <v>1</v>
      </c>
      <c r="E294" s="2">
        <v>1</v>
      </c>
      <c r="F294" s="2">
        <v>0</v>
      </c>
      <c r="G294" s="2">
        <v>1</v>
      </c>
      <c r="H294" s="2">
        <v>1</v>
      </c>
      <c r="I294" s="2">
        <v>1</v>
      </c>
      <c r="J294" s="2">
        <v>1</v>
      </c>
      <c r="K294" s="2">
        <f t="shared" si="12"/>
        <v>1</v>
      </c>
      <c r="L294" s="2">
        <f t="shared" si="13"/>
        <v>6</v>
      </c>
      <c r="M294" s="2">
        <f t="shared" si="14"/>
        <v>6</v>
      </c>
      <c r="N294" s="2">
        <v>6</v>
      </c>
      <c r="O294" s="2">
        <v>11</v>
      </c>
      <c r="P294" t="s">
        <v>558</v>
      </c>
      <c r="Q294" s="3" t="s">
        <v>173</v>
      </c>
      <c r="R294" s="3" t="s">
        <v>174</v>
      </c>
    </row>
    <row r="295" spans="1:18" ht="35" customHeight="1">
      <c r="A295" t="s">
        <v>559</v>
      </c>
      <c r="B295" s="3" t="s">
        <v>43</v>
      </c>
      <c r="C295">
        <v>0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f t="shared" si="12"/>
        <v>0</v>
      </c>
      <c r="L295" s="2">
        <f t="shared" si="13"/>
        <v>7</v>
      </c>
      <c r="M295" s="2">
        <f t="shared" si="14"/>
        <v>7</v>
      </c>
      <c r="N295" s="2">
        <v>7</v>
      </c>
      <c r="O295" s="2">
        <v>11</v>
      </c>
      <c r="P295" t="s">
        <v>433</v>
      </c>
      <c r="Q295" s="3" t="s">
        <v>122</v>
      </c>
      <c r="R295" s="3" t="s">
        <v>123</v>
      </c>
    </row>
    <row r="296" spans="1:18" ht="35" customHeight="1">
      <c r="A296" t="s">
        <v>560</v>
      </c>
      <c r="B296" s="3" t="s">
        <v>561</v>
      </c>
      <c r="C296">
        <v>1</v>
      </c>
      <c r="D296" s="2">
        <v>1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f t="shared" si="12"/>
        <v>0</v>
      </c>
      <c r="L296" s="2">
        <f t="shared" si="13"/>
        <v>7</v>
      </c>
      <c r="M296" s="2">
        <f t="shared" si="14"/>
        <v>7</v>
      </c>
      <c r="N296" s="2">
        <v>6</v>
      </c>
      <c r="O296" s="2">
        <v>12</v>
      </c>
      <c r="P296" t="s">
        <v>186</v>
      </c>
      <c r="Q296" s="3" t="s">
        <v>562</v>
      </c>
      <c r="R296" s="3" t="s">
        <v>563</v>
      </c>
    </row>
    <row r="297" spans="1:18" ht="35" customHeight="1">
      <c r="A297" t="s">
        <v>564</v>
      </c>
      <c r="B297" s="3" t="s">
        <v>43</v>
      </c>
      <c r="C297">
        <v>0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f t="shared" si="12"/>
        <v>0</v>
      </c>
      <c r="L297" s="2">
        <f t="shared" si="13"/>
        <v>7</v>
      </c>
      <c r="M297" s="2">
        <f t="shared" si="14"/>
        <v>7</v>
      </c>
      <c r="N297" s="2">
        <v>7</v>
      </c>
      <c r="O297" s="2">
        <v>14</v>
      </c>
      <c r="P297" t="s">
        <v>26</v>
      </c>
      <c r="Q297" s="3" t="s">
        <v>122</v>
      </c>
      <c r="R297" s="3" t="s">
        <v>123</v>
      </c>
    </row>
    <row r="298" spans="1:18" ht="35" customHeight="1">
      <c r="A298" t="s">
        <v>565</v>
      </c>
      <c r="B298" s="3" t="s">
        <v>43</v>
      </c>
      <c r="C298">
        <v>0</v>
      </c>
      <c r="D298" s="2">
        <v>1</v>
      </c>
      <c r="E298" s="2">
        <v>1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f t="shared" si="12"/>
        <v>0</v>
      </c>
      <c r="L298" s="2">
        <f t="shared" si="13"/>
        <v>7</v>
      </c>
      <c r="M298" s="2">
        <f t="shared" si="14"/>
        <v>7</v>
      </c>
      <c r="N298" s="2">
        <v>7</v>
      </c>
      <c r="O298" s="2">
        <v>12</v>
      </c>
      <c r="P298" t="s">
        <v>186</v>
      </c>
      <c r="Q298" s="3" t="s">
        <v>122</v>
      </c>
      <c r="R298" s="3" t="s">
        <v>123</v>
      </c>
    </row>
    <row r="299" spans="1:18" ht="35" customHeight="1">
      <c r="A299" t="s">
        <v>566</v>
      </c>
      <c r="B299" s="3" t="s">
        <v>43</v>
      </c>
      <c r="C299">
        <v>0</v>
      </c>
      <c r="D299" s="2">
        <v>1</v>
      </c>
      <c r="E299" s="2">
        <v>1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f t="shared" si="12"/>
        <v>0</v>
      </c>
      <c r="L299" s="2">
        <f t="shared" si="13"/>
        <v>7</v>
      </c>
      <c r="M299" s="2">
        <f t="shared" si="14"/>
        <v>7</v>
      </c>
      <c r="N299" s="2">
        <v>7</v>
      </c>
      <c r="O299" s="2">
        <v>14</v>
      </c>
      <c r="P299" t="s">
        <v>26</v>
      </c>
      <c r="Q299" s="3" t="s">
        <v>122</v>
      </c>
      <c r="R299" s="3" t="s">
        <v>123</v>
      </c>
    </row>
    <row r="300" spans="1:18" ht="35" customHeight="1">
      <c r="A300" t="s">
        <v>567</v>
      </c>
      <c r="B300" s="3" t="s">
        <v>43</v>
      </c>
      <c r="C300">
        <v>0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2">
        <v>0</v>
      </c>
      <c r="K300" s="2">
        <f t="shared" si="12"/>
        <v>1</v>
      </c>
      <c r="L300" s="2">
        <f t="shared" si="13"/>
        <v>6</v>
      </c>
      <c r="M300" s="2">
        <f t="shared" si="14"/>
        <v>6</v>
      </c>
      <c r="N300" s="2">
        <v>6</v>
      </c>
      <c r="O300" s="2">
        <v>13</v>
      </c>
      <c r="P300" t="s">
        <v>128</v>
      </c>
      <c r="Q300" s="3" t="s">
        <v>173</v>
      </c>
      <c r="R300" s="3" t="s">
        <v>174</v>
      </c>
    </row>
    <row r="301" spans="1:18" ht="35" customHeight="1">
      <c r="A301" t="s">
        <v>568</v>
      </c>
      <c r="B301" s="3" t="s">
        <v>569</v>
      </c>
      <c r="C301">
        <v>2</v>
      </c>
      <c r="D301" s="2">
        <v>0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2">
        <v>0</v>
      </c>
      <c r="K301" s="2">
        <f t="shared" si="12"/>
        <v>1</v>
      </c>
      <c r="L301" s="2">
        <f t="shared" si="13"/>
        <v>2</v>
      </c>
      <c r="M301" s="2">
        <f t="shared" si="14"/>
        <v>2</v>
      </c>
      <c r="N301" s="2">
        <v>0</v>
      </c>
      <c r="O301" s="2">
        <v>14</v>
      </c>
      <c r="P301" t="s">
        <v>26</v>
      </c>
      <c r="Q301" s="3" t="s">
        <v>569</v>
      </c>
      <c r="R301" s="3" t="s">
        <v>570</v>
      </c>
    </row>
    <row r="302" spans="1:18" ht="35" customHeight="1">
      <c r="A302" t="s">
        <v>112</v>
      </c>
      <c r="B302" s="3" t="s">
        <v>43</v>
      </c>
      <c r="C302">
        <v>0</v>
      </c>
      <c r="D302" s="2">
        <v>1</v>
      </c>
      <c r="E302" s="2">
        <v>1</v>
      </c>
      <c r="F302" s="2">
        <v>1</v>
      </c>
      <c r="G302" s="2">
        <v>1</v>
      </c>
      <c r="H302" s="2">
        <v>1</v>
      </c>
      <c r="I302" s="2">
        <v>3</v>
      </c>
      <c r="J302" s="2">
        <v>1</v>
      </c>
      <c r="K302" s="2">
        <f t="shared" si="12"/>
        <v>2</v>
      </c>
      <c r="L302" s="2">
        <f t="shared" si="13"/>
        <v>7</v>
      </c>
      <c r="M302" s="2">
        <f t="shared" si="14"/>
        <v>9</v>
      </c>
      <c r="N302" s="2">
        <v>9</v>
      </c>
      <c r="O302" s="2">
        <v>14</v>
      </c>
      <c r="P302" t="s">
        <v>26</v>
      </c>
      <c r="Q302" s="3" t="s">
        <v>113</v>
      </c>
      <c r="R302" s="3" t="s">
        <v>114</v>
      </c>
    </row>
    <row r="303" spans="1:18" ht="35" customHeight="1">
      <c r="A303" t="s">
        <v>571</v>
      </c>
      <c r="B303" s="3" t="s">
        <v>43</v>
      </c>
      <c r="C303">
        <v>0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f t="shared" si="12"/>
        <v>0</v>
      </c>
      <c r="L303" s="2">
        <f t="shared" si="13"/>
        <v>7</v>
      </c>
      <c r="M303" s="2">
        <f t="shared" si="14"/>
        <v>7</v>
      </c>
      <c r="N303" s="2">
        <v>7</v>
      </c>
      <c r="O303" s="2">
        <v>14</v>
      </c>
      <c r="P303" t="s">
        <v>26</v>
      </c>
      <c r="Q303" s="3" t="s">
        <v>122</v>
      </c>
      <c r="R303" s="3" t="s">
        <v>123</v>
      </c>
    </row>
    <row r="304" spans="1:18" ht="35" customHeight="1">
      <c r="A304" t="s">
        <v>572</v>
      </c>
      <c r="B304" s="3" t="s">
        <v>43</v>
      </c>
      <c r="C304">
        <v>0</v>
      </c>
      <c r="D304" s="2">
        <v>1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f t="shared" si="12"/>
        <v>0</v>
      </c>
      <c r="L304" s="2">
        <f t="shared" si="13"/>
        <v>7</v>
      </c>
      <c r="M304" s="2">
        <f t="shared" si="14"/>
        <v>7</v>
      </c>
      <c r="N304" s="2">
        <v>7</v>
      </c>
      <c r="O304" s="2">
        <v>14</v>
      </c>
      <c r="P304" t="s">
        <v>26</v>
      </c>
      <c r="Q304" s="3" t="s">
        <v>122</v>
      </c>
      <c r="R304" s="3" t="s">
        <v>123</v>
      </c>
    </row>
    <row r="305" spans="1:18" ht="35" customHeight="1">
      <c r="A305" t="s">
        <v>573</v>
      </c>
      <c r="B305" s="3" t="s">
        <v>43</v>
      </c>
      <c r="C305">
        <v>0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f t="shared" si="12"/>
        <v>0</v>
      </c>
      <c r="L305" s="2">
        <f t="shared" si="13"/>
        <v>7</v>
      </c>
      <c r="M305" s="2">
        <f t="shared" si="14"/>
        <v>7</v>
      </c>
      <c r="N305" s="2">
        <v>7</v>
      </c>
      <c r="O305" s="2">
        <v>14</v>
      </c>
      <c r="P305" t="s">
        <v>26</v>
      </c>
      <c r="Q305" s="3" t="s">
        <v>122</v>
      </c>
      <c r="R305" s="3" t="s">
        <v>123</v>
      </c>
    </row>
    <row r="306" spans="1:18" ht="35" customHeight="1">
      <c r="A306" t="s">
        <v>574</v>
      </c>
      <c r="B306" s="3" t="s">
        <v>575</v>
      </c>
      <c r="C306">
        <v>7</v>
      </c>
      <c r="D306" s="2">
        <v>1</v>
      </c>
      <c r="E306" s="2">
        <v>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f t="shared" si="12"/>
        <v>0</v>
      </c>
      <c r="L306" s="2">
        <f t="shared" si="13"/>
        <v>7</v>
      </c>
      <c r="M306" s="2">
        <f t="shared" si="14"/>
        <v>7</v>
      </c>
      <c r="N306" s="2">
        <v>0</v>
      </c>
      <c r="O306" s="2">
        <v>14</v>
      </c>
      <c r="P306" t="s">
        <v>26</v>
      </c>
      <c r="Q306" s="3" t="s">
        <v>575</v>
      </c>
      <c r="R306" s="3" t="s">
        <v>171</v>
      </c>
    </row>
    <row r="307" spans="1:18" ht="35" customHeight="1">
      <c r="A307" t="s">
        <v>576</v>
      </c>
      <c r="B307" s="3" t="s">
        <v>43</v>
      </c>
      <c r="C307">
        <v>0</v>
      </c>
      <c r="D307" s="2">
        <v>0</v>
      </c>
      <c r="E307" s="2">
        <v>0</v>
      </c>
      <c r="F307" s="2">
        <v>1</v>
      </c>
      <c r="G307" s="2">
        <v>1</v>
      </c>
      <c r="H307" s="2">
        <v>1</v>
      </c>
      <c r="I307" s="2">
        <v>0</v>
      </c>
      <c r="J307" s="2">
        <v>1</v>
      </c>
      <c r="K307" s="2">
        <f t="shared" si="12"/>
        <v>1</v>
      </c>
      <c r="L307" s="2">
        <f t="shared" si="13"/>
        <v>4</v>
      </c>
      <c r="M307" s="2">
        <f t="shared" si="14"/>
        <v>4</v>
      </c>
      <c r="N307" s="2">
        <v>4</v>
      </c>
      <c r="O307" s="2">
        <v>14</v>
      </c>
      <c r="P307" t="s">
        <v>26</v>
      </c>
      <c r="Q307" s="3" t="s">
        <v>142</v>
      </c>
      <c r="R307" s="3" t="s">
        <v>143</v>
      </c>
    </row>
    <row r="308" spans="1:18" ht="35" customHeight="1">
      <c r="A308" t="s">
        <v>577</v>
      </c>
      <c r="B308" s="3" t="s">
        <v>43</v>
      </c>
      <c r="C308">
        <v>0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f t="shared" si="12"/>
        <v>0</v>
      </c>
      <c r="L308" s="2">
        <f t="shared" si="13"/>
        <v>7</v>
      </c>
      <c r="M308" s="2">
        <f t="shared" si="14"/>
        <v>7</v>
      </c>
      <c r="N308" s="2">
        <v>7</v>
      </c>
      <c r="O308" s="2">
        <v>12</v>
      </c>
      <c r="P308" t="s">
        <v>578</v>
      </c>
      <c r="Q308" s="3" t="s">
        <v>122</v>
      </c>
      <c r="R308" s="3" t="s">
        <v>123</v>
      </c>
    </row>
    <row r="309" spans="1:18" ht="35" customHeight="1">
      <c r="A309" t="s">
        <v>579</v>
      </c>
      <c r="B309" s="3" t="s">
        <v>580</v>
      </c>
      <c r="C309">
        <v>8</v>
      </c>
      <c r="D309" s="2">
        <v>1</v>
      </c>
      <c r="E309" s="2">
        <v>1</v>
      </c>
      <c r="F309" s="2">
        <v>1</v>
      </c>
      <c r="G309" s="2">
        <v>1</v>
      </c>
      <c r="H309" s="2">
        <v>2</v>
      </c>
      <c r="I309" s="2">
        <v>1</v>
      </c>
      <c r="J309" s="2">
        <v>1</v>
      </c>
      <c r="K309" s="2">
        <f t="shared" si="12"/>
        <v>1</v>
      </c>
      <c r="L309" s="2">
        <f t="shared" si="13"/>
        <v>7</v>
      </c>
      <c r="M309" s="2">
        <f t="shared" si="14"/>
        <v>8</v>
      </c>
      <c r="N309" s="2">
        <v>0</v>
      </c>
      <c r="O309" s="2">
        <v>14</v>
      </c>
      <c r="P309" t="s">
        <v>26</v>
      </c>
      <c r="Q309" s="3" t="s">
        <v>580</v>
      </c>
      <c r="R309" s="3" t="s">
        <v>581</v>
      </c>
    </row>
    <row r="310" spans="1:18" ht="35" customHeight="1">
      <c r="A310" t="s">
        <v>582</v>
      </c>
      <c r="B310" s="3" t="s">
        <v>43</v>
      </c>
      <c r="C310">
        <v>0</v>
      </c>
      <c r="D310" s="2">
        <v>1</v>
      </c>
      <c r="E310" s="2">
        <v>1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f t="shared" si="12"/>
        <v>0</v>
      </c>
      <c r="L310" s="2">
        <f t="shared" si="13"/>
        <v>7</v>
      </c>
      <c r="M310" s="2">
        <f t="shared" si="14"/>
        <v>7</v>
      </c>
      <c r="N310" s="2">
        <v>7</v>
      </c>
      <c r="O310" s="2">
        <v>12</v>
      </c>
      <c r="P310" t="s">
        <v>365</v>
      </c>
      <c r="Q310" s="3" t="s">
        <v>122</v>
      </c>
      <c r="R310" s="3" t="s">
        <v>123</v>
      </c>
    </row>
    <row r="311" spans="1:18" ht="35" customHeight="1">
      <c r="A311" t="s">
        <v>583</v>
      </c>
      <c r="B311" s="3" t="s">
        <v>279</v>
      </c>
      <c r="C311">
        <v>7</v>
      </c>
      <c r="D311" s="2">
        <v>1</v>
      </c>
      <c r="E311" s="2">
        <v>1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f t="shared" si="12"/>
        <v>0</v>
      </c>
      <c r="L311" s="2">
        <f t="shared" si="13"/>
        <v>7</v>
      </c>
      <c r="M311" s="2">
        <f t="shared" si="14"/>
        <v>7</v>
      </c>
      <c r="N311" s="2">
        <v>0</v>
      </c>
      <c r="O311" s="2">
        <v>14</v>
      </c>
      <c r="P311" t="s">
        <v>26</v>
      </c>
      <c r="Q311" s="3" t="s">
        <v>279</v>
      </c>
      <c r="R311" s="3" t="s">
        <v>280</v>
      </c>
    </row>
    <row r="312" spans="1:18" ht="35" customHeight="1">
      <c r="A312" t="s">
        <v>584</v>
      </c>
      <c r="B312" s="3" t="s">
        <v>43</v>
      </c>
      <c r="C312">
        <v>0</v>
      </c>
      <c r="D312" s="2">
        <v>1</v>
      </c>
      <c r="E312" s="2">
        <v>1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f t="shared" si="12"/>
        <v>0</v>
      </c>
      <c r="L312" s="2">
        <f t="shared" si="13"/>
        <v>7</v>
      </c>
      <c r="M312" s="2">
        <f t="shared" si="14"/>
        <v>7</v>
      </c>
      <c r="N312" s="2">
        <v>7</v>
      </c>
      <c r="O312" s="2">
        <v>12</v>
      </c>
      <c r="P312" t="s">
        <v>186</v>
      </c>
      <c r="Q312" s="3" t="s">
        <v>122</v>
      </c>
      <c r="R312" s="3" t="s">
        <v>123</v>
      </c>
    </row>
    <row r="313" spans="1:18" ht="35" customHeight="1">
      <c r="A313" t="s">
        <v>585</v>
      </c>
      <c r="B313" s="3" t="s">
        <v>43</v>
      </c>
      <c r="C313">
        <v>0</v>
      </c>
      <c r="D313" s="2">
        <v>1</v>
      </c>
      <c r="E313" s="2">
        <v>1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f t="shared" si="12"/>
        <v>0</v>
      </c>
      <c r="L313" s="2">
        <f t="shared" si="13"/>
        <v>7</v>
      </c>
      <c r="M313" s="2">
        <f t="shared" si="14"/>
        <v>7</v>
      </c>
      <c r="N313" s="2">
        <v>7</v>
      </c>
      <c r="O313" s="2">
        <v>13</v>
      </c>
      <c r="P313" t="s">
        <v>128</v>
      </c>
      <c r="Q313" s="3" t="s">
        <v>122</v>
      </c>
      <c r="R313" s="3" t="s">
        <v>123</v>
      </c>
    </row>
    <row r="314" spans="1:18" ht="35" customHeight="1">
      <c r="A314" t="s">
        <v>586</v>
      </c>
      <c r="B314" s="3" t="s">
        <v>43</v>
      </c>
      <c r="C314">
        <v>0</v>
      </c>
      <c r="D314" s="2">
        <v>1</v>
      </c>
      <c r="E314" s="2">
        <v>1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f t="shared" si="12"/>
        <v>0</v>
      </c>
      <c r="L314" s="2">
        <f t="shared" si="13"/>
        <v>7</v>
      </c>
      <c r="M314" s="2">
        <f t="shared" si="14"/>
        <v>7</v>
      </c>
      <c r="N314" s="2">
        <v>7</v>
      </c>
      <c r="O314" s="2">
        <v>13</v>
      </c>
      <c r="P314" t="s">
        <v>310</v>
      </c>
      <c r="Q314" s="3" t="s">
        <v>122</v>
      </c>
      <c r="R314" s="3" t="s">
        <v>123</v>
      </c>
    </row>
    <row r="315" spans="1:18" ht="35" customHeight="1">
      <c r="A315" t="s">
        <v>587</v>
      </c>
      <c r="B315" s="3" t="s">
        <v>43</v>
      </c>
      <c r="C315">
        <v>0</v>
      </c>
      <c r="D315" s="2">
        <v>1</v>
      </c>
      <c r="E315" s="2">
        <v>1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f t="shared" si="12"/>
        <v>0</v>
      </c>
      <c r="L315" s="2">
        <f t="shared" si="13"/>
        <v>7</v>
      </c>
      <c r="M315" s="2">
        <f t="shared" si="14"/>
        <v>7</v>
      </c>
      <c r="N315" s="2">
        <v>7</v>
      </c>
      <c r="O315" s="2">
        <v>14</v>
      </c>
      <c r="P315" t="s">
        <v>26</v>
      </c>
      <c r="Q315" s="3" t="s">
        <v>122</v>
      </c>
      <c r="R315" s="3" t="s">
        <v>123</v>
      </c>
    </row>
    <row r="316" spans="1:18" ht="35" customHeight="1">
      <c r="A316" t="s">
        <v>588</v>
      </c>
      <c r="B316" s="3" t="s">
        <v>43</v>
      </c>
      <c r="C316">
        <v>0</v>
      </c>
      <c r="D316" s="2">
        <v>1</v>
      </c>
      <c r="E316" s="2">
        <v>1</v>
      </c>
      <c r="F316" s="2">
        <v>0</v>
      </c>
      <c r="G316" s="2">
        <v>0</v>
      </c>
      <c r="H316" s="2">
        <v>0</v>
      </c>
      <c r="I316" s="2">
        <v>1</v>
      </c>
      <c r="J316" s="2">
        <v>1</v>
      </c>
      <c r="K316" s="2">
        <f t="shared" si="12"/>
        <v>1</v>
      </c>
      <c r="L316" s="2">
        <f t="shared" si="13"/>
        <v>4</v>
      </c>
      <c r="M316" s="2">
        <f t="shared" si="14"/>
        <v>4</v>
      </c>
      <c r="N316" s="2">
        <v>4</v>
      </c>
      <c r="O316" s="2">
        <v>14</v>
      </c>
      <c r="P316" t="s">
        <v>26</v>
      </c>
      <c r="Q316" s="3" t="s">
        <v>142</v>
      </c>
      <c r="R316" s="3" t="s">
        <v>143</v>
      </c>
    </row>
    <row r="317" spans="1:18" ht="35" customHeight="1">
      <c r="A317" t="s">
        <v>589</v>
      </c>
      <c r="B317" s="3" t="s">
        <v>590</v>
      </c>
      <c r="C317">
        <v>14</v>
      </c>
      <c r="D317" s="2">
        <v>2</v>
      </c>
      <c r="E317" s="2">
        <v>2</v>
      </c>
      <c r="F317" s="2">
        <v>2</v>
      </c>
      <c r="G317" s="2">
        <v>2</v>
      </c>
      <c r="H317" s="2">
        <v>2</v>
      </c>
      <c r="I317" s="2">
        <v>2</v>
      </c>
      <c r="J317" s="2">
        <v>2</v>
      </c>
      <c r="K317" s="2">
        <f t="shared" si="12"/>
        <v>0</v>
      </c>
      <c r="L317" s="2">
        <f t="shared" si="13"/>
        <v>7</v>
      </c>
      <c r="M317" s="2">
        <f t="shared" si="14"/>
        <v>14</v>
      </c>
      <c r="N317" s="2">
        <v>0</v>
      </c>
      <c r="O317" s="2">
        <v>14</v>
      </c>
      <c r="P317" t="s">
        <v>26</v>
      </c>
      <c r="Q317" s="3" t="s">
        <v>590</v>
      </c>
      <c r="R317" s="3" t="s">
        <v>179</v>
      </c>
    </row>
    <row r="318" spans="1:18" ht="35" customHeight="1">
      <c r="A318" t="s">
        <v>591</v>
      </c>
      <c r="B318" s="3" t="s">
        <v>43</v>
      </c>
      <c r="C318">
        <v>0</v>
      </c>
      <c r="D318" s="2">
        <v>1</v>
      </c>
      <c r="E318" s="2">
        <v>0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f t="shared" si="12"/>
        <v>1</v>
      </c>
      <c r="L318" s="2">
        <f t="shared" si="13"/>
        <v>6</v>
      </c>
      <c r="M318" s="2">
        <f t="shared" si="14"/>
        <v>6</v>
      </c>
      <c r="N318" s="2">
        <v>6</v>
      </c>
      <c r="O318" s="2">
        <v>13</v>
      </c>
      <c r="P318" t="s">
        <v>128</v>
      </c>
      <c r="Q318" s="3" t="s">
        <v>173</v>
      </c>
      <c r="R318" s="3" t="s">
        <v>174</v>
      </c>
    </row>
    <row r="319" spans="1:18" ht="35" customHeight="1">
      <c r="A319" t="s">
        <v>592</v>
      </c>
      <c r="B319" s="3" t="s">
        <v>43</v>
      </c>
      <c r="C319">
        <v>0</v>
      </c>
      <c r="D319" s="2">
        <v>1</v>
      </c>
      <c r="E319" s="2">
        <v>1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f t="shared" si="12"/>
        <v>0</v>
      </c>
      <c r="L319" s="2">
        <f t="shared" si="13"/>
        <v>7</v>
      </c>
      <c r="M319" s="2">
        <f t="shared" si="14"/>
        <v>7</v>
      </c>
      <c r="N319" s="2">
        <v>7</v>
      </c>
      <c r="O319" s="2">
        <v>13</v>
      </c>
      <c r="P319" t="s">
        <v>128</v>
      </c>
      <c r="Q319" s="3" t="s">
        <v>122</v>
      </c>
      <c r="R319" s="3" t="s">
        <v>123</v>
      </c>
    </row>
    <row r="320" spans="1:18" ht="35" customHeight="1">
      <c r="A320" t="s">
        <v>131</v>
      </c>
      <c r="B320" s="3" t="s">
        <v>43</v>
      </c>
      <c r="C320">
        <v>0</v>
      </c>
      <c r="D320" s="2">
        <v>1</v>
      </c>
      <c r="E320" s="2">
        <v>1</v>
      </c>
      <c r="F320" s="2">
        <v>0</v>
      </c>
      <c r="G320" s="2">
        <v>1</v>
      </c>
      <c r="H320" s="2">
        <v>1</v>
      </c>
      <c r="I320" s="2">
        <v>1</v>
      </c>
      <c r="J320" s="2">
        <v>2</v>
      </c>
      <c r="K320" s="2">
        <f t="shared" si="12"/>
        <v>2</v>
      </c>
      <c r="L320" s="2">
        <f t="shared" si="13"/>
        <v>6</v>
      </c>
      <c r="M320" s="2">
        <f t="shared" si="14"/>
        <v>7</v>
      </c>
      <c r="N320" s="2">
        <v>7</v>
      </c>
      <c r="O320" s="2">
        <v>12</v>
      </c>
      <c r="P320" t="s">
        <v>77</v>
      </c>
      <c r="Q320" s="3" t="s">
        <v>122</v>
      </c>
      <c r="R320" s="3" t="s">
        <v>123</v>
      </c>
    </row>
    <row r="321" spans="1:18" ht="35" customHeight="1">
      <c r="A321" t="s">
        <v>593</v>
      </c>
      <c r="B321" s="3" t="s">
        <v>43</v>
      </c>
      <c r="C321">
        <v>0</v>
      </c>
      <c r="D321" s="2">
        <v>1</v>
      </c>
      <c r="E321" s="2">
        <v>1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f t="shared" si="12"/>
        <v>0</v>
      </c>
      <c r="L321" s="2">
        <f t="shared" si="13"/>
        <v>7</v>
      </c>
      <c r="M321" s="2">
        <f t="shared" si="14"/>
        <v>7</v>
      </c>
      <c r="N321" s="2">
        <v>7</v>
      </c>
      <c r="O321" s="2">
        <v>11</v>
      </c>
      <c r="P321" t="s">
        <v>420</v>
      </c>
      <c r="Q321" s="3" t="s">
        <v>122</v>
      </c>
      <c r="R321" s="3" t="s">
        <v>123</v>
      </c>
    </row>
    <row r="322" spans="1:18" ht="35" customHeight="1">
      <c r="A322" t="s">
        <v>51</v>
      </c>
      <c r="B322" s="3" t="s">
        <v>43</v>
      </c>
      <c r="C322">
        <v>0</v>
      </c>
      <c r="D322" s="2">
        <v>3</v>
      </c>
      <c r="E322" s="2">
        <v>0</v>
      </c>
      <c r="F322" s="2">
        <v>0</v>
      </c>
      <c r="G322" s="2">
        <v>3</v>
      </c>
      <c r="H322" s="2">
        <v>2</v>
      </c>
      <c r="I322" s="2">
        <v>2</v>
      </c>
      <c r="J322" s="2">
        <v>3</v>
      </c>
      <c r="K322" s="2">
        <f t="shared" si="12"/>
        <v>3</v>
      </c>
      <c r="L322" s="2">
        <f t="shared" si="13"/>
        <v>5</v>
      </c>
      <c r="M322" s="2">
        <f t="shared" si="14"/>
        <v>13</v>
      </c>
      <c r="N322" s="2">
        <v>13</v>
      </c>
      <c r="O322" s="2">
        <v>12</v>
      </c>
      <c r="P322" t="s">
        <v>52</v>
      </c>
      <c r="Q322" s="3" t="s">
        <v>53</v>
      </c>
      <c r="R322" s="3" t="s">
        <v>54</v>
      </c>
    </row>
    <row r="323" spans="1:18" ht="35" customHeight="1">
      <c r="A323" t="s">
        <v>594</v>
      </c>
      <c r="B323" s="3" t="s">
        <v>43</v>
      </c>
      <c r="C323">
        <v>0</v>
      </c>
      <c r="D323" s="2">
        <v>1</v>
      </c>
      <c r="E323" s="2">
        <v>1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f t="shared" ref="K323:K386" si="15">MAX(D323:J323)-MIN(D323:J323)</f>
        <v>0</v>
      </c>
      <c r="L323" s="2">
        <f t="shared" ref="L323:L386" si="16">COUNTIF(D323:J323,"&gt;0")</f>
        <v>7</v>
      </c>
      <c r="M323" s="2">
        <f t="shared" ref="M323:M386" si="17">SUM(D323:J323)</f>
        <v>7</v>
      </c>
      <c r="N323" s="2">
        <v>7</v>
      </c>
      <c r="O323" s="2">
        <v>13</v>
      </c>
      <c r="P323" t="s">
        <v>210</v>
      </c>
      <c r="Q323" s="3" t="s">
        <v>122</v>
      </c>
      <c r="R323" s="3" t="s">
        <v>123</v>
      </c>
    </row>
    <row r="324" spans="1:18" ht="35" customHeight="1">
      <c r="A324" t="s">
        <v>595</v>
      </c>
      <c r="B324" s="3" t="s">
        <v>43</v>
      </c>
      <c r="C324">
        <v>0</v>
      </c>
      <c r="D324" s="2">
        <v>1</v>
      </c>
      <c r="E324" s="2">
        <v>1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f t="shared" si="15"/>
        <v>0</v>
      </c>
      <c r="L324" s="2">
        <f t="shared" si="16"/>
        <v>7</v>
      </c>
      <c r="M324" s="2">
        <f t="shared" si="17"/>
        <v>7</v>
      </c>
      <c r="N324" s="2">
        <v>7</v>
      </c>
      <c r="O324" s="2">
        <v>14</v>
      </c>
      <c r="P324" t="s">
        <v>26</v>
      </c>
      <c r="Q324" s="3" t="s">
        <v>122</v>
      </c>
      <c r="R324" s="3" t="s">
        <v>123</v>
      </c>
    </row>
    <row r="325" spans="1:18" ht="35" customHeight="1">
      <c r="A325" t="s">
        <v>596</v>
      </c>
      <c r="B325" s="3" t="s">
        <v>43</v>
      </c>
      <c r="C325">
        <v>0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f t="shared" si="15"/>
        <v>0</v>
      </c>
      <c r="L325" s="2">
        <f t="shared" si="16"/>
        <v>7</v>
      </c>
      <c r="M325" s="2">
        <f t="shared" si="17"/>
        <v>7</v>
      </c>
      <c r="N325" s="2">
        <v>7</v>
      </c>
      <c r="O325" s="2">
        <v>13</v>
      </c>
      <c r="P325" t="s">
        <v>128</v>
      </c>
      <c r="Q325" s="3" t="s">
        <v>122</v>
      </c>
      <c r="R325" s="3" t="s">
        <v>123</v>
      </c>
    </row>
    <row r="326" spans="1:18" ht="35" customHeight="1">
      <c r="A326" t="s">
        <v>597</v>
      </c>
      <c r="B326" s="3" t="s">
        <v>43</v>
      </c>
      <c r="C326">
        <v>0</v>
      </c>
      <c r="D326" s="2">
        <v>0</v>
      </c>
      <c r="E326" s="2">
        <v>0</v>
      </c>
      <c r="F326" s="2">
        <v>1</v>
      </c>
      <c r="G326" s="2">
        <v>0</v>
      </c>
      <c r="H326" s="2">
        <v>1</v>
      </c>
      <c r="I326" s="2">
        <v>0</v>
      </c>
      <c r="J326" s="2">
        <v>0</v>
      </c>
      <c r="K326" s="2">
        <f t="shared" si="15"/>
        <v>1</v>
      </c>
      <c r="L326" s="2">
        <f t="shared" si="16"/>
        <v>2</v>
      </c>
      <c r="M326" s="2">
        <f t="shared" si="17"/>
        <v>2</v>
      </c>
      <c r="N326" s="2">
        <v>2</v>
      </c>
      <c r="O326" s="2">
        <v>10</v>
      </c>
      <c r="P326" t="s">
        <v>598</v>
      </c>
      <c r="Q326" s="3" t="s">
        <v>152</v>
      </c>
      <c r="R326" s="3" t="s">
        <v>153</v>
      </c>
    </row>
    <row r="327" spans="1:18" ht="35" customHeight="1">
      <c r="A327" t="s">
        <v>599</v>
      </c>
      <c r="B327" s="3" t="s">
        <v>43</v>
      </c>
      <c r="C327">
        <v>0</v>
      </c>
      <c r="D327" s="2">
        <v>3</v>
      </c>
      <c r="E327" s="2">
        <v>3</v>
      </c>
      <c r="F327" s="2">
        <v>3</v>
      </c>
      <c r="G327" s="2">
        <v>3</v>
      </c>
      <c r="H327" s="2">
        <v>3</v>
      </c>
      <c r="I327" s="2">
        <v>3</v>
      </c>
      <c r="J327" s="2">
        <v>3</v>
      </c>
      <c r="K327" s="2">
        <f t="shared" si="15"/>
        <v>0</v>
      </c>
      <c r="L327" s="2">
        <f t="shared" si="16"/>
        <v>7</v>
      </c>
      <c r="M327" s="2">
        <f t="shared" si="17"/>
        <v>21</v>
      </c>
      <c r="N327" s="2">
        <v>21</v>
      </c>
      <c r="O327" s="2">
        <v>3</v>
      </c>
      <c r="P327" t="s">
        <v>600</v>
      </c>
      <c r="Q327" s="3" t="s">
        <v>238</v>
      </c>
      <c r="R327" s="3" t="s">
        <v>239</v>
      </c>
    </row>
    <row r="328" spans="1:18" ht="35" customHeight="1">
      <c r="A328" t="s">
        <v>601</v>
      </c>
      <c r="B328" s="3" t="s">
        <v>43</v>
      </c>
      <c r="C328">
        <v>0</v>
      </c>
      <c r="D328" s="2">
        <v>1</v>
      </c>
      <c r="E328" s="2">
        <v>1</v>
      </c>
      <c r="F328" s="2">
        <v>0</v>
      </c>
      <c r="G328" s="2">
        <v>1</v>
      </c>
      <c r="H328" s="2">
        <v>1</v>
      </c>
      <c r="I328" s="2">
        <v>1</v>
      </c>
      <c r="J328" s="2">
        <v>1</v>
      </c>
      <c r="K328" s="2">
        <f t="shared" si="15"/>
        <v>1</v>
      </c>
      <c r="L328" s="2">
        <f t="shared" si="16"/>
        <v>6</v>
      </c>
      <c r="M328" s="2">
        <f t="shared" si="17"/>
        <v>6</v>
      </c>
      <c r="N328" s="2">
        <v>6</v>
      </c>
      <c r="O328" s="2">
        <v>3</v>
      </c>
      <c r="P328" t="s">
        <v>602</v>
      </c>
      <c r="Q328" s="3" t="s">
        <v>173</v>
      </c>
      <c r="R328" s="3" t="s">
        <v>174</v>
      </c>
    </row>
    <row r="329" spans="1:18" ht="35" customHeight="1">
      <c r="A329" t="s">
        <v>603</v>
      </c>
      <c r="B329" s="3" t="s">
        <v>43</v>
      </c>
      <c r="C329">
        <v>0</v>
      </c>
      <c r="D329" s="2">
        <v>1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f t="shared" si="15"/>
        <v>0</v>
      </c>
      <c r="L329" s="2">
        <f t="shared" si="16"/>
        <v>7</v>
      </c>
      <c r="M329" s="2">
        <f t="shared" si="17"/>
        <v>7</v>
      </c>
      <c r="N329" s="2">
        <v>7</v>
      </c>
      <c r="O329" s="2">
        <v>13</v>
      </c>
      <c r="P329" t="s">
        <v>210</v>
      </c>
      <c r="Q329" s="3" t="s">
        <v>122</v>
      </c>
      <c r="R329" s="3" t="s">
        <v>123</v>
      </c>
    </row>
    <row r="330" spans="1:18" ht="35" customHeight="1">
      <c r="A330" t="s">
        <v>604</v>
      </c>
      <c r="B330" s="3" t="s">
        <v>43</v>
      </c>
      <c r="C330">
        <v>0</v>
      </c>
      <c r="D330" s="2">
        <v>1</v>
      </c>
      <c r="E330" s="2">
        <v>1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f t="shared" si="15"/>
        <v>0</v>
      </c>
      <c r="L330" s="2">
        <f t="shared" si="16"/>
        <v>7</v>
      </c>
      <c r="M330" s="2">
        <f t="shared" si="17"/>
        <v>7</v>
      </c>
      <c r="N330" s="2">
        <v>7</v>
      </c>
      <c r="O330" s="2">
        <v>14</v>
      </c>
      <c r="P330" t="s">
        <v>26</v>
      </c>
      <c r="Q330" s="3" t="s">
        <v>122</v>
      </c>
      <c r="R330" s="3" t="s">
        <v>123</v>
      </c>
    </row>
    <row r="331" spans="1:18" ht="35" customHeight="1">
      <c r="A331" t="s">
        <v>605</v>
      </c>
      <c r="B331" s="3" t="s">
        <v>43</v>
      </c>
      <c r="C331">
        <v>0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f t="shared" si="15"/>
        <v>1</v>
      </c>
      <c r="L331" s="2">
        <f t="shared" si="16"/>
        <v>1</v>
      </c>
      <c r="M331" s="2">
        <f t="shared" si="17"/>
        <v>1</v>
      </c>
      <c r="N331" s="2">
        <v>1</v>
      </c>
      <c r="O331" s="2">
        <v>13</v>
      </c>
      <c r="P331" t="s">
        <v>210</v>
      </c>
      <c r="Q331" s="3" t="s">
        <v>271</v>
      </c>
      <c r="R331" s="3" t="s">
        <v>272</v>
      </c>
    </row>
    <row r="332" spans="1:18" ht="35" customHeight="1">
      <c r="A332" t="s">
        <v>606</v>
      </c>
      <c r="B332" s="3" t="s">
        <v>43</v>
      </c>
      <c r="C332">
        <v>0</v>
      </c>
      <c r="D332" s="2">
        <v>1</v>
      </c>
      <c r="E332" s="2">
        <v>1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f t="shared" si="15"/>
        <v>0</v>
      </c>
      <c r="L332" s="2">
        <f t="shared" si="16"/>
        <v>7</v>
      </c>
      <c r="M332" s="2">
        <f t="shared" si="17"/>
        <v>7</v>
      </c>
      <c r="N332" s="2">
        <v>7</v>
      </c>
      <c r="O332" s="2">
        <v>14</v>
      </c>
      <c r="P332" t="s">
        <v>26</v>
      </c>
      <c r="Q332" s="3" t="s">
        <v>122</v>
      </c>
      <c r="R332" s="3" t="s">
        <v>123</v>
      </c>
    </row>
    <row r="333" spans="1:18" ht="35" customHeight="1">
      <c r="A333" t="s">
        <v>607</v>
      </c>
      <c r="B333" s="3" t="s">
        <v>43</v>
      </c>
      <c r="C333">
        <v>0</v>
      </c>
      <c r="D333" s="2">
        <v>1</v>
      </c>
      <c r="E333" s="2">
        <v>0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f t="shared" si="15"/>
        <v>1</v>
      </c>
      <c r="L333" s="2">
        <f t="shared" si="16"/>
        <v>6</v>
      </c>
      <c r="M333" s="2">
        <f t="shared" si="17"/>
        <v>6</v>
      </c>
      <c r="N333" s="2">
        <v>6</v>
      </c>
      <c r="O333" s="2">
        <v>10</v>
      </c>
      <c r="P333" t="s">
        <v>608</v>
      </c>
      <c r="Q333" s="3" t="s">
        <v>173</v>
      </c>
      <c r="R333" s="3" t="s">
        <v>174</v>
      </c>
    </row>
    <row r="334" spans="1:18" ht="35" customHeight="1">
      <c r="A334" t="s">
        <v>609</v>
      </c>
      <c r="B334" s="3" t="s">
        <v>43</v>
      </c>
      <c r="C334">
        <v>0</v>
      </c>
      <c r="D334" s="2">
        <v>1</v>
      </c>
      <c r="E334" s="2">
        <v>1</v>
      </c>
      <c r="F334" s="2">
        <v>0</v>
      </c>
      <c r="G334" s="2">
        <v>1</v>
      </c>
      <c r="H334" s="2">
        <v>1</v>
      </c>
      <c r="I334" s="2">
        <v>1</v>
      </c>
      <c r="J334" s="2">
        <v>1</v>
      </c>
      <c r="K334" s="2">
        <f t="shared" si="15"/>
        <v>1</v>
      </c>
      <c r="L334" s="2">
        <f t="shared" si="16"/>
        <v>6</v>
      </c>
      <c r="M334" s="2">
        <f t="shared" si="17"/>
        <v>6</v>
      </c>
      <c r="N334" s="2">
        <v>6</v>
      </c>
      <c r="O334" s="2">
        <v>14</v>
      </c>
      <c r="P334" t="s">
        <v>26</v>
      </c>
      <c r="Q334" s="3" t="s">
        <v>173</v>
      </c>
      <c r="R334" s="3" t="s">
        <v>174</v>
      </c>
    </row>
    <row r="335" spans="1:18" ht="35" customHeight="1">
      <c r="A335" t="s">
        <v>610</v>
      </c>
      <c r="B335" s="3" t="s">
        <v>43</v>
      </c>
      <c r="C335">
        <v>0</v>
      </c>
      <c r="D335" s="2">
        <v>1</v>
      </c>
      <c r="E335" s="2">
        <v>0</v>
      </c>
      <c r="F335" s="2">
        <v>0</v>
      </c>
      <c r="G335" s="2">
        <v>1</v>
      </c>
      <c r="H335" s="2">
        <v>1</v>
      </c>
      <c r="I335" s="2">
        <v>1</v>
      </c>
      <c r="J335" s="2">
        <v>1</v>
      </c>
      <c r="K335" s="2">
        <f t="shared" si="15"/>
        <v>1</v>
      </c>
      <c r="L335" s="2">
        <f t="shared" si="16"/>
        <v>5</v>
      </c>
      <c r="M335" s="2">
        <f t="shared" si="17"/>
        <v>5</v>
      </c>
      <c r="N335" s="2">
        <v>5</v>
      </c>
      <c r="O335" s="2">
        <v>14</v>
      </c>
      <c r="P335" t="s">
        <v>26</v>
      </c>
      <c r="Q335" s="3" t="s">
        <v>139</v>
      </c>
      <c r="R335" s="3" t="s">
        <v>140</v>
      </c>
    </row>
    <row r="336" spans="1:18" ht="35" customHeight="1">
      <c r="A336" t="s">
        <v>611</v>
      </c>
      <c r="B336" s="3" t="s">
        <v>43</v>
      </c>
      <c r="C336">
        <v>0</v>
      </c>
      <c r="D336" s="2">
        <v>1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f t="shared" si="15"/>
        <v>1</v>
      </c>
      <c r="L336" s="2">
        <f t="shared" si="16"/>
        <v>2</v>
      </c>
      <c r="M336" s="2">
        <f t="shared" si="17"/>
        <v>2</v>
      </c>
      <c r="N336" s="2">
        <v>2</v>
      </c>
      <c r="O336" s="2">
        <v>13</v>
      </c>
      <c r="P336" t="s">
        <v>128</v>
      </c>
      <c r="Q336" s="3" t="s">
        <v>152</v>
      </c>
      <c r="R336" s="3" t="s">
        <v>153</v>
      </c>
    </row>
    <row r="337" spans="1:18" ht="35" customHeight="1">
      <c r="A337" t="s">
        <v>612</v>
      </c>
      <c r="B337" s="3" t="s">
        <v>43</v>
      </c>
      <c r="C337">
        <v>0</v>
      </c>
      <c r="D337" s="2">
        <v>1</v>
      </c>
      <c r="E337" s="2">
        <v>1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f t="shared" si="15"/>
        <v>0</v>
      </c>
      <c r="L337" s="2">
        <f t="shared" si="16"/>
        <v>7</v>
      </c>
      <c r="M337" s="2">
        <f t="shared" si="17"/>
        <v>7</v>
      </c>
      <c r="N337" s="2">
        <v>7</v>
      </c>
      <c r="O337" s="2">
        <v>13</v>
      </c>
      <c r="P337" t="s">
        <v>128</v>
      </c>
      <c r="Q337" s="3" t="s">
        <v>122</v>
      </c>
      <c r="R337" s="3" t="s">
        <v>123</v>
      </c>
    </row>
    <row r="338" spans="1:18" ht="35" customHeight="1">
      <c r="A338" t="s">
        <v>613</v>
      </c>
      <c r="B338" s="3" t="s">
        <v>43</v>
      </c>
      <c r="C338">
        <v>0</v>
      </c>
      <c r="D338" s="2">
        <v>1</v>
      </c>
      <c r="E338" s="2">
        <v>1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f t="shared" si="15"/>
        <v>0</v>
      </c>
      <c r="L338" s="2">
        <f t="shared" si="16"/>
        <v>7</v>
      </c>
      <c r="M338" s="2">
        <f t="shared" si="17"/>
        <v>7</v>
      </c>
      <c r="N338" s="2">
        <v>7</v>
      </c>
      <c r="O338" s="2">
        <v>13</v>
      </c>
      <c r="P338" t="s">
        <v>310</v>
      </c>
      <c r="Q338" s="3" t="s">
        <v>122</v>
      </c>
      <c r="R338" s="3" t="s">
        <v>123</v>
      </c>
    </row>
    <row r="339" spans="1:18" ht="35" customHeight="1">
      <c r="A339" t="s">
        <v>614</v>
      </c>
      <c r="B339" s="3" t="s">
        <v>43</v>
      </c>
      <c r="C339">
        <v>0</v>
      </c>
      <c r="D339" s="2">
        <v>1</v>
      </c>
      <c r="E339" s="2">
        <v>0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f t="shared" si="15"/>
        <v>1</v>
      </c>
      <c r="L339" s="2">
        <f t="shared" si="16"/>
        <v>6</v>
      </c>
      <c r="M339" s="2">
        <f t="shared" si="17"/>
        <v>6</v>
      </c>
      <c r="N339" s="2">
        <v>6</v>
      </c>
      <c r="O339" s="2">
        <v>14</v>
      </c>
      <c r="P339" t="s">
        <v>26</v>
      </c>
      <c r="Q339" s="3" t="s">
        <v>173</v>
      </c>
      <c r="R339" s="3" t="s">
        <v>174</v>
      </c>
    </row>
    <row r="340" spans="1:18" ht="35" customHeight="1">
      <c r="A340" t="s">
        <v>615</v>
      </c>
      <c r="B340" s="3" t="s">
        <v>43</v>
      </c>
      <c r="C340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</v>
      </c>
      <c r="I340" s="2">
        <v>0</v>
      </c>
      <c r="J340" s="2">
        <v>0</v>
      </c>
      <c r="K340" s="2">
        <f t="shared" si="15"/>
        <v>1</v>
      </c>
      <c r="L340" s="2">
        <f t="shared" si="16"/>
        <v>1</v>
      </c>
      <c r="M340" s="2">
        <f t="shared" si="17"/>
        <v>1</v>
      </c>
      <c r="N340" s="2">
        <v>1</v>
      </c>
      <c r="O340" s="2">
        <v>13</v>
      </c>
      <c r="P340" t="s">
        <v>210</v>
      </c>
      <c r="Q340" s="3" t="s">
        <v>271</v>
      </c>
      <c r="R340" s="3" t="s">
        <v>272</v>
      </c>
    </row>
    <row r="341" spans="1:18" ht="35" customHeight="1">
      <c r="A341" t="s">
        <v>616</v>
      </c>
      <c r="B341" s="3" t="s">
        <v>43</v>
      </c>
      <c r="C341">
        <v>0</v>
      </c>
      <c r="D341" s="2">
        <v>1</v>
      </c>
      <c r="E341" s="2">
        <v>1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f t="shared" si="15"/>
        <v>0</v>
      </c>
      <c r="L341" s="2">
        <f t="shared" si="16"/>
        <v>7</v>
      </c>
      <c r="M341" s="2">
        <f t="shared" si="17"/>
        <v>7</v>
      </c>
      <c r="N341" s="2">
        <v>7</v>
      </c>
      <c r="O341" s="2">
        <v>12</v>
      </c>
      <c r="P341" t="s">
        <v>77</v>
      </c>
      <c r="Q341" s="3" t="s">
        <v>122</v>
      </c>
      <c r="R341" s="3" t="s">
        <v>123</v>
      </c>
    </row>
    <row r="342" spans="1:18" ht="35" customHeight="1">
      <c r="A342" t="s">
        <v>617</v>
      </c>
      <c r="B342" s="3" t="s">
        <v>43</v>
      </c>
      <c r="C342">
        <v>0</v>
      </c>
      <c r="D342" s="2">
        <v>1</v>
      </c>
      <c r="E342" s="2">
        <v>1</v>
      </c>
      <c r="F342" s="2">
        <v>0</v>
      </c>
      <c r="G342" s="2">
        <v>1</v>
      </c>
      <c r="H342" s="2">
        <v>1</v>
      </c>
      <c r="I342" s="2">
        <v>1</v>
      </c>
      <c r="J342" s="2">
        <v>1</v>
      </c>
      <c r="K342" s="2">
        <f t="shared" si="15"/>
        <v>1</v>
      </c>
      <c r="L342" s="2">
        <f t="shared" si="16"/>
        <v>6</v>
      </c>
      <c r="M342" s="2">
        <f t="shared" si="17"/>
        <v>6</v>
      </c>
      <c r="N342" s="2">
        <v>6</v>
      </c>
      <c r="O342" s="2">
        <v>14</v>
      </c>
      <c r="P342" t="s">
        <v>26</v>
      </c>
      <c r="Q342" s="3" t="s">
        <v>173</v>
      </c>
      <c r="R342" s="3" t="s">
        <v>174</v>
      </c>
    </row>
    <row r="343" spans="1:18" ht="35" customHeight="1">
      <c r="A343" t="s">
        <v>618</v>
      </c>
      <c r="B343" s="3" t="s">
        <v>43</v>
      </c>
      <c r="C343">
        <v>0</v>
      </c>
      <c r="D343" s="2">
        <v>2</v>
      </c>
      <c r="E343" s="2">
        <v>2</v>
      </c>
      <c r="F343" s="2">
        <v>2</v>
      </c>
      <c r="G343" s="2">
        <v>2</v>
      </c>
      <c r="H343" s="2">
        <v>2</v>
      </c>
      <c r="I343" s="2">
        <v>2</v>
      </c>
      <c r="J343" s="2">
        <v>2</v>
      </c>
      <c r="K343" s="2">
        <f t="shared" si="15"/>
        <v>0</v>
      </c>
      <c r="L343" s="2">
        <f t="shared" si="16"/>
        <v>7</v>
      </c>
      <c r="M343" s="2">
        <f t="shared" si="17"/>
        <v>14</v>
      </c>
      <c r="N343" s="2">
        <v>14</v>
      </c>
      <c r="O343" s="2">
        <v>11</v>
      </c>
      <c r="P343" t="s">
        <v>619</v>
      </c>
      <c r="Q343" s="3" t="s">
        <v>49</v>
      </c>
      <c r="R343" s="3" t="s">
        <v>50</v>
      </c>
    </row>
    <row r="344" spans="1:18" ht="35" customHeight="1">
      <c r="A344" t="s">
        <v>620</v>
      </c>
      <c r="B344" s="3" t="s">
        <v>43</v>
      </c>
      <c r="C344">
        <v>0</v>
      </c>
      <c r="D344" s="2">
        <v>1</v>
      </c>
      <c r="E344" s="2">
        <v>1</v>
      </c>
      <c r="F344" s="2">
        <v>1</v>
      </c>
      <c r="G344" s="2">
        <v>1</v>
      </c>
      <c r="H344" s="2">
        <v>2</v>
      </c>
      <c r="I344" s="2">
        <v>1</v>
      </c>
      <c r="J344" s="2">
        <v>1</v>
      </c>
      <c r="K344" s="2">
        <f t="shared" si="15"/>
        <v>1</v>
      </c>
      <c r="L344" s="2">
        <f t="shared" si="16"/>
        <v>7</v>
      </c>
      <c r="M344" s="2">
        <f t="shared" si="17"/>
        <v>8</v>
      </c>
      <c r="N344" s="2">
        <v>8</v>
      </c>
      <c r="O344" s="2">
        <v>12</v>
      </c>
      <c r="P344" t="s">
        <v>621</v>
      </c>
      <c r="Q344" s="3" t="s">
        <v>119</v>
      </c>
      <c r="R344" s="3" t="s">
        <v>120</v>
      </c>
    </row>
    <row r="345" spans="1:18" ht="35" customHeight="1">
      <c r="A345" t="s">
        <v>622</v>
      </c>
      <c r="B345" s="3" t="s">
        <v>43</v>
      </c>
      <c r="C345">
        <v>0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f t="shared" si="15"/>
        <v>0</v>
      </c>
      <c r="L345" s="2">
        <f t="shared" si="16"/>
        <v>7</v>
      </c>
      <c r="M345" s="2">
        <f t="shared" si="17"/>
        <v>7</v>
      </c>
      <c r="N345" s="2">
        <v>7</v>
      </c>
      <c r="O345" s="2">
        <v>14</v>
      </c>
      <c r="P345" t="s">
        <v>26</v>
      </c>
      <c r="Q345" s="3" t="s">
        <v>122</v>
      </c>
      <c r="R345" s="3" t="s">
        <v>123</v>
      </c>
    </row>
    <row r="346" spans="1:18" ht="35" customHeight="1">
      <c r="A346" t="s">
        <v>623</v>
      </c>
      <c r="B346" s="3" t="s">
        <v>43</v>
      </c>
      <c r="C346">
        <v>0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f t="shared" si="15"/>
        <v>0</v>
      </c>
      <c r="L346" s="2">
        <f t="shared" si="16"/>
        <v>7</v>
      </c>
      <c r="M346" s="2">
        <f t="shared" si="17"/>
        <v>7</v>
      </c>
      <c r="N346" s="2">
        <v>7</v>
      </c>
      <c r="O346" s="2">
        <v>14</v>
      </c>
      <c r="P346" t="s">
        <v>26</v>
      </c>
      <c r="Q346" s="3" t="s">
        <v>122</v>
      </c>
      <c r="R346" s="3" t="s">
        <v>123</v>
      </c>
    </row>
    <row r="347" spans="1:18" ht="35" customHeight="1">
      <c r="A347" t="s">
        <v>624</v>
      </c>
      <c r="B347" s="3" t="s">
        <v>43</v>
      </c>
      <c r="C347">
        <v>0</v>
      </c>
      <c r="D347" s="2">
        <v>1</v>
      </c>
      <c r="E347" s="2">
        <v>1</v>
      </c>
      <c r="F347" s="2">
        <v>0</v>
      </c>
      <c r="G347" s="2">
        <v>1</v>
      </c>
      <c r="H347" s="2">
        <v>1</v>
      </c>
      <c r="I347" s="2">
        <v>1</v>
      </c>
      <c r="J347" s="2">
        <v>1</v>
      </c>
      <c r="K347" s="2">
        <f t="shared" si="15"/>
        <v>1</v>
      </c>
      <c r="L347" s="2">
        <f t="shared" si="16"/>
        <v>6</v>
      </c>
      <c r="M347" s="2">
        <f t="shared" si="17"/>
        <v>6</v>
      </c>
      <c r="N347" s="2">
        <v>6</v>
      </c>
      <c r="O347" s="2">
        <v>12</v>
      </c>
      <c r="P347" t="s">
        <v>186</v>
      </c>
      <c r="Q347" s="3" t="s">
        <v>173</v>
      </c>
      <c r="R347" s="3" t="s">
        <v>174</v>
      </c>
    </row>
    <row r="348" spans="1:18" ht="35" customHeight="1">
      <c r="A348" t="s">
        <v>625</v>
      </c>
      <c r="B348" s="3" t="s">
        <v>43</v>
      </c>
      <c r="C348">
        <v>0</v>
      </c>
      <c r="D348" s="2">
        <v>1</v>
      </c>
      <c r="E348" s="2">
        <v>0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f t="shared" si="15"/>
        <v>1</v>
      </c>
      <c r="L348" s="2">
        <f t="shared" si="16"/>
        <v>6</v>
      </c>
      <c r="M348" s="2">
        <f t="shared" si="17"/>
        <v>6</v>
      </c>
      <c r="N348" s="2">
        <v>6</v>
      </c>
      <c r="O348" s="2">
        <v>14</v>
      </c>
      <c r="P348" t="s">
        <v>26</v>
      </c>
      <c r="Q348" s="3" t="s">
        <v>173</v>
      </c>
      <c r="R348" s="3" t="s">
        <v>174</v>
      </c>
    </row>
    <row r="349" spans="1:18" ht="35" customHeight="1">
      <c r="A349" t="s">
        <v>626</v>
      </c>
      <c r="B349" s="3" t="s">
        <v>43</v>
      </c>
      <c r="C349">
        <v>0</v>
      </c>
      <c r="D349" s="2">
        <v>1</v>
      </c>
      <c r="E349" s="2">
        <v>1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f t="shared" si="15"/>
        <v>0</v>
      </c>
      <c r="L349" s="2">
        <f t="shared" si="16"/>
        <v>7</v>
      </c>
      <c r="M349" s="2">
        <f t="shared" si="17"/>
        <v>7</v>
      </c>
      <c r="N349" s="2">
        <v>7</v>
      </c>
      <c r="O349" s="2">
        <v>14</v>
      </c>
      <c r="P349" t="s">
        <v>26</v>
      </c>
      <c r="Q349" s="3" t="s">
        <v>122</v>
      </c>
      <c r="R349" s="3" t="s">
        <v>123</v>
      </c>
    </row>
    <row r="350" spans="1:18" ht="35" customHeight="1">
      <c r="A350" t="s">
        <v>627</v>
      </c>
      <c r="B350" s="3" t="s">
        <v>43</v>
      </c>
      <c r="C350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1</v>
      </c>
      <c r="K350" s="2">
        <f t="shared" si="15"/>
        <v>1</v>
      </c>
      <c r="L350" s="2">
        <f t="shared" si="16"/>
        <v>1</v>
      </c>
      <c r="M350" s="2">
        <f t="shared" si="17"/>
        <v>1</v>
      </c>
      <c r="N350" s="2">
        <v>1</v>
      </c>
      <c r="O350" s="2">
        <v>4</v>
      </c>
      <c r="P350" t="s">
        <v>628</v>
      </c>
      <c r="Q350" s="3" t="s">
        <v>271</v>
      </c>
      <c r="R350" s="3" t="s">
        <v>272</v>
      </c>
    </row>
    <row r="351" spans="1:18" ht="35" customHeight="1">
      <c r="A351" t="s">
        <v>629</v>
      </c>
      <c r="B351" s="3" t="s">
        <v>43</v>
      </c>
      <c r="C351">
        <v>0</v>
      </c>
      <c r="D351" s="2">
        <v>1</v>
      </c>
      <c r="E351" s="2">
        <v>1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f t="shared" si="15"/>
        <v>0</v>
      </c>
      <c r="L351" s="2">
        <f t="shared" si="16"/>
        <v>7</v>
      </c>
      <c r="M351" s="2">
        <f t="shared" si="17"/>
        <v>7</v>
      </c>
      <c r="N351" s="2">
        <v>7</v>
      </c>
      <c r="O351" s="2">
        <v>14</v>
      </c>
      <c r="P351" t="s">
        <v>26</v>
      </c>
      <c r="Q351" s="3" t="s">
        <v>122</v>
      </c>
      <c r="R351" s="3" t="s">
        <v>123</v>
      </c>
    </row>
    <row r="352" spans="1:18" ht="35" customHeight="1">
      <c r="A352" t="s">
        <v>630</v>
      </c>
      <c r="B352" s="3" t="s">
        <v>43</v>
      </c>
      <c r="C352">
        <v>0</v>
      </c>
      <c r="D352" s="2">
        <v>1</v>
      </c>
      <c r="E352" s="2">
        <v>1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f t="shared" si="15"/>
        <v>0</v>
      </c>
      <c r="L352" s="2">
        <f t="shared" si="16"/>
        <v>7</v>
      </c>
      <c r="M352" s="2">
        <f t="shared" si="17"/>
        <v>7</v>
      </c>
      <c r="N352" s="2">
        <v>7</v>
      </c>
      <c r="O352" s="2">
        <v>14</v>
      </c>
      <c r="P352" t="s">
        <v>26</v>
      </c>
      <c r="Q352" s="3" t="s">
        <v>122</v>
      </c>
      <c r="R352" s="3" t="s">
        <v>123</v>
      </c>
    </row>
    <row r="353" spans="1:18" ht="35" customHeight="1">
      <c r="A353" t="s">
        <v>631</v>
      </c>
      <c r="B353" s="3" t="s">
        <v>43</v>
      </c>
      <c r="C353">
        <v>0</v>
      </c>
      <c r="D353" s="2">
        <v>1</v>
      </c>
      <c r="E353" s="2">
        <v>1</v>
      </c>
      <c r="F353" s="2">
        <v>1</v>
      </c>
      <c r="G353" s="2">
        <v>1</v>
      </c>
      <c r="H353" s="2">
        <v>0</v>
      </c>
      <c r="I353" s="2">
        <v>1</v>
      </c>
      <c r="J353" s="2">
        <v>1</v>
      </c>
      <c r="K353" s="2">
        <f t="shared" si="15"/>
        <v>1</v>
      </c>
      <c r="L353" s="2">
        <f t="shared" si="16"/>
        <v>6</v>
      </c>
      <c r="M353" s="2">
        <f t="shared" si="17"/>
        <v>6</v>
      </c>
      <c r="N353" s="2">
        <v>6</v>
      </c>
      <c r="O353" s="2">
        <v>11</v>
      </c>
      <c r="P353" t="s">
        <v>420</v>
      </c>
      <c r="Q353" s="3" t="s">
        <v>173</v>
      </c>
      <c r="R353" s="3" t="s">
        <v>174</v>
      </c>
    </row>
    <row r="354" spans="1:18" ht="35" customHeight="1">
      <c r="A354" t="s">
        <v>632</v>
      </c>
      <c r="B354" s="3" t="s">
        <v>43</v>
      </c>
      <c r="C354">
        <v>0</v>
      </c>
      <c r="D354" s="2">
        <v>1</v>
      </c>
      <c r="E354" s="2">
        <v>1</v>
      </c>
      <c r="F354" s="2">
        <v>1</v>
      </c>
      <c r="G354" s="2">
        <v>2</v>
      </c>
      <c r="H354" s="2">
        <v>1</v>
      </c>
      <c r="I354" s="2">
        <v>1</v>
      </c>
      <c r="J354" s="2">
        <v>1</v>
      </c>
      <c r="K354" s="2">
        <f t="shared" si="15"/>
        <v>1</v>
      </c>
      <c r="L354" s="2">
        <f t="shared" si="16"/>
        <v>7</v>
      </c>
      <c r="M354" s="2">
        <f t="shared" si="17"/>
        <v>8</v>
      </c>
      <c r="N354" s="2">
        <v>8</v>
      </c>
      <c r="O354" s="2">
        <v>14</v>
      </c>
      <c r="P354" t="s">
        <v>26</v>
      </c>
      <c r="Q354" s="3" t="s">
        <v>119</v>
      </c>
      <c r="R354" s="3" t="s">
        <v>120</v>
      </c>
    </row>
    <row r="355" spans="1:18" ht="35" customHeight="1">
      <c r="A355" t="s">
        <v>633</v>
      </c>
      <c r="B355" s="3" t="s">
        <v>43</v>
      </c>
      <c r="C355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</v>
      </c>
      <c r="I355" s="2">
        <v>0</v>
      </c>
      <c r="J355" s="2">
        <v>0</v>
      </c>
      <c r="K355" s="2">
        <f t="shared" si="15"/>
        <v>1</v>
      </c>
      <c r="L355" s="2">
        <f t="shared" si="16"/>
        <v>1</v>
      </c>
      <c r="M355" s="2">
        <f t="shared" si="17"/>
        <v>1</v>
      </c>
      <c r="N355" s="2">
        <v>1</v>
      </c>
      <c r="O355" s="2">
        <v>13</v>
      </c>
      <c r="P355" t="s">
        <v>97</v>
      </c>
      <c r="Q355" s="3" t="s">
        <v>271</v>
      </c>
      <c r="R355" s="3" t="s">
        <v>272</v>
      </c>
    </row>
    <row r="356" spans="1:18" ht="35" customHeight="1">
      <c r="A356" t="s">
        <v>634</v>
      </c>
      <c r="B356" s="3" t="s">
        <v>43</v>
      </c>
      <c r="C356">
        <v>0</v>
      </c>
      <c r="D356" s="2">
        <v>1</v>
      </c>
      <c r="E356" s="2">
        <v>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f t="shared" si="15"/>
        <v>0</v>
      </c>
      <c r="L356" s="2">
        <f t="shared" si="16"/>
        <v>7</v>
      </c>
      <c r="M356" s="2">
        <f t="shared" si="17"/>
        <v>7</v>
      </c>
      <c r="N356" s="2">
        <v>7</v>
      </c>
      <c r="O356" s="2">
        <v>14</v>
      </c>
      <c r="P356" t="s">
        <v>26</v>
      </c>
      <c r="Q356" s="3" t="s">
        <v>122</v>
      </c>
      <c r="R356" s="3" t="s">
        <v>123</v>
      </c>
    </row>
    <row r="357" spans="1:18" ht="35" customHeight="1">
      <c r="A357" t="s">
        <v>635</v>
      </c>
      <c r="B357" s="3" t="s">
        <v>43</v>
      </c>
      <c r="C357">
        <v>0</v>
      </c>
      <c r="D357" s="2">
        <v>1</v>
      </c>
      <c r="E357" s="2">
        <v>1</v>
      </c>
      <c r="F357" s="2">
        <v>1</v>
      </c>
      <c r="G357" s="2">
        <v>1</v>
      </c>
      <c r="H357" s="2">
        <v>1</v>
      </c>
      <c r="I357" s="2">
        <v>1</v>
      </c>
      <c r="J357" s="2">
        <v>0</v>
      </c>
      <c r="K357" s="2">
        <f t="shared" si="15"/>
        <v>1</v>
      </c>
      <c r="L357" s="2">
        <f t="shared" si="16"/>
        <v>6</v>
      </c>
      <c r="M357" s="2">
        <f t="shared" si="17"/>
        <v>6</v>
      </c>
      <c r="N357" s="2">
        <v>6</v>
      </c>
      <c r="O357" s="2">
        <v>12</v>
      </c>
      <c r="P357" t="s">
        <v>186</v>
      </c>
      <c r="Q357" s="3" t="s">
        <v>173</v>
      </c>
      <c r="R357" s="3" t="s">
        <v>174</v>
      </c>
    </row>
    <row r="358" spans="1:18" ht="35" customHeight="1">
      <c r="A358" t="s">
        <v>636</v>
      </c>
      <c r="B358" s="3" t="s">
        <v>637</v>
      </c>
      <c r="C358">
        <v>7</v>
      </c>
      <c r="D358" s="2">
        <v>1</v>
      </c>
      <c r="E358" s="2">
        <v>1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f t="shared" si="15"/>
        <v>0</v>
      </c>
      <c r="L358" s="2">
        <f t="shared" si="16"/>
        <v>7</v>
      </c>
      <c r="M358" s="2">
        <f t="shared" si="17"/>
        <v>7</v>
      </c>
      <c r="N358" s="2">
        <v>0</v>
      </c>
      <c r="O358" s="2">
        <v>14</v>
      </c>
      <c r="P358" t="s">
        <v>26</v>
      </c>
      <c r="Q358" s="3" t="s">
        <v>637</v>
      </c>
      <c r="R358" s="3" t="s">
        <v>171</v>
      </c>
    </row>
    <row r="359" spans="1:18" ht="35" customHeight="1">
      <c r="A359" t="s">
        <v>638</v>
      </c>
      <c r="B359" s="3" t="s">
        <v>43</v>
      </c>
      <c r="C359">
        <v>0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f t="shared" si="15"/>
        <v>0</v>
      </c>
      <c r="L359" s="2">
        <f t="shared" si="16"/>
        <v>7</v>
      </c>
      <c r="M359" s="2">
        <f t="shared" si="17"/>
        <v>7</v>
      </c>
      <c r="N359" s="2">
        <v>7</v>
      </c>
      <c r="O359" s="2">
        <v>12</v>
      </c>
      <c r="P359" t="s">
        <v>186</v>
      </c>
      <c r="Q359" s="3" t="s">
        <v>122</v>
      </c>
      <c r="R359" s="3" t="s">
        <v>123</v>
      </c>
    </row>
    <row r="360" spans="1:18" ht="35" customHeight="1">
      <c r="A360" t="s">
        <v>639</v>
      </c>
      <c r="B360" s="3" t="s">
        <v>43</v>
      </c>
      <c r="C360">
        <v>0</v>
      </c>
      <c r="D360" s="2">
        <v>0</v>
      </c>
      <c r="E360" s="2">
        <v>0</v>
      </c>
      <c r="F360" s="2">
        <v>1</v>
      </c>
      <c r="G360" s="2">
        <v>0</v>
      </c>
      <c r="H360" s="2">
        <v>1</v>
      </c>
      <c r="I360" s="2">
        <v>0</v>
      </c>
      <c r="J360" s="2">
        <v>0</v>
      </c>
      <c r="K360" s="2">
        <f t="shared" si="15"/>
        <v>1</v>
      </c>
      <c r="L360" s="2">
        <f t="shared" si="16"/>
        <v>2</v>
      </c>
      <c r="M360" s="2">
        <f t="shared" si="17"/>
        <v>2</v>
      </c>
      <c r="N360" s="2">
        <v>2</v>
      </c>
      <c r="O360" s="2">
        <v>7</v>
      </c>
      <c r="P360" t="s">
        <v>640</v>
      </c>
      <c r="Q360" s="3" t="s">
        <v>152</v>
      </c>
      <c r="R360" s="3" t="s">
        <v>153</v>
      </c>
    </row>
    <row r="361" spans="1:18" ht="35" customHeight="1">
      <c r="A361" t="s">
        <v>641</v>
      </c>
      <c r="B361" s="3" t="s">
        <v>642</v>
      </c>
      <c r="C361">
        <v>7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f t="shared" si="15"/>
        <v>0</v>
      </c>
      <c r="L361" s="2">
        <f t="shared" si="16"/>
        <v>7</v>
      </c>
      <c r="M361" s="2">
        <f t="shared" si="17"/>
        <v>7</v>
      </c>
      <c r="N361" s="2">
        <v>0</v>
      </c>
      <c r="O361" s="2">
        <v>14</v>
      </c>
      <c r="P361" t="s">
        <v>26</v>
      </c>
      <c r="Q361" s="3" t="s">
        <v>642</v>
      </c>
      <c r="R361" s="3" t="s">
        <v>171</v>
      </c>
    </row>
    <row r="362" spans="1:18" ht="35" customHeight="1">
      <c r="A362" t="s">
        <v>643</v>
      </c>
      <c r="B362" s="3" t="s">
        <v>43</v>
      </c>
      <c r="C362">
        <v>0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f t="shared" si="15"/>
        <v>0</v>
      </c>
      <c r="L362" s="2">
        <f t="shared" si="16"/>
        <v>7</v>
      </c>
      <c r="M362" s="2">
        <f t="shared" si="17"/>
        <v>7</v>
      </c>
      <c r="N362" s="2">
        <v>7</v>
      </c>
      <c r="O362" s="2">
        <v>13</v>
      </c>
      <c r="P362" t="s">
        <v>128</v>
      </c>
      <c r="Q362" s="3" t="s">
        <v>122</v>
      </c>
      <c r="R362" s="3" t="s">
        <v>123</v>
      </c>
    </row>
    <row r="363" spans="1:18" ht="35" customHeight="1">
      <c r="A363" t="s">
        <v>644</v>
      </c>
      <c r="B363" s="3" t="s">
        <v>43</v>
      </c>
      <c r="C363">
        <v>0</v>
      </c>
      <c r="D363" s="2">
        <v>1</v>
      </c>
      <c r="E363" s="2">
        <v>0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f t="shared" si="15"/>
        <v>1</v>
      </c>
      <c r="L363" s="2">
        <f t="shared" si="16"/>
        <v>6</v>
      </c>
      <c r="M363" s="2">
        <f t="shared" si="17"/>
        <v>6</v>
      </c>
      <c r="N363" s="2">
        <v>6</v>
      </c>
      <c r="O363" s="2">
        <v>14</v>
      </c>
      <c r="P363" t="s">
        <v>26</v>
      </c>
      <c r="Q363" s="3" t="s">
        <v>173</v>
      </c>
      <c r="R363" s="3" t="s">
        <v>174</v>
      </c>
    </row>
    <row r="364" spans="1:18" ht="35" customHeight="1">
      <c r="A364" t="s">
        <v>645</v>
      </c>
      <c r="B364" s="3" t="s">
        <v>646</v>
      </c>
      <c r="C364">
        <v>7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f t="shared" si="15"/>
        <v>0</v>
      </c>
      <c r="L364" s="2">
        <f t="shared" si="16"/>
        <v>7</v>
      </c>
      <c r="M364" s="2">
        <f t="shared" si="17"/>
        <v>7</v>
      </c>
      <c r="N364" s="2">
        <v>0</v>
      </c>
      <c r="O364" s="2">
        <v>14</v>
      </c>
      <c r="P364" t="s">
        <v>26</v>
      </c>
      <c r="Q364" s="3" t="s">
        <v>646</v>
      </c>
      <c r="R364" s="3" t="s">
        <v>171</v>
      </c>
    </row>
    <row r="365" spans="1:18" ht="35" customHeight="1">
      <c r="A365" t="s">
        <v>647</v>
      </c>
      <c r="B365" s="3" t="s">
        <v>43</v>
      </c>
      <c r="C365">
        <v>0</v>
      </c>
      <c r="D365" s="2">
        <v>1</v>
      </c>
      <c r="E365" s="2">
        <v>0</v>
      </c>
      <c r="F365" s="2">
        <v>1</v>
      </c>
      <c r="G365" s="2">
        <v>1</v>
      </c>
      <c r="H365" s="2">
        <v>1</v>
      </c>
      <c r="I365" s="2">
        <v>1</v>
      </c>
      <c r="J365" s="2">
        <v>0</v>
      </c>
      <c r="K365" s="2">
        <f t="shared" si="15"/>
        <v>1</v>
      </c>
      <c r="L365" s="2">
        <f t="shared" si="16"/>
        <v>5</v>
      </c>
      <c r="M365" s="2">
        <f t="shared" si="17"/>
        <v>5</v>
      </c>
      <c r="N365" s="2">
        <v>5</v>
      </c>
      <c r="O365" s="2">
        <v>14</v>
      </c>
      <c r="P365" t="s">
        <v>26</v>
      </c>
      <c r="Q365" s="3" t="s">
        <v>139</v>
      </c>
      <c r="R365" s="3" t="s">
        <v>140</v>
      </c>
    </row>
    <row r="366" spans="1:18" ht="35" customHeight="1">
      <c r="A366" t="s">
        <v>648</v>
      </c>
      <c r="B366" s="3" t="s">
        <v>254</v>
      </c>
      <c r="C366">
        <v>7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f t="shared" si="15"/>
        <v>0</v>
      </c>
      <c r="L366" s="2">
        <f t="shared" si="16"/>
        <v>7</v>
      </c>
      <c r="M366" s="2">
        <f t="shared" si="17"/>
        <v>7</v>
      </c>
      <c r="N366" s="2">
        <v>0</v>
      </c>
      <c r="O366" s="2">
        <v>14</v>
      </c>
      <c r="P366" t="s">
        <v>26</v>
      </c>
      <c r="Q366" s="3" t="s">
        <v>254</v>
      </c>
      <c r="R366" s="3" t="s">
        <v>171</v>
      </c>
    </row>
    <row r="367" spans="1:18" ht="35" customHeight="1">
      <c r="A367" t="s">
        <v>649</v>
      </c>
      <c r="B367" s="3" t="s">
        <v>43</v>
      </c>
      <c r="C367">
        <v>0</v>
      </c>
      <c r="D367" s="2">
        <v>0</v>
      </c>
      <c r="E367" s="2">
        <v>0</v>
      </c>
      <c r="F367" s="2">
        <v>1</v>
      </c>
      <c r="G367" s="2">
        <v>1</v>
      </c>
      <c r="H367" s="2">
        <v>1</v>
      </c>
      <c r="I367" s="2">
        <v>1</v>
      </c>
      <c r="J367" s="2">
        <v>0</v>
      </c>
      <c r="K367" s="2">
        <f t="shared" si="15"/>
        <v>1</v>
      </c>
      <c r="L367" s="2">
        <f t="shared" si="16"/>
        <v>4</v>
      </c>
      <c r="M367" s="2">
        <f t="shared" si="17"/>
        <v>4</v>
      </c>
      <c r="N367" s="2">
        <v>4</v>
      </c>
      <c r="O367" s="2">
        <v>14</v>
      </c>
      <c r="P367" t="s">
        <v>26</v>
      </c>
      <c r="Q367" s="3" t="s">
        <v>142</v>
      </c>
      <c r="R367" s="3" t="s">
        <v>143</v>
      </c>
    </row>
    <row r="368" spans="1:18" ht="35" customHeight="1">
      <c r="A368" t="s">
        <v>650</v>
      </c>
      <c r="B368" s="3" t="s">
        <v>43</v>
      </c>
      <c r="C368">
        <v>0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f t="shared" si="15"/>
        <v>0</v>
      </c>
      <c r="L368" s="2">
        <f t="shared" si="16"/>
        <v>7</v>
      </c>
      <c r="M368" s="2">
        <f t="shared" si="17"/>
        <v>7</v>
      </c>
      <c r="N368" s="2">
        <v>7</v>
      </c>
      <c r="O368" s="2">
        <v>14</v>
      </c>
      <c r="P368" t="s">
        <v>26</v>
      </c>
      <c r="Q368" s="3" t="s">
        <v>122</v>
      </c>
      <c r="R368" s="3" t="s">
        <v>123</v>
      </c>
    </row>
    <row r="369" spans="1:18" ht="35" customHeight="1">
      <c r="A369" t="s">
        <v>651</v>
      </c>
      <c r="B369" s="3" t="s">
        <v>43</v>
      </c>
      <c r="C369">
        <v>0</v>
      </c>
      <c r="D369" s="2">
        <v>1</v>
      </c>
      <c r="E369" s="2">
        <v>1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f t="shared" si="15"/>
        <v>0</v>
      </c>
      <c r="L369" s="2">
        <f t="shared" si="16"/>
        <v>7</v>
      </c>
      <c r="M369" s="2">
        <f t="shared" si="17"/>
        <v>7</v>
      </c>
      <c r="N369" s="2">
        <v>7</v>
      </c>
      <c r="O369" s="2">
        <v>14</v>
      </c>
      <c r="P369" t="s">
        <v>26</v>
      </c>
      <c r="Q369" s="3" t="s">
        <v>122</v>
      </c>
      <c r="R369" s="3" t="s">
        <v>123</v>
      </c>
    </row>
    <row r="370" spans="1:18" ht="35" customHeight="1">
      <c r="A370" t="s">
        <v>652</v>
      </c>
      <c r="B370" s="3" t="s">
        <v>43</v>
      </c>
      <c r="C370">
        <v>0</v>
      </c>
      <c r="D370" s="2">
        <v>0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f t="shared" si="15"/>
        <v>1</v>
      </c>
      <c r="L370" s="2">
        <f t="shared" si="16"/>
        <v>1</v>
      </c>
      <c r="M370" s="2">
        <f t="shared" si="17"/>
        <v>1</v>
      </c>
      <c r="N370" s="2">
        <v>1</v>
      </c>
      <c r="O370" s="2">
        <v>12</v>
      </c>
      <c r="P370" t="s">
        <v>186</v>
      </c>
      <c r="Q370" s="3" t="s">
        <v>271</v>
      </c>
      <c r="R370" s="3" t="s">
        <v>272</v>
      </c>
    </row>
    <row r="371" spans="1:18" ht="35" customHeight="1">
      <c r="A371" t="s">
        <v>653</v>
      </c>
      <c r="B371" s="3" t="s">
        <v>43</v>
      </c>
      <c r="C371">
        <v>0</v>
      </c>
      <c r="D371" s="2">
        <v>1</v>
      </c>
      <c r="E371" s="2">
        <v>1</v>
      </c>
      <c r="F371" s="2">
        <v>1</v>
      </c>
      <c r="G371" s="2">
        <v>1</v>
      </c>
      <c r="H371" s="2">
        <v>1</v>
      </c>
      <c r="I371" s="2">
        <v>1</v>
      </c>
      <c r="J371" s="2">
        <v>0</v>
      </c>
      <c r="K371" s="2">
        <f t="shared" si="15"/>
        <v>1</v>
      </c>
      <c r="L371" s="2">
        <f t="shared" si="16"/>
        <v>6</v>
      </c>
      <c r="M371" s="2">
        <f t="shared" si="17"/>
        <v>6</v>
      </c>
      <c r="N371" s="2">
        <v>6</v>
      </c>
      <c r="O371" s="2">
        <v>13</v>
      </c>
      <c r="P371" t="s">
        <v>128</v>
      </c>
      <c r="Q371" s="3" t="s">
        <v>173</v>
      </c>
      <c r="R371" s="3" t="s">
        <v>174</v>
      </c>
    </row>
    <row r="372" spans="1:18" ht="35" customHeight="1">
      <c r="A372" t="s">
        <v>654</v>
      </c>
      <c r="B372" s="3" t="s">
        <v>43</v>
      </c>
      <c r="C372">
        <v>0</v>
      </c>
      <c r="D372" s="2">
        <v>1</v>
      </c>
      <c r="E372" s="2">
        <v>1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f t="shared" si="15"/>
        <v>0</v>
      </c>
      <c r="L372" s="2">
        <f t="shared" si="16"/>
        <v>7</v>
      </c>
      <c r="M372" s="2">
        <f t="shared" si="17"/>
        <v>7</v>
      </c>
      <c r="N372" s="2">
        <v>7</v>
      </c>
      <c r="O372" s="2">
        <v>13</v>
      </c>
      <c r="P372" t="s">
        <v>128</v>
      </c>
      <c r="Q372" s="3" t="s">
        <v>122</v>
      </c>
      <c r="R372" s="3" t="s">
        <v>123</v>
      </c>
    </row>
    <row r="373" spans="1:18" ht="35" customHeight="1">
      <c r="A373" t="s">
        <v>655</v>
      </c>
      <c r="B373" s="3" t="s">
        <v>43</v>
      </c>
      <c r="C373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1</v>
      </c>
      <c r="K373" s="2">
        <f t="shared" si="15"/>
        <v>1</v>
      </c>
      <c r="L373" s="2">
        <f t="shared" si="16"/>
        <v>1</v>
      </c>
      <c r="M373" s="2">
        <f t="shared" si="17"/>
        <v>1</v>
      </c>
      <c r="N373" s="2">
        <v>1</v>
      </c>
      <c r="O373" s="2">
        <v>2</v>
      </c>
      <c r="P373" t="s">
        <v>92</v>
      </c>
      <c r="Q373" s="3" t="s">
        <v>271</v>
      </c>
      <c r="R373" s="3" t="s">
        <v>272</v>
      </c>
    </row>
    <row r="374" spans="1:18" ht="35" customHeight="1">
      <c r="A374" t="s">
        <v>656</v>
      </c>
      <c r="B374" s="3" t="s">
        <v>637</v>
      </c>
      <c r="C374">
        <v>7</v>
      </c>
      <c r="D374" s="2">
        <v>1</v>
      </c>
      <c r="E374" s="2">
        <v>1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f t="shared" si="15"/>
        <v>0</v>
      </c>
      <c r="L374" s="2">
        <f t="shared" si="16"/>
        <v>7</v>
      </c>
      <c r="M374" s="2">
        <f t="shared" si="17"/>
        <v>7</v>
      </c>
      <c r="N374" s="2">
        <v>0</v>
      </c>
      <c r="O374" s="2">
        <v>14</v>
      </c>
      <c r="P374" t="s">
        <v>26</v>
      </c>
      <c r="Q374" s="3" t="s">
        <v>637</v>
      </c>
      <c r="R374" s="3" t="s">
        <v>171</v>
      </c>
    </row>
    <row r="375" spans="1:18" ht="35" customHeight="1">
      <c r="A375" t="s">
        <v>132</v>
      </c>
      <c r="B375" s="3" t="s">
        <v>43</v>
      </c>
      <c r="C375">
        <v>0</v>
      </c>
      <c r="D375" s="2">
        <v>1</v>
      </c>
      <c r="E375" s="2">
        <v>0</v>
      </c>
      <c r="F375" s="2">
        <v>1</v>
      </c>
      <c r="G375" s="2">
        <v>1</v>
      </c>
      <c r="H375" s="2">
        <v>1</v>
      </c>
      <c r="I375" s="2">
        <v>1</v>
      </c>
      <c r="J375" s="2">
        <v>2</v>
      </c>
      <c r="K375" s="2">
        <f t="shared" si="15"/>
        <v>2</v>
      </c>
      <c r="L375" s="2">
        <f t="shared" si="16"/>
        <v>6</v>
      </c>
      <c r="M375" s="2">
        <f t="shared" si="17"/>
        <v>7</v>
      </c>
      <c r="N375" s="2">
        <v>7</v>
      </c>
      <c r="O375" s="2">
        <v>3</v>
      </c>
      <c r="P375" t="s">
        <v>133</v>
      </c>
      <c r="Q375" s="3" t="s">
        <v>122</v>
      </c>
      <c r="R375" s="3" t="s">
        <v>123</v>
      </c>
    </row>
    <row r="376" spans="1:18" ht="35" customHeight="1">
      <c r="A376" t="s">
        <v>657</v>
      </c>
      <c r="B376" s="3" t="s">
        <v>43</v>
      </c>
      <c r="C376">
        <v>0</v>
      </c>
      <c r="D376" s="2">
        <v>1</v>
      </c>
      <c r="E376" s="2">
        <v>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f t="shared" si="15"/>
        <v>1</v>
      </c>
      <c r="L376" s="2">
        <f t="shared" si="16"/>
        <v>6</v>
      </c>
      <c r="M376" s="2">
        <f t="shared" si="17"/>
        <v>6</v>
      </c>
      <c r="N376" s="2">
        <v>0</v>
      </c>
      <c r="O376" s="2">
        <v>13</v>
      </c>
      <c r="P376" t="s">
        <v>210</v>
      </c>
      <c r="Q376" s="3" t="s">
        <v>173</v>
      </c>
      <c r="R376" s="3" t="s">
        <v>658</v>
      </c>
    </row>
    <row r="377" spans="1:18" ht="35" customHeight="1">
      <c r="A377" t="s">
        <v>659</v>
      </c>
      <c r="B377" s="3" t="s">
        <v>43</v>
      </c>
      <c r="C377">
        <v>0</v>
      </c>
      <c r="D377" s="2">
        <v>1</v>
      </c>
      <c r="E377" s="2">
        <v>1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f t="shared" si="15"/>
        <v>0</v>
      </c>
      <c r="L377" s="2">
        <f t="shared" si="16"/>
        <v>7</v>
      </c>
      <c r="M377" s="2">
        <f t="shared" si="17"/>
        <v>7</v>
      </c>
      <c r="N377" s="2">
        <v>7</v>
      </c>
      <c r="O377" s="2">
        <v>13</v>
      </c>
      <c r="P377" t="s">
        <v>660</v>
      </c>
      <c r="Q377" s="3" t="s">
        <v>122</v>
      </c>
      <c r="R377" s="3" t="s">
        <v>123</v>
      </c>
    </row>
    <row r="378" spans="1:18" ht="35" customHeight="1">
      <c r="A378" t="s">
        <v>661</v>
      </c>
      <c r="B378" s="3" t="s">
        <v>43</v>
      </c>
      <c r="C378">
        <v>0</v>
      </c>
      <c r="D378" s="2">
        <v>1</v>
      </c>
      <c r="E378" s="2">
        <v>1</v>
      </c>
      <c r="F378" s="2">
        <v>1</v>
      </c>
      <c r="G378" s="2">
        <v>1</v>
      </c>
      <c r="H378" s="2">
        <v>0</v>
      </c>
      <c r="I378" s="2">
        <v>1</v>
      </c>
      <c r="J378" s="2">
        <v>1</v>
      </c>
      <c r="K378" s="2">
        <f t="shared" si="15"/>
        <v>1</v>
      </c>
      <c r="L378" s="2">
        <f t="shared" si="16"/>
        <v>6</v>
      </c>
      <c r="M378" s="2">
        <f t="shared" si="17"/>
        <v>6</v>
      </c>
      <c r="N378" s="2">
        <v>6</v>
      </c>
      <c r="O378" s="2">
        <v>14</v>
      </c>
      <c r="P378" t="s">
        <v>26</v>
      </c>
      <c r="Q378" s="3" t="s">
        <v>173</v>
      </c>
      <c r="R378" s="3" t="s">
        <v>174</v>
      </c>
    </row>
    <row r="379" spans="1:18" ht="35" customHeight="1">
      <c r="A379" t="s">
        <v>662</v>
      </c>
      <c r="B379" s="3" t="s">
        <v>43</v>
      </c>
      <c r="C379">
        <v>0</v>
      </c>
      <c r="D379" s="2">
        <v>0</v>
      </c>
      <c r="E379" s="2">
        <v>0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  <c r="K379" s="2">
        <f t="shared" si="15"/>
        <v>1</v>
      </c>
      <c r="L379" s="2">
        <f t="shared" si="16"/>
        <v>1</v>
      </c>
      <c r="M379" s="2">
        <f t="shared" si="17"/>
        <v>1</v>
      </c>
      <c r="N379" s="2">
        <v>1</v>
      </c>
      <c r="O379" s="2">
        <v>14</v>
      </c>
      <c r="P379" t="s">
        <v>26</v>
      </c>
      <c r="Q379" s="3" t="s">
        <v>271</v>
      </c>
      <c r="R379" s="3" t="s">
        <v>272</v>
      </c>
    </row>
    <row r="380" spans="1:18" ht="35" customHeight="1">
      <c r="A380" t="s">
        <v>663</v>
      </c>
      <c r="B380" s="3" t="s">
        <v>664</v>
      </c>
      <c r="C380">
        <v>8</v>
      </c>
      <c r="D380" s="2">
        <v>1</v>
      </c>
      <c r="E380" s="2">
        <v>1</v>
      </c>
      <c r="F380" s="2">
        <v>1</v>
      </c>
      <c r="G380" s="2">
        <v>2</v>
      </c>
      <c r="H380" s="2">
        <v>1</v>
      </c>
      <c r="I380" s="2">
        <v>1</v>
      </c>
      <c r="J380" s="2">
        <v>1</v>
      </c>
      <c r="K380" s="2">
        <f t="shared" si="15"/>
        <v>1</v>
      </c>
      <c r="L380" s="2">
        <f t="shared" si="16"/>
        <v>7</v>
      </c>
      <c r="M380" s="2">
        <f t="shared" si="17"/>
        <v>8</v>
      </c>
      <c r="N380" s="2">
        <v>0</v>
      </c>
      <c r="O380" s="2">
        <v>14</v>
      </c>
      <c r="P380" t="s">
        <v>26</v>
      </c>
      <c r="Q380" s="3" t="s">
        <v>664</v>
      </c>
      <c r="R380" s="3" t="s">
        <v>581</v>
      </c>
    </row>
    <row r="381" spans="1:18" ht="35" customHeight="1">
      <c r="A381" t="s">
        <v>155</v>
      </c>
      <c r="B381" s="3" t="s">
        <v>43</v>
      </c>
      <c r="C381">
        <v>0</v>
      </c>
      <c r="D381" s="2">
        <v>0</v>
      </c>
      <c r="E381" s="2">
        <v>2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f t="shared" si="15"/>
        <v>2</v>
      </c>
      <c r="L381" s="2">
        <f t="shared" si="16"/>
        <v>1</v>
      </c>
      <c r="M381" s="2">
        <f t="shared" si="17"/>
        <v>2</v>
      </c>
      <c r="N381" s="2">
        <v>2</v>
      </c>
      <c r="O381" s="2">
        <v>14</v>
      </c>
      <c r="P381" t="s">
        <v>26</v>
      </c>
      <c r="Q381" s="3" t="s">
        <v>152</v>
      </c>
      <c r="R381" s="3" t="s">
        <v>153</v>
      </c>
    </row>
    <row r="382" spans="1:18" ht="35" customHeight="1">
      <c r="A382" t="s">
        <v>665</v>
      </c>
      <c r="B382" s="3" t="s">
        <v>637</v>
      </c>
      <c r="C382">
        <v>7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f t="shared" si="15"/>
        <v>0</v>
      </c>
      <c r="L382" s="2">
        <f t="shared" si="16"/>
        <v>7</v>
      </c>
      <c r="M382" s="2">
        <f t="shared" si="17"/>
        <v>7</v>
      </c>
      <c r="N382" s="2">
        <v>0</v>
      </c>
      <c r="O382" s="2">
        <v>14</v>
      </c>
      <c r="P382" t="s">
        <v>26</v>
      </c>
      <c r="Q382" s="3" t="s">
        <v>637</v>
      </c>
      <c r="R382" s="3" t="s">
        <v>171</v>
      </c>
    </row>
    <row r="383" spans="1:18" ht="35" customHeight="1">
      <c r="A383" t="s">
        <v>666</v>
      </c>
      <c r="B383" s="3" t="s">
        <v>43</v>
      </c>
      <c r="C383">
        <v>0</v>
      </c>
      <c r="D383" s="2">
        <v>1</v>
      </c>
      <c r="E383" s="2">
        <v>1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f t="shared" si="15"/>
        <v>0</v>
      </c>
      <c r="L383" s="2">
        <f t="shared" si="16"/>
        <v>7</v>
      </c>
      <c r="M383" s="2">
        <f t="shared" si="17"/>
        <v>7</v>
      </c>
      <c r="N383" s="2">
        <v>7</v>
      </c>
      <c r="O383" s="2">
        <v>13</v>
      </c>
      <c r="P383" t="s">
        <v>660</v>
      </c>
      <c r="Q383" s="3" t="s">
        <v>122</v>
      </c>
      <c r="R383" s="3" t="s">
        <v>123</v>
      </c>
    </row>
    <row r="384" spans="1:18" ht="35" customHeight="1">
      <c r="A384" t="s">
        <v>667</v>
      </c>
      <c r="B384" s="3" t="s">
        <v>43</v>
      </c>
      <c r="C384">
        <v>0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f t="shared" si="15"/>
        <v>0</v>
      </c>
      <c r="L384" s="2">
        <f t="shared" si="16"/>
        <v>7</v>
      </c>
      <c r="M384" s="2">
        <f t="shared" si="17"/>
        <v>7</v>
      </c>
      <c r="N384" s="2">
        <v>7</v>
      </c>
      <c r="O384" s="2">
        <v>5</v>
      </c>
      <c r="P384" t="s">
        <v>668</v>
      </c>
      <c r="Q384" s="3" t="s">
        <v>122</v>
      </c>
      <c r="R384" s="3" t="s">
        <v>123</v>
      </c>
    </row>
    <row r="385" spans="1:18" ht="35" customHeight="1">
      <c r="A385" t="s">
        <v>669</v>
      </c>
      <c r="B385" s="3" t="s">
        <v>43</v>
      </c>
      <c r="C385">
        <v>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f t="shared" si="15"/>
        <v>1</v>
      </c>
      <c r="L385" s="2">
        <f t="shared" si="16"/>
        <v>1</v>
      </c>
      <c r="M385" s="2">
        <f t="shared" si="17"/>
        <v>1</v>
      </c>
      <c r="N385" s="2">
        <v>1</v>
      </c>
      <c r="O385" s="2">
        <v>12</v>
      </c>
      <c r="P385" t="s">
        <v>362</v>
      </c>
      <c r="Q385" s="3" t="s">
        <v>271</v>
      </c>
      <c r="R385" s="3" t="s">
        <v>272</v>
      </c>
    </row>
    <row r="386" spans="1:18" ht="35" customHeight="1">
      <c r="A386" t="s">
        <v>670</v>
      </c>
      <c r="B386" s="3" t="s">
        <v>43</v>
      </c>
      <c r="C386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1</v>
      </c>
      <c r="K386" s="2">
        <f t="shared" si="15"/>
        <v>1</v>
      </c>
      <c r="L386" s="2">
        <f t="shared" si="16"/>
        <v>1</v>
      </c>
      <c r="M386" s="2">
        <f t="shared" si="17"/>
        <v>1</v>
      </c>
      <c r="N386" s="2">
        <v>1</v>
      </c>
      <c r="O386" s="2">
        <v>14</v>
      </c>
      <c r="P386" t="s">
        <v>26</v>
      </c>
      <c r="Q386" s="3" t="s">
        <v>271</v>
      </c>
      <c r="R386" s="3" t="s">
        <v>272</v>
      </c>
    </row>
    <row r="387" spans="1:18" ht="35" customHeight="1">
      <c r="A387" t="s">
        <v>671</v>
      </c>
      <c r="B387" s="3" t="s">
        <v>43</v>
      </c>
      <c r="C387">
        <v>0</v>
      </c>
      <c r="D387" s="2">
        <v>1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f t="shared" ref="K387:K450" si="18">MAX(D387:J387)-MIN(D387:J387)</f>
        <v>0</v>
      </c>
      <c r="L387" s="2">
        <f t="shared" ref="L387:L450" si="19">COUNTIF(D387:J387,"&gt;0")</f>
        <v>7</v>
      </c>
      <c r="M387" s="2">
        <f t="shared" ref="M387:M450" si="20">SUM(D387:J387)</f>
        <v>7</v>
      </c>
      <c r="N387" s="2">
        <v>7</v>
      </c>
      <c r="O387" s="2">
        <v>12</v>
      </c>
      <c r="P387" t="s">
        <v>672</v>
      </c>
      <c r="Q387" s="3" t="s">
        <v>122</v>
      </c>
      <c r="R387" s="3" t="s">
        <v>123</v>
      </c>
    </row>
    <row r="388" spans="1:18" ht="35" customHeight="1">
      <c r="A388" t="s">
        <v>673</v>
      </c>
      <c r="B388" s="3" t="s">
        <v>43</v>
      </c>
      <c r="C388">
        <v>0</v>
      </c>
      <c r="D388" s="2">
        <v>1</v>
      </c>
      <c r="E388" s="2">
        <v>1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f t="shared" si="18"/>
        <v>0</v>
      </c>
      <c r="L388" s="2">
        <f t="shared" si="19"/>
        <v>7</v>
      </c>
      <c r="M388" s="2">
        <f t="shared" si="20"/>
        <v>7</v>
      </c>
      <c r="N388" s="2">
        <v>7</v>
      </c>
      <c r="O388" s="2">
        <v>12</v>
      </c>
      <c r="P388" t="s">
        <v>362</v>
      </c>
      <c r="Q388" s="3" t="s">
        <v>122</v>
      </c>
      <c r="R388" s="3" t="s">
        <v>123</v>
      </c>
    </row>
    <row r="389" spans="1:18" ht="35" customHeight="1">
      <c r="A389" t="s">
        <v>674</v>
      </c>
      <c r="B389" s="3" t="s">
        <v>43</v>
      </c>
      <c r="C389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1</v>
      </c>
      <c r="K389" s="2">
        <f t="shared" si="18"/>
        <v>1</v>
      </c>
      <c r="L389" s="2">
        <f t="shared" si="19"/>
        <v>1</v>
      </c>
      <c r="M389" s="2">
        <f t="shared" si="20"/>
        <v>1</v>
      </c>
      <c r="N389" s="2">
        <v>1</v>
      </c>
      <c r="O389" s="2">
        <v>11</v>
      </c>
      <c r="P389" t="s">
        <v>675</v>
      </c>
      <c r="Q389" s="3" t="s">
        <v>271</v>
      </c>
      <c r="R389" s="3" t="s">
        <v>272</v>
      </c>
    </row>
    <row r="390" spans="1:18" ht="35" customHeight="1">
      <c r="A390" t="s">
        <v>676</v>
      </c>
      <c r="B390" s="3" t="s">
        <v>43</v>
      </c>
      <c r="C390">
        <v>0</v>
      </c>
      <c r="D390" s="2">
        <v>1</v>
      </c>
      <c r="E390" s="2">
        <v>1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f t="shared" si="18"/>
        <v>0</v>
      </c>
      <c r="L390" s="2">
        <f t="shared" si="19"/>
        <v>7</v>
      </c>
      <c r="M390" s="2">
        <f t="shared" si="20"/>
        <v>7</v>
      </c>
      <c r="N390" s="2">
        <v>7</v>
      </c>
      <c r="O390" s="2">
        <v>13</v>
      </c>
      <c r="P390" t="s">
        <v>677</v>
      </c>
      <c r="Q390" s="3" t="s">
        <v>122</v>
      </c>
      <c r="R390" s="3" t="s">
        <v>123</v>
      </c>
    </row>
    <row r="391" spans="1:18" ht="35" customHeight="1">
      <c r="A391" t="s">
        <v>134</v>
      </c>
      <c r="B391" s="3" t="s">
        <v>43</v>
      </c>
      <c r="C391">
        <v>0</v>
      </c>
      <c r="D391" s="2">
        <v>1</v>
      </c>
      <c r="E391" s="2">
        <v>1</v>
      </c>
      <c r="F391" s="2">
        <v>0</v>
      </c>
      <c r="G391" s="2">
        <v>1</v>
      </c>
      <c r="H391" s="2">
        <v>1</v>
      </c>
      <c r="I391" s="2">
        <v>1</v>
      </c>
      <c r="J391" s="2">
        <v>2</v>
      </c>
      <c r="K391" s="2">
        <f t="shared" si="18"/>
        <v>2</v>
      </c>
      <c r="L391" s="2">
        <f t="shared" si="19"/>
        <v>6</v>
      </c>
      <c r="M391" s="2">
        <f t="shared" si="20"/>
        <v>7</v>
      </c>
      <c r="N391" s="2">
        <v>7</v>
      </c>
      <c r="O391" s="2">
        <v>14</v>
      </c>
      <c r="P391" t="s">
        <v>26</v>
      </c>
      <c r="Q391" s="3" t="s">
        <v>122</v>
      </c>
      <c r="R391" s="3" t="s">
        <v>123</v>
      </c>
    </row>
    <row r="392" spans="1:18" ht="35" customHeight="1">
      <c r="A392" t="s">
        <v>678</v>
      </c>
      <c r="B392" s="3" t="s">
        <v>43</v>
      </c>
      <c r="C392">
        <v>0</v>
      </c>
      <c r="D392" s="2">
        <v>1</v>
      </c>
      <c r="E392" s="2">
        <v>1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f t="shared" si="18"/>
        <v>0</v>
      </c>
      <c r="L392" s="2">
        <f t="shared" si="19"/>
        <v>7</v>
      </c>
      <c r="M392" s="2">
        <f t="shared" si="20"/>
        <v>7</v>
      </c>
      <c r="N392" s="2">
        <v>7</v>
      </c>
      <c r="O392" s="2">
        <v>13</v>
      </c>
      <c r="P392" t="s">
        <v>512</v>
      </c>
      <c r="Q392" s="3" t="s">
        <v>122</v>
      </c>
      <c r="R392" s="3" t="s">
        <v>123</v>
      </c>
    </row>
    <row r="393" spans="1:18" ht="35" customHeight="1">
      <c r="A393" t="s">
        <v>679</v>
      </c>
      <c r="B393" s="3" t="s">
        <v>43</v>
      </c>
      <c r="C393">
        <v>0</v>
      </c>
      <c r="D393" s="2">
        <v>1</v>
      </c>
      <c r="E393" s="2">
        <v>1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f t="shared" si="18"/>
        <v>0</v>
      </c>
      <c r="L393" s="2">
        <f t="shared" si="19"/>
        <v>7</v>
      </c>
      <c r="M393" s="2">
        <f t="shared" si="20"/>
        <v>7</v>
      </c>
      <c r="N393" s="2">
        <v>7</v>
      </c>
      <c r="O393" s="2">
        <v>13</v>
      </c>
      <c r="P393" t="s">
        <v>310</v>
      </c>
      <c r="Q393" s="3" t="s">
        <v>122</v>
      </c>
      <c r="R393" s="3" t="s">
        <v>123</v>
      </c>
    </row>
    <row r="394" spans="1:18" ht="35" customHeight="1">
      <c r="A394" t="s">
        <v>680</v>
      </c>
      <c r="B394" s="3" t="s">
        <v>43</v>
      </c>
      <c r="C394">
        <v>0</v>
      </c>
      <c r="D394" s="2">
        <v>1</v>
      </c>
      <c r="E394" s="2">
        <v>1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f t="shared" si="18"/>
        <v>0</v>
      </c>
      <c r="L394" s="2">
        <f t="shared" si="19"/>
        <v>7</v>
      </c>
      <c r="M394" s="2">
        <f t="shared" si="20"/>
        <v>7</v>
      </c>
      <c r="N394" s="2">
        <v>7</v>
      </c>
      <c r="O394" s="2">
        <v>11</v>
      </c>
      <c r="P394" t="s">
        <v>681</v>
      </c>
      <c r="Q394" s="3" t="s">
        <v>122</v>
      </c>
      <c r="R394" s="3" t="s">
        <v>123</v>
      </c>
    </row>
    <row r="395" spans="1:18" ht="35" customHeight="1">
      <c r="A395" t="s">
        <v>682</v>
      </c>
      <c r="B395" s="3" t="s">
        <v>43</v>
      </c>
      <c r="C395">
        <v>0</v>
      </c>
      <c r="D395" s="2">
        <v>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f t="shared" si="18"/>
        <v>0</v>
      </c>
      <c r="L395" s="2">
        <f t="shared" si="19"/>
        <v>7</v>
      </c>
      <c r="M395" s="2">
        <f t="shared" si="20"/>
        <v>7</v>
      </c>
      <c r="N395" s="2">
        <v>7</v>
      </c>
      <c r="O395" s="2">
        <v>14</v>
      </c>
      <c r="P395" t="s">
        <v>26</v>
      </c>
      <c r="Q395" s="3" t="s">
        <v>122</v>
      </c>
      <c r="R395" s="3" t="s">
        <v>123</v>
      </c>
    </row>
    <row r="396" spans="1:18" ht="35" customHeight="1">
      <c r="A396" t="s">
        <v>683</v>
      </c>
      <c r="B396" s="3" t="s">
        <v>684</v>
      </c>
      <c r="C396">
        <v>6</v>
      </c>
      <c r="D396" s="2">
        <v>1</v>
      </c>
      <c r="E396" s="2">
        <v>1</v>
      </c>
      <c r="F396" s="2">
        <v>0</v>
      </c>
      <c r="G396" s="2">
        <v>1</v>
      </c>
      <c r="H396" s="2">
        <v>1</v>
      </c>
      <c r="I396" s="2">
        <v>1</v>
      </c>
      <c r="J396" s="2">
        <v>1</v>
      </c>
      <c r="K396" s="2">
        <f t="shared" si="18"/>
        <v>1</v>
      </c>
      <c r="L396" s="2">
        <f t="shared" si="19"/>
        <v>6</v>
      </c>
      <c r="M396" s="2">
        <f t="shared" si="20"/>
        <v>6</v>
      </c>
      <c r="N396" s="2">
        <v>0</v>
      </c>
      <c r="O396" s="2">
        <v>14</v>
      </c>
      <c r="P396" t="s">
        <v>26</v>
      </c>
      <c r="Q396" s="3" t="s">
        <v>684</v>
      </c>
      <c r="R396" s="3" t="s">
        <v>168</v>
      </c>
    </row>
    <row r="397" spans="1:18" ht="35" customHeight="1">
      <c r="A397" t="s">
        <v>685</v>
      </c>
      <c r="B397" s="3" t="s">
        <v>43</v>
      </c>
      <c r="C397">
        <v>0</v>
      </c>
      <c r="D397" s="2">
        <v>1</v>
      </c>
      <c r="E397" s="2">
        <v>1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f t="shared" si="18"/>
        <v>0</v>
      </c>
      <c r="L397" s="2">
        <f t="shared" si="19"/>
        <v>7</v>
      </c>
      <c r="M397" s="2">
        <f t="shared" si="20"/>
        <v>7</v>
      </c>
      <c r="N397" s="2">
        <v>7</v>
      </c>
      <c r="O397" s="2">
        <v>14</v>
      </c>
      <c r="P397" t="s">
        <v>26</v>
      </c>
      <c r="Q397" s="3" t="s">
        <v>122</v>
      </c>
      <c r="R397" s="3" t="s">
        <v>123</v>
      </c>
    </row>
    <row r="398" spans="1:18" ht="35" customHeight="1">
      <c r="A398" t="s">
        <v>686</v>
      </c>
      <c r="B398" s="3" t="s">
        <v>43</v>
      </c>
      <c r="C398">
        <v>0</v>
      </c>
      <c r="D398" s="2">
        <v>1</v>
      </c>
      <c r="E398" s="2">
        <v>1</v>
      </c>
      <c r="F398" s="2">
        <v>1</v>
      </c>
      <c r="G398" s="2">
        <v>1</v>
      </c>
      <c r="H398" s="2">
        <v>2</v>
      </c>
      <c r="I398" s="2">
        <v>1</v>
      </c>
      <c r="J398" s="2">
        <v>1</v>
      </c>
      <c r="K398" s="2">
        <f t="shared" si="18"/>
        <v>1</v>
      </c>
      <c r="L398" s="2">
        <f t="shared" si="19"/>
        <v>7</v>
      </c>
      <c r="M398" s="2">
        <f t="shared" si="20"/>
        <v>8</v>
      </c>
      <c r="N398" s="2">
        <v>8</v>
      </c>
      <c r="O398" s="2">
        <v>13</v>
      </c>
      <c r="P398" t="s">
        <v>310</v>
      </c>
      <c r="Q398" s="3" t="s">
        <v>119</v>
      </c>
      <c r="R398" s="3" t="s">
        <v>120</v>
      </c>
    </row>
    <row r="399" spans="1:18" ht="35" customHeight="1">
      <c r="A399" t="s">
        <v>687</v>
      </c>
      <c r="B399" s="3" t="s">
        <v>43</v>
      </c>
      <c r="C399">
        <v>0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f t="shared" si="18"/>
        <v>1</v>
      </c>
      <c r="L399" s="2">
        <f t="shared" si="19"/>
        <v>1</v>
      </c>
      <c r="M399" s="2">
        <f t="shared" si="20"/>
        <v>1</v>
      </c>
      <c r="N399" s="2">
        <v>1</v>
      </c>
      <c r="O399" s="2">
        <v>14</v>
      </c>
      <c r="P399" t="s">
        <v>26</v>
      </c>
      <c r="Q399" s="3" t="s">
        <v>271</v>
      </c>
      <c r="R399" s="3" t="s">
        <v>272</v>
      </c>
    </row>
    <row r="400" spans="1:18" ht="35" customHeight="1">
      <c r="A400" t="s">
        <v>688</v>
      </c>
      <c r="B400" s="3" t="s">
        <v>43</v>
      </c>
      <c r="C400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f t="shared" si="18"/>
        <v>1</v>
      </c>
      <c r="L400" s="2">
        <f t="shared" si="19"/>
        <v>1</v>
      </c>
      <c r="M400" s="2">
        <f t="shared" si="20"/>
        <v>1</v>
      </c>
      <c r="N400" s="2">
        <v>1</v>
      </c>
      <c r="O400" s="2">
        <v>13</v>
      </c>
      <c r="P400" t="s">
        <v>677</v>
      </c>
      <c r="Q400" s="3" t="s">
        <v>271</v>
      </c>
      <c r="R400" s="3" t="s">
        <v>272</v>
      </c>
    </row>
    <row r="401" spans="1:18" ht="35" customHeight="1">
      <c r="A401" t="s">
        <v>689</v>
      </c>
      <c r="B401" s="3" t="s">
        <v>43</v>
      </c>
      <c r="C401">
        <v>0</v>
      </c>
      <c r="D401" s="2">
        <v>0</v>
      </c>
      <c r="E401" s="2">
        <v>0</v>
      </c>
      <c r="F401" s="2">
        <v>1</v>
      </c>
      <c r="G401" s="2">
        <v>0</v>
      </c>
      <c r="H401" s="2">
        <v>0</v>
      </c>
      <c r="I401" s="2">
        <v>1</v>
      </c>
      <c r="J401" s="2">
        <v>0</v>
      </c>
      <c r="K401" s="2">
        <f t="shared" si="18"/>
        <v>1</v>
      </c>
      <c r="L401" s="2">
        <f t="shared" si="19"/>
        <v>2</v>
      </c>
      <c r="M401" s="2">
        <f t="shared" si="20"/>
        <v>2</v>
      </c>
      <c r="N401" s="2">
        <v>2</v>
      </c>
      <c r="O401" s="2">
        <v>13</v>
      </c>
      <c r="P401" t="s">
        <v>128</v>
      </c>
      <c r="Q401" s="3" t="s">
        <v>152</v>
      </c>
      <c r="R401" s="3" t="s">
        <v>153</v>
      </c>
    </row>
    <row r="402" spans="1:18" ht="35" customHeight="1">
      <c r="A402" t="s">
        <v>690</v>
      </c>
      <c r="B402" s="3" t="s">
        <v>43</v>
      </c>
      <c r="C402">
        <v>0</v>
      </c>
      <c r="D402" s="2">
        <v>1</v>
      </c>
      <c r="E402" s="2">
        <v>1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f t="shared" si="18"/>
        <v>0</v>
      </c>
      <c r="L402" s="2">
        <f t="shared" si="19"/>
        <v>7</v>
      </c>
      <c r="M402" s="2">
        <f t="shared" si="20"/>
        <v>7</v>
      </c>
      <c r="N402" s="2">
        <v>7</v>
      </c>
      <c r="O402" s="2">
        <v>14</v>
      </c>
      <c r="P402" t="s">
        <v>26</v>
      </c>
      <c r="Q402" s="3" t="s">
        <v>122</v>
      </c>
      <c r="R402" s="3" t="s">
        <v>123</v>
      </c>
    </row>
    <row r="403" spans="1:18" ht="35" customHeight="1">
      <c r="A403" t="s">
        <v>691</v>
      </c>
      <c r="B403" s="3" t="s">
        <v>43</v>
      </c>
      <c r="C403">
        <v>0</v>
      </c>
      <c r="D403" s="2">
        <v>1</v>
      </c>
      <c r="E403" s="2">
        <v>1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f t="shared" si="18"/>
        <v>0</v>
      </c>
      <c r="L403" s="2">
        <f t="shared" si="19"/>
        <v>7</v>
      </c>
      <c r="M403" s="2">
        <f t="shared" si="20"/>
        <v>7</v>
      </c>
      <c r="N403" s="2">
        <v>7</v>
      </c>
      <c r="O403" s="2">
        <v>14</v>
      </c>
      <c r="P403" t="s">
        <v>26</v>
      </c>
      <c r="Q403" s="3" t="s">
        <v>122</v>
      </c>
      <c r="R403" s="3" t="s">
        <v>123</v>
      </c>
    </row>
    <row r="404" spans="1:18" ht="35" customHeight="1">
      <c r="A404" t="s">
        <v>692</v>
      </c>
      <c r="B404" s="3" t="s">
        <v>43</v>
      </c>
      <c r="C404">
        <v>0</v>
      </c>
      <c r="D404" s="2">
        <v>1</v>
      </c>
      <c r="E404" s="2">
        <v>1</v>
      </c>
      <c r="F404" s="2">
        <v>0</v>
      </c>
      <c r="G404" s="2">
        <v>1</v>
      </c>
      <c r="H404" s="2">
        <v>1</v>
      </c>
      <c r="I404" s="2">
        <v>1</v>
      </c>
      <c r="J404" s="2">
        <v>1</v>
      </c>
      <c r="K404" s="2">
        <f t="shared" si="18"/>
        <v>1</v>
      </c>
      <c r="L404" s="2">
        <f t="shared" si="19"/>
        <v>6</v>
      </c>
      <c r="M404" s="2">
        <f t="shared" si="20"/>
        <v>6</v>
      </c>
      <c r="N404" s="2">
        <v>6</v>
      </c>
      <c r="O404" s="2">
        <v>14</v>
      </c>
      <c r="P404" t="s">
        <v>26</v>
      </c>
      <c r="Q404" s="3" t="s">
        <v>173</v>
      </c>
      <c r="R404" s="3" t="s">
        <v>174</v>
      </c>
    </row>
    <row r="405" spans="1:18" ht="35" customHeight="1">
      <c r="A405" t="s">
        <v>88</v>
      </c>
      <c r="B405" s="3" t="s">
        <v>43</v>
      </c>
      <c r="C405">
        <v>0</v>
      </c>
      <c r="D405" s="2">
        <v>2</v>
      </c>
      <c r="E405" s="2">
        <v>2</v>
      </c>
      <c r="F405" s="2">
        <v>1</v>
      </c>
      <c r="G405" s="2">
        <v>2</v>
      </c>
      <c r="H405" s="2">
        <v>3</v>
      </c>
      <c r="I405" s="2">
        <v>2</v>
      </c>
      <c r="J405" s="2">
        <v>2</v>
      </c>
      <c r="K405" s="2">
        <f t="shared" si="18"/>
        <v>2</v>
      </c>
      <c r="L405" s="2">
        <f t="shared" si="19"/>
        <v>7</v>
      </c>
      <c r="M405" s="2">
        <f t="shared" si="20"/>
        <v>14</v>
      </c>
      <c r="N405" s="2">
        <v>14</v>
      </c>
      <c r="O405" s="2">
        <v>4</v>
      </c>
      <c r="P405" t="s">
        <v>89</v>
      </c>
      <c r="Q405" s="3" t="s">
        <v>49</v>
      </c>
      <c r="R405" s="3" t="s">
        <v>50</v>
      </c>
    </row>
    <row r="406" spans="1:18" ht="35" customHeight="1">
      <c r="A406" t="s">
        <v>693</v>
      </c>
      <c r="B406" s="3" t="s">
        <v>694</v>
      </c>
      <c r="C406">
        <v>4</v>
      </c>
      <c r="D406" s="2">
        <v>1</v>
      </c>
      <c r="E406" s="2">
        <v>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f t="shared" si="18"/>
        <v>0</v>
      </c>
      <c r="L406" s="2">
        <f t="shared" si="19"/>
        <v>7</v>
      </c>
      <c r="M406" s="2">
        <f t="shared" si="20"/>
        <v>7</v>
      </c>
      <c r="N406" s="2">
        <v>3</v>
      </c>
      <c r="O406" s="2">
        <v>12</v>
      </c>
      <c r="P406" t="s">
        <v>578</v>
      </c>
      <c r="Q406" s="3" t="s">
        <v>695</v>
      </c>
      <c r="R406" s="3" t="s">
        <v>164</v>
      </c>
    </row>
    <row r="407" spans="1:18" ht="35" customHeight="1">
      <c r="A407" t="s">
        <v>696</v>
      </c>
      <c r="B407" s="3" t="s">
        <v>477</v>
      </c>
      <c r="C407">
        <v>7</v>
      </c>
      <c r="D407" s="2">
        <v>1</v>
      </c>
      <c r="E407" s="2">
        <v>1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f t="shared" si="18"/>
        <v>0</v>
      </c>
      <c r="L407" s="2">
        <f t="shared" si="19"/>
        <v>7</v>
      </c>
      <c r="M407" s="2">
        <f t="shared" si="20"/>
        <v>7</v>
      </c>
      <c r="N407" s="2">
        <v>0</v>
      </c>
      <c r="O407" s="2">
        <v>14</v>
      </c>
      <c r="P407" t="s">
        <v>26</v>
      </c>
      <c r="Q407" s="3" t="s">
        <v>477</v>
      </c>
      <c r="R407" s="3" t="s">
        <v>171</v>
      </c>
    </row>
    <row r="408" spans="1:18" ht="35" customHeight="1">
      <c r="A408" t="s">
        <v>697</v>
      </c>
      <c r="B408" s="3" t="s">
        <v>477</v>
      </c>
      <c r="C408">
        <v>7</v>
      </c>
      <c r="D408" s="2">
        <v>1</v>
      </c>
      <c r="E408" s="2">
        <v>1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f t="shared" si="18"/>
        <v>0</v>
      </c>
      <c r="L408" s="2">
        <f t="shared" si="19"/>
        <v>7</v>
      </c>
      <c r="M408" s="2">
        <f t="shared" si="20"/>
        <v>7</v>
      </c>
      <c r="N408" s="2">
        <v>0</v>
      </c>
      <c r="O408" s="2">
        <v>13</v>
      </c>
      <c r="P408" t="s">
        <v>512</v>
      </c>
      <c r="Q408" s="3" t="s">
        <v>477</v>
      </c>
      <c r="R408" s="3" t="s">
        <v>171</v>
      </c>
    </row>
    <row r="409" spans="1:18" ht="35" customHeight="1">
      <c r="A409" t="s">
        <v>698</v>
      </c>
      <c r="B409" s="3" t="s">
        <v>43</v>
      </c>
      <c r="C409">
        <v>0</v>
      </c>
      <c r="D409" s="2">
        <v>1</v>
      </c>
      <c r="E409" s="2">
        <v>1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f t="shared" si="18"/>
        <v>0</v>
      </c>
      <c r="L409" s="2">
        <f t="shared" si="19"/>
        <v>7</v>
      </c>
      <c r="M409" s="2">
        <f t="shared" si="20"/>
        <v>7</v>
      </c>
      <c r="N409" s="2">
        <v>7</v>
      </c>
      <c r="O409" s="2">
        <v>11</v>
      </c>
      <c r="P409" t="s">
        <v>420</v>
      </c>
      <c r="Q409" s="3" t="s">
        <v>122</v>
      </c>
      <c r="R409" s="3" t="s">
        <v>123</v>
      </c>
    </row>
    <row r="410" spans="1:18" ht="35" customHeight="1">
      <c r="A410" t="s">
        <v>699</v>
      </c>
      <c r="B410" s="3" t="s">
        <v>43</v>
      </c>
      <c r="C410">
        <v>0</v>
      </c>
      <c r="D410" s="2">
        <v>1</v>
      </c>
      <c r="E410" s="2">
        <v>1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f t="shared" si="18"/>
        <v>0</v>
      </c>
      <c r="L410" s="2">
        <f t="shared" si="19"/>
        <v>7</v>
      </c>
      <c r="M410" s="2">
        <f t="shared" si="20"/>
        <v>7</v>
      </c>
      <c r="N410" s="2">
        <v>7</v>
      </c>
      <c r="O410" s="2">
        <v>14</v>
      </c>
      <c r="P410" t="s">
        <v>26</v>
      </c>
      <c r="Q410" s="3" t="s">
        <v>122</v>
      </c>
      <c r="R410" s="3" t="s">
        <v>123</v>
      </c>
    </row>
    <row r="411" spans="1:18" ht="35" customHeight="1">
      <c r="A411" t="s">
        <v>700</v>
      </c>
      <c r="B411" s="3" t="s">
        <v>43</v>
      </c>
      <c r="C411">
        <v>0</v>
      </c>
      <c r="D411" s="2">
        <v>1</v>
      </c>
      <c r="E411" s="2">
        <v>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f t="shared" si="18"/>
        <v>0</v>
      </c>
      <c r="L411" s="2">
        <f t="shared" si="19"/>
        <v>7</v>
      </c>
      <c r="M411" s="2">
        <f t="shared" si="20"/>
        <v>7</v>
      </c>
      <c r="N411" s="2">
        <v>7</v>
      </c>
      <c r="O411" s="2">
        <v>14</v>
      </c>
      <c r="P411" t="s">
        <v>26</v>
      </c>
      <c r="Q411" s="3" t="s">
        <v>122</v>
      </c>
      <c r="R411" s="3" t="s">
        <v>123</v>
      </c>
    </row>
    <row r="412" spans="1:18" ht="35" customHeight="1">
      <c r="A412" t="s">
        <v>701</v>
      </c>
      <c r="B412" s="3" t="s">
        <v>43</v>
      </c>
      <c r="C412">
        <v>0</v>
      </c>
      <c r="D412" s="2">
        <v>0</v>
      </c>
      <c r="E412" s="2">
        <v>1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f t="shared" si="18"/>
        <v>1</v>
      </c>
      <c r="L412" s="2">
        <f t="shared" si="19"/>
        <v>1</v>
      </c>
      <c r="M412" s="2">
        <f t="shared" si="20"/>
        <v>1</v>
      </c>
      <c r="N412" s="2">
        <v>1</v>
      </c>
      <c r="O412" s="2">
        <v>13</v>
      </c>
      <c r="P412" t="s">
        <v>210</v>
      </c>
      <c r="Q412" s="3" t="s">
        <v>271</v>
      </c>
      <c r="R412" s="3" t="s">
        <v>272</v>
      </c>
    </row>
    <row r="413" spans="1:18" ht="35" customHeight="1">
      <c r="A413" t="s">
        <v>702</v>
      </c>
      <c r="B413" s="3" t="s">
        <v>43</v>
      </c>
      <c r="C413">
        <v>0</v>
      </c>
      <c r="D413" s="2">
        <v>1</v>
      </c>
      <c r="E413" s="2">
        <v>1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f t="shared" si="18"/>
        <v>0</v>
      </c>
      <c r="L413" s="2">
        <f t="shared" si="19"/>
        <v>7</v>
      </c>
      <c r="M413" s="2">
        <f t="shared" si="20"/>
        <v>7</v>
      </c>
      <c r="N413" s="2">
        <v>7</v>
      </c>
      <c r="O413" s="2">
        <v>14</v>
      </c>
      <c r="P413" t="s">
        <v>26</v>
      </c>
      <c r="Q413" s="3" t="s">
        <v>122</v>
      </c>
      <c r="R413" s="3" t="s">
        <v>123</v>
      </c>
    </row>
    <row r="414" spans="1:18" ht="35" customHeight="1">
      <c r="A414" t="s">
        <v>703</v>
      </c>
      <c r="B414" s="3" t="s">
        <v>43</v>
      </c>
      <c r="C414">
        <v>0</v>
      </c>
      <c r="D414" s="2">
        <v>1</v>
      </c>
      <c r="E414" s="2">
        <v>1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f t="shared" si="18"/>
        <v>0</v>
      </c>
      <c r="L414" s="2">
        <f t="shared" si="19"/>
        <v>7</v>
      </c>
      <c r="M414" s="2">
        <f t="shared" si="20"/>
        <v>7</v>
      </c>
      <c r="N414" s="2">
        <v>7</v>
      </c>
      <c r="O414" s="2">
        <v>13</v>
      </c>
      <c r="P414" t="s">
        <v>310</v>
      </c>
      <c r="Q414" s="3" t="s">
        <v>122</v>
      </c>
      <c r="R414" s="3" t="s">
        <v>123</v>
      </c>
    </row>
    <row r="415" spans="1:18" ht="35" customHeight="1">
      <c r="A415" t="s">
        <v>704</v>
      </c>
      <c r="B415" s="3" t="s">
        <v>43</v>
      </c>
      <c r="C415">
        <v>0</v>
      </c>
      <c r="D415" s="2">
        <v>1</v>
      </c>
      <c r="E415" s="2">
        <v>1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f t="shared" si="18"/>
        <v>0</v>
      </c>
      <c r="L415" s="2">
        <f t="shared" si="19"/>
        <v>7</v>
      </c>
      <c r="M415" s="2">
        <f t="shared" si="20"/>
        <v>7</v>
      </c>
      <c r="N415" s="2">
        <v>7</v>
      </c>
      <c r="O415" s="2">
        <v>14</v>
      </c>
      <c r="P415" t="s">
        <v>26</v>
      </c>
      <c r="Q415" s="3" t="s">
        <v>122</v>
      </c>
      <c r="R415" s="3" t="s">
        <v>123</v>
      </c>
    </row>
    <row r="416" spans="1:18" ht="35" customHeight="1">
      <c r="A416" t="s">
        <v>705</v>
      </c>
      <c r="B416" s="3" t="s">
        <v>43</v>
      </c>
      <c r="C416">
        <v>0</v>
      </c>
      <c r="D416" s="2">
        <v>1</v>
      </c>
      <c r="E416" s="2">
        <v>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f t="shared" si="18"/>
        <v>1</v>
      </c>
      <c r="L416" s="2">
        <f t="shared" si="19"/>
        <v>6</v>
      </c>
      <c r="M416" s="2">
        <f t="shared" si="20"/>
        <v>6</v>
      </c>
      <c r="N416" s="2">
        <v>6</v>
      </c>
      <c r="O416" s="2">
        <v>14</v>
      </c>
      <c r="P416" t="s">
        <v>26</v>
      </c>
      <c r="Q416" s="3" t="s">
        <v>173</v>
      </c>
      <c r="R416" s="3" t="s">
        <v>174</v>
      </c>
    </row>
    <row r="417" spans="1:18" ht="35" customHeight="1">
      <c r="A417" t="s">
        <v>706</v>
      </c>
      <c r="B417" s="3" t="s">
        <v>707</v>
      </c>
      <c r="C417">
        <v>7</v>
      </c>
      <c r="D417" s="2">
        <v>1</v>
      </c>
      <c r="E417" s="2">
        <v>1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f t="shared" si="18"/>
        <v>0</v>
      </c>
      <c r="L417" s="2">
        <f t="shared" si="19"/>
        <v>7</v>
      </c>
      <c r="M417" s="2">
        <f t="shared" si="20"/>
        <v>7</v>
      </c>
      <c r="N417" s="2">
        <v>0</v>
      </c>
      <c r="O417" s="2">
        <v>14</v>
      </c>
      <c r="P417" t="s">
        <v>26</v>
      </c>
      <c r="Q417" s="3" t="s">
        <v>707</v>
      </c>
      <c r="R417" s="3" t="s">
        <v>171</v>
      </c>
    </row>
    <row r="418" spans="1:18" ht="35" customHeight="1">
      <c r="A418" t="s">
        <v>708</v>
      </c>
      <c r="B418" s="3" t="s">
        <v>43</v>
      </c>
      <c r="C418">
        <v>0</v>
      </c>
      <c r="D418" s="2">
        <v>1</v>
      </c>
      <c r="E418" s="2">
        <v>1</v>
      </c>
      <c r="F418" s="2">
        <v>1</v>
      </c>
      <c r="G418" s="2">
        <v>1</v>
      </c>
      <c r="H418" s="2">
        <v>0</v>
      </c>
      <c r="I418" s="2">
        <v>1</v>
      </c>
      <c r="J418" s="2">
        <v>1</v>
      </c>
      <c r="K418" s="2">
        <f t="shared" si="18"/>
        <v>1</v>
      </c>
      <c r="L418" s="2">
        <f t="shared" si="19"/>
        <v>6</v>
      </c>
      <c r="M418" s="2">
        <f t="shared" si="20"/>
        <v>6</v>
      </c>
      <c r="N418" s="2">
        <v>6</v>
      </c>
      <c r="O418" s="2">
        <v>14</v>
      </c>
      <c r="P418" t="s">
        <v>26</v>
      </c>
      <c r="Q418" s="3" t="s">
        <v>173</v>
      </c>
      <c r="R418" s="3" t="s">
        <v>174</v>
      </c>
    </row>
    <row r="419" spans="1:18" ht="35" customHeight="1">
      <c r="A419" t="s">
        <v>709</v>
      </c>
      <c r="B419" s="3" t="s">
        <v>43</v>
      </c>
      <c r="C419">
        <v>0</v>
      </c>
      <c r="D419" s="2">
        <v>0</v>
      </c>
      <c r="E419" s="2">
        <v>1</v>
      </c>
      <c r="F419" s="2">
        <v>1</v>
      </c>
      <c r="G419" s="2">
        <v>1</v>
      </c>
      <c r="H419" s="2">
        <v>1</v>
      </c>
      <c r="I419" s="2">
        <v>1</v>
      </c>
      <c r="J419" s="2">
        <v>0</v>
      </c>
      <c r="K419" s="2">
        <f t="shared" si="18"/>
        <v>1</v>
      </c>
      <c r="L419" s="2">
        <f t="shared" si="19"/>
        <v>5</v>
      </c>
      <c r="M419" s="2">
        <f t="shared" si="20"/>
        <v>5</v>
      </c>
      <c r="N419" s="2">
        <v>5</v>
      </c>
      <c r="O419" s="2">
        <v>14</v>
      </c>
      <c r="P419" t="s">
        <v>26</v>
      </c>
      <c r="Q419" s="3" t="s">
        <v>139</v>
      </c>
      <c r="R419" s="3" t="s">
        <v>140</v>
      </c>
    </row>
    <row r="420" spans="1:18" ht="35" customHeight="1">
      <c r="A420" t="s">
        <v>710</v>
      </c>
      <c r="B420" s="3" t="s">
        <v>43</v>
      </c>
      <c r="C420">
        <v>0</v>
      </c>
      <c r="D420" s="2">
        <v>1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  <c r="J420" s="2">
        <v>0</v>
      </c>
      <c r="K420" s="2">
        <f t="shared" si="18"/>
        <v>1</v>
      </c>
      <c r="L420" s="2">
        <f t="shared" si="19"/>
        <v>6</v>
      </c>
      <c r="M420" s="2">
        <f t="shared" si="20"/>
        <v>6</v>
      </c>
      <c r="N420" s="2">
        <v>6</v>
      </c>
      <c r="O420" s="2">
        <v>14</v>
      </c>
      <c r="P420" t="s">
        <v>26</v>
      </c>
      <c r="Q420" s="3" t="s">
        <v>173</v>
      </c>
      <c r="R420" s="3" t="s">
        <v>174</v>
      </c>
    </row>
    <row r="421" spans="1:18" ht="35" customHeight="1">
      <c r="A421" t="s">
        <v>711</v>
      </c>
      <c r="B421" s="3" t="s">
        <v>43</v>
      </c>
      <c r="C421">
        <v>0</v>
      </c>
      <c r="D421" s="2">
        <v>0</v>
      </c>
      <c r="E421" s="2">
        <v>0</v>
      </c>
      <c r="F421" s="2">
        <v>1</v>
      </c>
      <c r="G421" s="2">
        <v>1</v>
      </c>
      <c r="H421" s="2">
        <v>1</v>
      </c>
      <c r="I421" s="2">
        <v>1</v>
      </c>
      <c r="J421" s="2">
        <v>0</v>
      </c>
      <c r="K421" s="2">
        <f t="shared" si="18"/>
        <v>1</v>
      </c>
      <c r="L421" s="2">
        <f t="shared" si="19"/>
        <v>4</v>
      </c>
      <c r="M421" s="2">
        <f t="shared" si="20"/>
        <v>4</v>
      </c>
      <c r="N421" s="2">
        <v>4</v>
      </c>
      <c r="O421" s="2">
        <v>14</v>
      </c>
      <c r="P421" t="s">
        <v>26</v>
      </c>
      <c r="Q421" s="3" t="s">
        <v>142</v>
      </c>
      <c r="R421" s="3" t="s">
        <v>143</v>
      </c>
    </row>
    <row r="422" spans="1:18" ht="35" customHeight="1">
      <c r="A422" t="s">
        <v>712</v>
      </c>
      <c r="B422" s="3" t="s">
        <v>713</v>
      </c>
      <c r="C422">
        <v>7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f t="shared" si="18"/>
        <v>0</v>
      </c>
      <c r="L422" s="2">
        <f t="shared" si="19"/>
        <v>7</v>
      </c>
      <c r="M422" s="2">
        <f t="shared" si="20"/>
        <v>7</v>
      </c>
      <c r="N422" s="2">
        <v>0</v>
      </c>
      <c r="O422" s="2">
        <v>14</v>
      </c>
      <c r="P422" t="s">
        <v>26</v>
      </c>
      <c r="Q422" s="3" t="s">
        <v>713</v>
      </c>
      <c r="R422" s="3" t="s">
        <v>171</v>
      </c>
    </row>
    <row r="423" spans="1:18" ht="35" customHeight="1">
      <c r="A423" t="s">
        <v>714</v>
      </c>
      <c r="B423" s="3" t="s">
        <v>43</v>
      </c>
      <c r="C423">
        <v>0</v>
      </c>
      <c r="D423" s="2">
        <v>0</v>
      </c>
      <c r="E423" s="2">
        <v>1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f t="shared" si="18"/>
        <v>1</v>
      </c>
      <c r="L423" s="2">
        <f t="shared" si="19"/>
        <v>1</v>
      </c>
      <c r="M423" s="2">
        <f t="shared" si="20"/>
        <v>1</v>
      </c>
      <c r="N423" s="2">
        <v>1</v>
      </c>
      <c r="O423" s="2">
        <v>14</v>
      </c>
      <c r="P423" t="s">
        <v>26</v>
      </c>
      <c r="Q423" s="3" t="s">
        <v>271</v>
      </c>
      <c r="R423" s="3" t="s">
        <v>272</v>
      </c>
    </row>
    <row r="424" spans="1:18" ht="35" customHeight="1">
      <c r="A424" t="s">
        <v>715</v>
      </c>
      <c r="B424" s="3" t="s">
        <v>43</v>
      </c>
      <c r="C424">
        <v>0</v>
      </c>
      <c r="D424" s="2">
        <v>1</v>
      </c>
      <c r="E424" s="2">
        <v>1</v>
      </c>
      <c r="F424" s="2">
        <v>1</v>
      </c>
      <c r="G424" s="2">
        <v>1</v>
      </c>
      <c r="H424" s="2">
        <v>0</v>
      </c>
      <c r="I424" s="2">
        <v>1</v>
      </c>
      <c r="J424" s="2">
        <v>1</v>
      </c>
      <c r="K424" s="2">
        <f t="shared" si="18"/>
        <v>1</v>
      </c>
      <c r="L424" s="2">
        <f t="shared" si="19"/>
        <v>6</v>
      </c>
      <c r="M424" s="2">
        <f t="shared" si="20"/>
        <v>6</v>
      </c>
      <c r="N424" s="2">
        <v>6</v>
      </c>
      <c r="O424" s="2">
        <v>14</v>
      </c>
      <c r="P424" t="s">
        <v>26</v>
      </c>
      <c r="Q424" s="3" t="s">
        <v>173</v>
      </c>
      <c r="R424" s="3" t="s">
        <v>174</v>
      </c>
    </row>
    <row r="425" spans="1:18" ht="35" customHeight="1">
      <c r="A425" t="s">
        <v>716</v>
      </c>
      <c r="B425" s="3" t="s">
        <v>43</v>
      </c>
      <c r="C425">
        <v>0</v>
      </c>
      <c r="D425" s="2">
        <v>1</v>
      </c>
      <c r="E425" s="2">
        <v>1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f t="shared" si="18"/>
        <v>0</v>
      </c>
      <c r="L425" s="2">
        <f t="shared" si="19"/>
        <v>7</v>
      </c>
      <c r="M425" s="2">
        <f t="shared" si="20"/>
        <v>7</v>
      </c>
      <c r="N425" s="2">
        <v>7</v>
      </c>
      <c r="O425" s="2">
        <v>12</v>
      </c>
      <c r="P425" t="s">
        <v>77</v>
      </c>
      <c r="Q425" s="3" t="s">
        <v>122</v>
      </c>
      <c r="R425" s="3" t="s">
        <v>123</v>
      </c>
    </row>
    <row r="426" spans="1:18" ht="35" customHeight="1">
      <c r="A426" t="s">
        <v>717</v>
      </c>
      <c r="B426" s="3" t="s">
        <v>43</v>
      </c>
      <c r="C426">
        <v>0</v>
      </c>
      <c r="D426" s="2">
        <v>1</v>
      </c>
      <c r="E426" s="2">
        <v>1</v>
      </c>
      <c r="F426" s="2">
        <v>1</v>
      </c>
      <c r="G426" s="2">
        <v>1</v>
      </c>
      <c r="H426" s="2">
        <v>0</v>
      </c>
      <c r="I426" s="2">
        <v>0</v>
      </c>
      <c r="J426" s="2">
        <v>0</v>
      </c>
      <c r="K426" s="2">
        <f t="shared" si="18"/>
        <v>1</v>
      </c>
      <c r="L426" s="2">
        <f t="shared" si="19"/>
        <v>4</v>
      </c>
      <c r="M426" s="2">
        <f t="shared" si="20"/>
        <v>4</v>
      </c>
      <c r="N426" s="2">
        <v>4</v>
      </c>
      <c r="O426" s="2">
        <v>12</v>
      </c>
      <c r="P426" t="s">
        <v>186</v>
      </c>
      <c r="Q426" s="3" t="s">
        <v>142</v>
      </c>
      <c r="R426" s="3" t="s">
        <v>143</v>
      </c>
    </row>
    <row r="427" spans="1:18" ht="35" customHeight="1">
      <c r="A427" t="s">
        <v>718</v>
      </c>
      <c r="B427" s="3" t="s">
        <v>43</v>
      </c>
      <c r="C427">
        <v>0</v>
      </c>
      <c r="D427" s="2">
        <v>1</v>
      </c>
      <c r="E427" s="2">
        <v>1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f t="shared" si="18"/>
        <v>0</v>
      </c>
      <c r="L427" s="2">
        <f t="shared" si="19"/>
        <v>7</v>
      </c>
      <c r="M427" s="2">
        <f t="shared" si="20"/>
        <v>7</v>
      </c>
      <c r="N427" s="2">
        <v>7</v>
      </c>
      <c r="O427" s="2">
        <v>14</v>
      </c>
      <c r="P427" t="s">
        <v>26</v>
      </c>
      <c r="Q427" s="3" t="s">
        <v>122</v>
      </c>
      <c r="R427" s="3" t="s">
        <v>123</v>
      </c>
    </row>
    <row r="428" spans="1:18" ht="35" customHeight="1">
      <c r="A428" t="s">
        <v>719</v>
      </c>
      <c r="B428" s="3" t="s">
        <v>43</v>
      </c>
      <c r="C428">
        <v>0</v>
      </c>
      <c r="D428" s="2">
        <v>1</v>
      </c>
      <c r="E428" s="2">
        <v>1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f t="shared" si="18"/>
        <v>0</v>
      </c>
      <c r="L428" s="2">
        <f t="shared" si="19"/>
        <v>7</v>
      </c>
      <c r="M428" s="2">
        <f t="shared" si="20"/>
        <v>7</v>
      </c>
      <c r="N428" s="2">
        <v>7</v>
      </c>
      <c r="O428" s="2">
        <v>14</v>
      </c>
      <c r="P428" t="s">
        <v>26</v>
      </c>
      <c r="Q428" s="3" t="s">
        <v>122</v>
      </c>
      <c r="R428" s="3" t="s">
        <v>123</v>
      </c>
    </row>
    <row r="429" spans="1:18" ht="35" customHeight="1">
      <c r="A429" t="s">
        <v>720</v>
      </c>
      <c r="B429" s="3" t="s">
        <v>43</v>
      </c>
      <c r="C429">
        <v>0</v>
      </c>
      <c r="D429" s="2">
        <v>1</v>
      </c>
      <c r="E429" s="2">
        <v>1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f t="shared" si="18"/>
        <v>0</v>
      </c>
      <c r="L429" s="2">
        <f t="shared" si="19"/>
        <v>7</v>
      </c>
      <c r="M429" s="2">
        <f t="shared" si="20"/>
        <v>7</v>
      </c>
      <c r="N429" s="2">
        <v>7</v>
      </c>
      <c r="O429" s="2">
        <v>14</v>
      </c>
      <c r="P429" t="s">
        <v>26</v>
      </c>
      <c r="Q429" s="3" t="s">
        <v>122</v>
      </c>
      <c r="R429" s="3" t="s">
        <v>123</v>
      </c>
    </row>
    <row r="430" spans="1:18" ht="35" customHeight="1">
      <c r="A430" t="s">
        <v>721</v>
      </c>
      <c r="B430" s="3" t="s">
        <v>43</v>
      </c>
      <c r="C430">
        <v>0</v>
      </c>
      <c r="D430" s="2">
        <v>3</v>
      </c>
      <c r="E430" s="2">
        <v>2</v>
      </c>
      <c r="F430" s="2">
        <v>2</v>
      </c>
      <c r="G430" s="2">
        <v>2</v>
      </c>
      <c r="H430" s="2">
        <v>2</v>
      </c>
      <c r="I430" s="2">
        <v>2</v>
      </c>
      <c r="J430" s="2">
        <v>2</v>
      </c>
      <c r="K430" s="2">
        <f t="shared" si="18"/>
        <v>1</v>
      </c>
      <c r="L430" s="2">
        <f t="shared" si="19"/>
        <v>7</v>
      </c>
      <c r="M430" s="2">
        <f t="shared" si="20"/>
        <v>15</v>
      </c>
      <c r="N430" s="2">
        <v>15</v>
      </c>
      <c r="O430" s="2">
        <v>3</v>
      </c>
      <c r="P430" t="s">
        <v>48</v>
      </c>
      <c r="Q430" s="3" t="s">
        <v>227</v>
      </c>
      <c r="R430" s="3" t="s">
        <v>228</v>
      </c>
    </row>
    <row r="431" spans="1:18" ht="35" customHeight="1">
      <c r="A431" t="s">
        <v>722</v>
      </c>
      <c r="B431" s="3" t="s">
        <v>43</v>
      </c>
      <c r="C431">
        <v>0</v>
      </c>
      <c r="D431" s="2">
        <v>1</v>
      </c>
      <c r="E431" s="2">
        <v>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f t="shared" si="18"/>
        <v>0</v>
      </c>
      <c r="L431" s="2">
        <f t="shared" si="19"/>
        <v>7</v>
      </c>
      <c r="M431" s="2">
        <f t="shared" si="20"/>
        <v>7</v>
      </c>
      <c r="N431" s="2">
        <v>7</v>
      </c>
      <c r="O431" s="2">
        <v>3</v>
      </c>
      <c r="P431" t="s">
        <v>133</v>
      </c>
      <c r="Q431" s="3" t="s">
        <v>122</v>
      </c>
      <c r="R431" s="3" t="s">
        <v>123</v>
      </c>
    </row>
    <row r="432" spans="1:18" ht="35" customHeight="1">
      <c r="A432" t="s">
        <v>723</v>
      </c>
      <c r="B432" s="3" t="s">
        <v>43</v>
      </c>
      <c r="C432">
        <v>0</v>
      </c>
      <c r="D432" s="2">
        <v>1</v>
      </c>
      <c r="E432" s="2">
        <v>1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f t="shared" si="18"/>
        <v>0</v>
      </c>
      <c r="L432" s="2">
        <f t="shared" si="19"/>
        <v>7</v>
      </c>
      <c r="M432" s="2">
        <f t="shared" si="20"/>
        <v>7</v>
      </c>
      <c r="N432" s="2">
        <v>7</v>
      </c>
      <c r="O432" s="2">
        <v>13</v>
      </c>
      <c r="P432" t="s">
        <v>97</v>
      </c>
      <c r="Q432" s="3" t="s">
        <v>122</v>
      </c>
      <c r="R432" s="3" t="s">
        <v>123</v>
      </c>
    </row>
    <row r="433" spans="1:18" ht="35" customHeight="1">
      <c r="A433" t="s">
        <v>724</v>
      </c>
      <c r="B433" s="3" t="s">
        <v>43</v>
      </c>
      <c r="C433">
        <v>0</v>
      </c>
      <c r="D433" s="2">
        <v>1</v>
      </c>
      <c r="E433" s="2">
        <v>1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f t="shared" si="18"/>
        <v>0</v>
      </c>
      <c r="L433" s="2">
        <f t="shared" si="19"/>
        <v>7</v>
      </c>
      <c r="M433" s="2">
        <f t="shared" si="20"/>
        <v>7</v>
      </c>
      <c r="N433" s="2">
        <v>7</v>
      </c>
      <c r="O433" s="2">
        <v>12</v>
      </c>
      <c r="P433" t="s">
        <v>725</v>
      </c>
      <c r="Q433" s="3" t="s">
        <v>122</v>
      </c>
      <c r="R433" s="3" t="s">
        <v>123</v>
      </c>
    </row>
    <row r="434" spans="1:18" ht="35" customHeight="1">
      <c r="A434" t="s">
        <v>726</v>
      </c>
      <c r="B434" s="3" t="s">
        <v>43</v>
      </c>
      <c r="C434">
        <v>0</v>
      </c>
      <c r="D434" s="2">
        <v>2</v>
      </c>
      <c r="E434" s="2">
        <v>2</v>
      </c>
      <c r="F434" s="2">
        <v>2</v>
      </c>
      <c r="G434" s="2">
        <v>2</v>
      </c>
      <c r="H434" s="2">
        <v>3</v>
      </c>
      <c r="I434" s="2">
        <v>2</v>
      </c>
      <c r="J434" s="2">
        <v>2</v>
      </c>
      <c r="K434" s="2">
        <f t="shared" si="18"/>
        <v>1</v>
      </c>
      <c r="L434" s="2">
        <f t="shared" si="19"/>
        <v>7</v>
      </c>
      <c r="M434" s="2">
        <f t="shared" si="20"/>
        <v>15</v>
      </c>
      <c r="N434" s="2">
        <v>15</v>
      </c>
      <c r="O434" s="2">
        <v>3</v>
      </c>
      <c r="P434" t="s">
        <v>64</v>
      </c>
      <c r="Q434" s="3" t="s">
        <v>227</v>
      </c>
      <c r="R434" s="3" t="s">
        <v>228</v>
      </c>
    </row>
    <row r="435" spans="1:18" ht="35" customHeight="1">
      <c r="A435" t="s">
        <v>727</v>
      </c>
      <c r="B435" s="3" t="s">
        <v>43</v>
      </c>
      <c r="C435">
        <v>0</v>
      </c>
      <c r="D435" s="2">
        <v>1</v>
      </c>
      <c r="E435" s="2">
        <v>1</v>
      </c>
      <c r="F435" s="2">
        <v>0</v>
      </c>
      <c r="G435" s="2">
        <v>1</v>
      </c>
      <c r="H435" s="2">
        <v>1</v>
      </c>
      <c r="I435" s="2">
        <v>1</v>
      </c>
      <c r="J435" s="2">
        <v>0</v>
      </c>
      <c r="K435" s="2">
        <f t="shared" si="18"/>
        <v>1</v>
      </c>
      <c r="L435" s="2">
        <f t="shared" si="19"/>
        <v>5</v>
      </c>
      <c r="M435" s="2">
        <f t="shared" si="20"/>
        <v>5</v>
      </c>
      <c r="N435" s="2">
        <v>5</v>
      </c>
      <c r="O435" s="2">
        <v>13</v>
      </c>
      <c r="P435" t="s">
        <v>479</v>
      </c>
      <c r="Q435" s="3" t="s">
        <v>139</v>
      </c>
      <c r="R435" s="3" t="s">
        <v>140</v>
      </c>
    </row>
    <row r="436" spans="1:18" ht="35" customHeight="1">
      <c r="A436" t="s">
        <v>728</v>
      </c>
      <c r="B436" s="3" t="s">
        <v>43</v>
      </c>
      <c r="C436">
        <v>0</v>
      </c>
      <c r="D436" s="2">
        <v>1</v>
      </c>
      <c r="E436" s="2">
        <v>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f t="shared" si="18"/>
        <v>0</v>
      </c>
      <c r="L436" s="2">
        <f t="shared" si="19"/>
        <v>7</v>
      </c>
      <c r="M436" s="2">
        <f t="shared" si="20"/>
        <v>7</v>
      </c>
      <c r="N436" s="2">
        <v>7</v>
      </c>
      <c r="O436" s="2">
        <v>11</v>
      </c>
      <c r="P436" t="s">
        <v>433</v>
      </c>
      <c r="Q436" s="3" t="s">
        <v>122</v>
      </c>
      <c r="R436" s="3" t="s">
        <v>123</v>
      </c>
    </row>
    <row r="437" spans="1:18" ht="35" customHeight="1">
      <c r="A437" t="s">
        <v>729</v>
      </c>
      <c r="B437" s="3" t="s">
        <v>43</v>
      </c>
      <c r="C437">
        <v>0</v>
      </c>
      <c r="D437" s="2">
        <v>1</v>
      </c>
      <c r="E437" s="2">
        <v>0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f t="shared" si="18"/>
        <v>1</v>
      </c>
      <c r="L437" s="2">
        <f t="shared" si="19"/>
        <v>6</v>
      </c>
      <c r="M437" s="2">
        <f t="shared" si="20"/>
        <v>6</v>
      </c>
      <c r="N437" s="2">
        <v>6</v>
      </c>
      <c r="O437" s="2">
        <v>14</v>
      </c>
      <c r="P437" t="s">
        <v>26</v>
      </c>
      <c r="Q437" s="3" t="s">
        <v>173</v>
      </c>
      <c r="R437" s="3" t="s">
        <v>174</v>
      </c>
    </row>
    <row r="438" spans="1:18" ht="35" customHeight="1">
      <c r="A438" t="s">
        <v>730</v>
      </c>
      <c r="B438" s="3" t="s">
        <v>43</v>
      </c>
      <c r="C438">
        <v>0</v>
      </c>
      <c r="D438" s="2">
        <v>1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2">
        <v>1</v>
      </c>
      <c r="K438" s="2">
        <f t="shared" si="18"/>
        <v>1</v>
      </c>
      <c r="L438" s="2">
        <f t="shared" si="19"/>
        <v>3</v>
      </c>
      <c r="M438" s="2">
        <f t="shared" si="20"/>
        <v>3</v>
      </c>
      <c r="N438" s="2">
        <v>3</v>
      </c>
      <c r="O438" s="2">
        <v>13</v>
      </c>
      <c r="P438" t="s">
        <v>160</v>
      </c>
      <c r="Q438" s="3" t="s">
        <v>145</v>
      </c>
      <c r="R438" s="3" t="s">
        <v>146</v>
      </c>
    </row>
    <row r="439" spans="1:18" ht="35" customHeight="1">
      <c r="A439" t="s">
        <v>731</v>
      </c>
      <c r="B439" s="3" t="s">
        <v>43</v>
      </c>
      <c r="C439">
        <v>0</v>
      </c>
      <c r="D439" s="2">
        <v>1</v>
      </c>
      <c r="E439" s="2">
        <v>1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f t="shared" si="18"/>
        <v>0</v>
      </c>
      <c r="L439" s="2">
        <f t="shared" si="19"/>
        <v>7</v>
      </c>
      <c r="M439" s="2">
        <f t="shared" si="20"/>
        <v>7</v>
      </c>
      <c r="N439" s="2">
        <v>7</v>
      </c>
      <c r="O439" s="2">
        <v>14</v>
      </c>
      <c r="P439" t="s">
        <v>26</v>
      </c>
      <c r="Q439" s="3" t="s">
        <v>122</v>
      </c>
      <c r="R439" s="3" t="s">
        <v>123</v>
      </c>
    </row>
    <row r="440" spans="1:18" ht="35" customHeight="1">
      <c r="A440" t="s">
        <v>732</v>
      </c>
      <c r="B440" s="3" t="s">
        <v>43</v>
      </c>
      <c r="C440">
        <v>0</v>
      </c>
      <c r="D440" s="2">
        <v>1</v>
      </c>
      <c r="E440" s="2">
        <v>0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f t="shared" si="18"/>
        <v>1</v>
      </c>
      <c r="L440" s="2">
        <f t="shared" si="19"/>
        <v>6</v>
      </c>
      <c r="M440" s="2">
        <f t="shared" si="20"/>
        <v>6</v>
      </c>
      <c r="N440" s="2">
        <v>6</v>
      </c>
      <c r="O440" s="2">
        <v>14</v>
      </c>
      <c r="P440" t="s">
        <v>26</v>
      </c>
      <c r="Q440" s="3" t="s">
        <v>173</v>
      </c>
      <c r="R440" s="3" t="s">
        <v>174</v>
      </c>
    </row>
    <row r="441" spans="1:18" ht="35" customHeight="1">
      <c r="A441" t="s">
        <v>733</v>
      </c>
      <c r="B441" s="3" t="s">
        <v>43</v>
      </c>
      <c r="C441">
        <v>0</v>
      </c>
      <c r="D441" s="2">
        <v>1</v>
      </c>
      <c r="E441" s="2">
        <v>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f t="shared" si="18"/>
        <v>0</v>
      </c>
      <c r="L441" s="2">
        <f t="shared" si="19"/>
        <v>7</v>
      </c>
      <c r="M441" s="2">
        <f t="shared" si="20"/>
        <v>7</v>
      </c>
      <c r="N441" s="2">
        <v>7</v>
      </c>
      <c r="O441" s="2">
        <v>14</v>
      </c>
      <c r="P441" t="s">
        <v>26</v>
      </c>
      <c r="Q441" s="3" t="s">
        <v>122</v>
      </c>
      <c r="R441" s="3" t="s">
        <v>123</v>
      </c>
    </row>
    <row r="442" spans="1:18" ht="35" customHeight="1">
      <c r="A442" t="s">
        <v>734</v>
      </c>
      <c r="B442" s="3" t="s">
        <v>43</v>
      </c>
      <c r="C442">
        <v>0</v>
      </c>
      <c r="D442" s="2">
        <v>1</v>
      </c>
      <c r="E442" s="2">
        <v>1</v>
      </c>
      <c r="F442" s="2">
        <v>1</v>
      </c>
      <c r="G442" s="2">
        <v>1</v>
      </c>
      <c r="H442" s="2">
        <v>1</v>
      </c>
      <c r="I442" s="2">
        <v>1</v>
      </c>
      <c r="J442" s="2">
        <v>0</v>
      </c>
      <c r="K442" s="2">
        <f t="shared" si="18"/>
        <v>1</v>
      </c>
      <c r="L442" s="2">
        <f t="shared" si="19"/>
        <v>6</v>
      </c>
      <c r="M442" s="2">
        <f t="shared" si="20"/>
        <v>6</v>
      </c>
      <c r="N442" s="2">
        <v>6</v>
      </c>
      <c r="O442" s="2">
        <v>13</v>
      </c>
      <c r="P442" t="s">
        <v>128</v>
      </c>
      <c r="Q442" s="3" t="s">
        <v>173</v>
      </c>
      <c r="R442" s="3" t="s">
        <v>174</v>
      </c>
    </row>
    <row r="443" spans="1:18" ht="35" customHeight="1">
      <c r="A443" t="s">
        <v>735</v>
      </c>
      <c r="B443" s="3" t="s">
        <v>43</v>
      </c>
      <c r="C443">
        <v>0</v>
      </c>
      <c r="D443" s="2">
        <v>1</v>
      </c>
      <c r="E443" s="2">
        <v>1</v>
      </c>
      <c r="F443" s="2">
        <v>1</v>
      </c>
      <c r="G443" s="2">
        <v>1</v>
      </c>
      <c r="H443" s="2">
        <v>2</v>
      </c>
      <c r="I443" s="2">
        <v>1</v>
      </c>
      <c r="J443" s="2">
        <v>1</v>
      </c>
      <c r="K443" s="2">
        <f t="shared" si="18"/>
        <v>1</v>
      </c>
      <c r="L443" s="2">
        <f t="shared" si="19"/>
        <v>7</v>
      </c>
      <c r="M443" s="2">
        <f t="shared" si="20"/>
        <v>8</v>
      </c>
      <c r="N443" s="2">
        <v>8</v>
      </c>
      <c r="O443" s="2">
        <v>11</v>
      </c>
      <c r="P443" t="s">
        <v>433</v>
      </c>
      <c r="Q443" s="3" t="s">
        <v>119</v>
      </c>
      <c r="R443" s="3" t="s">
        <v>120</v>
      </c>
    </row>
    <row r="444" spans="1:18" ht="35" customHeight="1">
      <c r="A444" t="s">
        <v>736</v>
      </c>
      <c r="B444" s="3" t="s">
        <v>43</v>
      </c>
      <c r="C444">
        <v>0</v>
      </c>
      <c r="D444" s="2">
        <v>1</v>
      </c>
      <c r="E444" s="2">
        <v>1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f t="shared" si="18"/>
        <v>0</v>
      </c>
      <c r="L444" s="2">
        <f t="shared" si="19"/>
        <v>7</v>
      </c>
      <c r="M444" s="2">
        <f t="shared" si="20"/>
        <v>7</v>
      </c>
      <c r="N444" s="2">
        <v>7</v>
      </c>
      <c r="O444" s="2">
        <v>12</v>
      </c>
      <c r="P444" t="s">
        <v>77</v>
      </c>
      <c r="Q444" s="3" t="s">
        <v>122</v>
      </c>
      <c r="R444" s="3" t="s">
        <v>123</v>
      </c>
    </row>
    <row r="445" spans="1:18" ht="35" customHeight="1">
      <c r="A445" t="s">
        <v>737</v>
      </c>
      <c r="B445" s="3" t="s">
        <v>43</v>
      </c>
      <c r="C445">
        <v>0</v>
      </c>
      <c r="D445" s="2">
        <v>1</v>
      </c>
      <c r="E445" s="2">
        <v>0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f t="shared" si="18"/>
        <v>1</v>
      </c>
      <c r="L445" s="2">
        <f t="shared" si="19"/>
        <v>6</v>
      </c>
      <c r="M445" s="2">
        <f t="shared" si="20"/>
        <v>6</v>
      </c>
      <c r="N445" s="2">
        <v>6</v>
      </c>
      <c r="O445" s="2">
        <v>13</v>
      </c>
      <c r="P445" t="s">
        <v>160</v>
      </c>
      <c r="Q445" s="3" t="s">
        <v>173</v>
      </c>
      <c r="R445" s="3" t="s">
        <v>174</v>
      </c>
    </row>
    <row r="446" spans="1:18" ht="35" customHeight="1">
      <c r="A446" t="s">
        <v>738</v>
      </c>
      <c r="B446" s="3" t="s">
        <v>43</v>
      </c>
      <c r="C446">
        <v>0</v>
      </c>
      <c r="D446" s="2">
        <v>1</v>
      </c>
      <c r="E446" s="2">
        <v>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f t="shared" si="18"/>
        <v>1</v>
      </c>
      <c r="L446" s="2">
        <f t="shared" si="19"/>
        <v>6</v>
      </c>
      <c r="M446" s="2">
        <f t="shared" si="20"/>
        <v>6</v>
      </c>
      <c r="N446" s="2">
        <v>6</v>
      </c>
      <c r="O446" s="2">
        <v>11</v>
      </c>
      <c r="P446" t="s">
        <v>739</v>
      </c>
      <c r="Q446" s="3" t="s">
        <v>173</v>
      </c>
      <c r="R446" s="3" t="s">
        <v>174</v>
      </c>
    </row>
    <row r="447" spans="1:18" ht="35" customHeight="1">
      <c r="A447" t="s">
        <v>115</v>
      </c>
      <c r="B447" s="3" t="s">
        <v>43</v>
      </c>
      <c r="C447">
        <v>0</v>
      </c>
      <c r="D447" s="2">
        <v>1</v>
      </c>
      <c r="E447" s="2">
        <v>1</v>
      </c>
      <c r="F447" s="2">
        <v>2</v>
      </c>
      <c r="G447" s="2">
        <v>2</v>
      </c>
      <c r="H447" s="2">
        <v>2</v>
      </c>
      <c r="I447" s="2">
        <v>0</v>
      </c>
      <c r="J447" s="2">
        <v>1</v>
      </c>
      <c r="K447" s="2">
        <f t="shared" si="18"/>
        <v>2</v>
      </c>
      <c r="L447" s="2">
        <f t="shared" si="19"/>
        <v>6</v>
      </c>
      <c r="M447" s="2">
        <f t="shared" si="20"/>
        <v>9</v>
      </c>
      <c r="N447" s="2">
        <v>9</v>
      </c>
      <c r="O447" s="2">
        <v>11</v>
      </c>
      <c r="P447" t="s">
        <v>116</v>
      </c>
      <c r="Q447" s="3" t="s">
        <v>113</v>
      </c>
      <c r="R447" s="3" t="s">
        <v>114</v>
      </c>
    </row>
    <row r="448" spans="1:18" ht="35" customHeight="1">
      <c r="A448" t="s">
        <v>740</v>
      </c>
      <c r="B448" s="3" t="s">
        <v>43</v>
      </c>
      <c r="C448">
        <v>0</v>
      </c>
      <c r="D448" s="2">
        <v>2</v>
      </c>
      <c r="E448" s="2">
        <v>1</v>
      </c>
      <c r="F448" s="2">
        <v>2</v>
      </c>
      <c r="G448" s="2">
        <v>2</v>
      </c>
      <c r="H448" s="2">
        <v>1</v>
      </c>
      <c r="I448" s="2">
        <v>2</v>
      </c>
      <c r="J448" s="2">
        <v>2</v>
      </c>
      <c r="K448" s="2">
        <f t="shared" si="18"/>
        <v>1</v>
      </c>
      <c r="L448" s="2">
        <f t="shared" si="19"/>
        <v>7</v>
      </c>
      <c r="M448" s="2">
        <f t="shared" si="20"/>
        <v>12</v>
      </c>
      <c r="N448" s="2">
        <v>12</v>
      </c>
      <c r="O448" s="2">
        <v>3</v>
      </c>
      <c r="P448" t="s">
        <v>741</v>
      </c>
      <c r="Q448" s="3" t="s">
        <v>98</v>
      </c>
      <c r="R448" s="3" t="s">
        <v>99</v>
      </c>
    </row>
    <row r="449" spans="1:18" ht="35" customHeight="1">
      <c r="A449" t="s">
        <v>742</v>
      </c>
      <c r="B449" s="3" t="s">
        <v>43</v>
      </c>
      <c r="C449">
        <v>0</v>
      </c>
      <c r="D449" s="2">
        <v>1</v>
      </c>
      <c r="E449" s="2">
        <v>1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f t="shared" si="18"/>
        <v>0</v>
      </c>
      <c r="L449" s="2">
        <f t="shared" si="19"/>
        <v>7</v>
      </c>
      <c r="M449" s="2">
        <f t="shared" si="20"/>
        <v>7</v>
      </c>
      <c r="N449" s="2">
        <v>7</v>
      </c>
      <c r="O449" s="2">
        <v>5</v>
      </c>
      <c r="P449" t="s">
        <v>743</v>
      </c>
      <c r="Q449" s="3" t="s">
        <v>122</v>
      </c>
      <c r="R449" s="3" t="s">
        <v>123</v>
      </c>
    </row>
    <row r="450" spans="1:18" ht="35" customHeight="1">
      <c r="A450" t="s">
        <v>744</v>
      </c>
      <c r="B450" s="3" t="s">
        <v>43</v>
      </c>
      <c r="C450">
        <v>0</v>
      </c>
      <c r="D450" s="2">
        <v>1</v>
      </c>
      <c r="E450" s="2">
        <v>1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f t="shared" si="18"/>
        <v>0</v>
      </c>
      <c r="L450" s="2">
        <f t="shared" si="19"/>
        <v>7</v>
      </c>
      <c r="M450" s="2">
        <f t="shared" si="20"/>
        <v>7</v>
      </c>
      <c r="N450" s="2">
        <v>7</v>
      </c>
      <c r="O450" s="2">
        <v>11</v>
      </c>
      <c r="P450" t="s">
        <v>433</v>
      </c>
      <c r="Q450" s="3" t="s">
        <v>122</v>
      </c>
      <c r="R450" s="3" t="s">
        <v>123</v>
      </c>
    </row>
    <row r="451" spans="1:18" ht="35" customHeight="1">
      <c r="A451" t="s">
        <v>745</v>
      </c>
      <c r="B451" s="3" t="s">
        <v>43</v>
      </c>
      <c r="C451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</v>
      </c>
      <c r="I451" s="2">
        <v>1</v>
      </c>
      <c r="J451" s="2">
        <v>0</v>
      </c>
      <c r="K451" s="2">
        <f t="shared" ref="K451:K514" si="21">MAX(D451:J451)-MIN(D451:J451)</f>
        <v>1</v>
      </c>
      <c r="L451" s="2">
        <f t="shared" ref="L451:L514" si="22">COUNTIF(D451:J451,"&gt;0")</f>
        <v>2</v>
      </c>
      <c r="M451" s="2">
        <f t="shared" ref="M451:M514" si="23">SUM(D451:J451)</f>
        <v>2</v>
      </c>
      <c r="N451" s="2">
        <v>2</v>
      </c>
      <c r="O451" s="2">
        <v>12</v>
      </c>
      <c r="P451" t="s">
        <v>746</v>
      </c>
      <c r="Q451" s="3" t="s">
        <v>152</v>
      </c>
      <c r="R451" s="3" t="s">
        <v>153</v>
      </c>
    </row>
    <row r="452" spans="1:18" ht="35" customHeight="1">
      <c r="A452" t="s">
        <v>747</v>
      </c>
      <c r="B452" s="3" t="s">
        <v>43</v>
      </c>
      <c r="C452">
        <v>0</v>
      </c>
      <c r="D452" s="2">
        <v>0</v>
      </c>
      <c r="E452" s="2">
        <v>1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f t="shared" si="21"/>
        <v>1</v>
      </c>
      <c r="L452" s="2">
        <f t="shared" si="22"/>
        <v>1</v>
      </c>
      <c r="M452" s="2">
        <f t="shared" si="23"/>
        <v>1</v>
      </c>
      <c r="N452" s="2">
        <v>1</v>
      </c>
      <c r="O452" s="2">
        <v>11</v>
      </c>
      <c r="P452" t="s">
        <v>748</v>
      </c>
      <c r="Q452" s="3" t="s">
        <v>271</v>
      </c>
      <c r="R452" s="3" t="s">
        <v>272</v>
      </c>
    </row>
    <row r="453" spans="1:18" ht="35" customHeight="1">
      <c r="A453" t="s">
        <v>749</v>
      </c>
      <c r="B453" s="3" t="s">
        <v>43</v>
      </c>
      <c r="C453">
        <v>0</v>
      </c>
      <c r="D453" s="2">
        <v>1</v>
      </c>
      <c r="E453" s="2">
        <v>1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f t="shared" si="21"/>
        <v>0</v>
      </c>
      <c r="L453" s="2">
        <f t="shared" si="22"/>
        <v>7</v>
      </c>
      <c r="M453" s="2">
        <f t="shared" si="23"/>
        <v>7</v>
      </c>
      <c r="N453" s="2">
        <v>7</v>
      </c>
      <c r="O453" s="2">
        <v>12</v>
      </c>
      <c r="P453" t="s">
        <v>186</v>
      </c>
      <c r="Q453" s="3" t="s">
        <v>122</v>
      </c>
      <c r="R453" s="3" t="s">
        <v>123</v>
      </c>
    </row>
    <row r="454" spans="1:18" ht="35" customHeight="1">
      <c r="A454" t="s">
        <v>750</v>
      </c>
      <c r="B454" s="3" t="s">
        <v>43</v>
      </c>
      <c r="C454">
        <v>0</v>
      </c>
      <c r="D454" s="2">
        <v>0</v>
      </c>
      <c r="E454" s="2">
        <v>0</v>
      </c>
      <c r="F454" s="2">
        <v>1</v>
      </c>
      <c r="G454" s="2">
        <v>0</v>
      </c>
      <c r="H454" s="2">
        <v>0</v>
      </c>
      <c r="I454" s="2">
        <v>0</v>
      </c>
      <c r="J454" s="2">
        <v>0</v>
      </c>
      <c r="K454" s="2">
        <f t="shared" si="21"/>
        <v>1</v>
      </c>
      <c r="L454" s="2">
        <f t="shared" si="22"/>
        <v>1</v>
      </c>
      <c r="M454" s="2">
        <f t="shared" si="23"/>
        <v>1</v>
      </c>
      <c r="N454" s="2">
        <v>1</v>
      </c>
      <c r="O454" s="2">
        <v>12</v>
      </c>
      <c r="P454" t="s">
        <v>751</v>
      </c>
      <c r="Q454" s="3" t="s">
        <v>271</v>
      </c>
      <c r="R454" s="3" t="s">
        <v>272</v>
      </c>
    </row>
    <row r="455" spans="1:18" ht="35" customHeight="1">
      <c r="A455" t="s">
        <v>752</v>
      </c>
      <c r="B455" s="3" t="s">
        <v>753</v>
      </c>
      <c r="C455">
        <v>9</v>
      </c>
      <c r="D455" s="2">
        <v>1</v>
      </c>
      <c r="E455" s="2">
        <v>1</v>
      </c>
      <c r="F455" s="2">
        <v>1</v>
      </c>
      <c r="G455" s="2">
        <v>2</v>
      </c>
      <c r="H455" s="2">
        <v>2</v>
      </c>
      <c r="I455" s="2">
        <v>1</v>
      </c>
      <c r="J455" s="2">
        <v>1</v>
      </c>
      <c r="K455" s="2">
        <f t="shared" si="21"/>
        <v>1</v>
      </c>
      <c r="L455" s="2">
        <f t="shared" si="22"/>
        <v>7</v>
      </c>
      <c r="M455" s="2">
        <f t="shared" si="23"/>
        <v>9</v>
      </c>
      <c r="N455" s="2">
        <v>0</v>
      </c>
      <c r="O455" s="2">
        <v>4</v>
      </c>
      <c r="P455" t="s">
        <v>754</v>
      </c>
      <c r="Q455" s="3" t="s">
        <v>753</v>
      </c>
      <c r="R455" s="3" t="s">
        <v>755</v>
      </c>
    </row>
    <row r="456" spans="1:18" ht="35" customHeight="1">
      <c r="A456" t="s">
        <v>756</v>
      </c>
      <c r="B456" s="3" t="s">
        <v>43</v>
      </c>
      <c r="C456">
        <v>0</v>
      </c>
      <c r="D456" s="2">
        <v>1</v>
      </c>
      <c r="E456" s="2">
        <v>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f t="shared" si="21"/>
        <v>0</v>
      </c>
      <c r="L456" s="2">
        <f t="shared" si="22"/>
        <v>7</v>
      </c>
      <c r="M456" s="2">
        <f t="shared" si="23"/>
        <v>7</v>
      </c>
      <c r="N456" s="2">
        <v>7</v>
      </c>
      <c r="O456" s="2">
        <v>13</v>
      </c>
      <c r="P456" t="s">
        <v>310</v>
      </c>
      <c r="Q456" s="3" t="s">
        <v>122</v>
      </c>
      <c r="R456" s="3" t="s">
        <v>123</v>
      </c>
    </row>
    <row r="457" spans="1:18" ht="35" customHeight="1">
      <c r="A457" t="s">
        <v>757</v>
      </c>
      <c r="B457" s="3" t="s">
        <v>43</v>
      </c>
      <c r="C457">
        <v>0</v>
      </c>
      <c r="D457" s="2">
        <v>1</v>
      </c>
      <c r="E457" s="2">
        <v>1</v>
      </c>
      <c r="F457" s="2">
        <v>1</v>
      </c>
      <c r="G457" s="2">
        <v>1</v>
      </c>
      <c r="H457" s="2">
        <v>1</v>
      </c>
      <c r="I457" s="2">
        <v>0</v>
      </c>
      <c r="J457" s="2">
        <v>1</v>
      </c>
      <c r="K457" s="2">
        <f t="shared" si="21"/>
        <v>1</v>
      </c>
      <c r="L457" s="2">
        <f t="shared" si="22"/>
        <v>6</v>
      </c>
      <c r="M457" s="2">
        <f t="shared" si="23"/>
        <v>6</v>
      </c>
      <c r="N457" s="2">
        <v>6</v>
      </c>
      <c r="O457" s="2">
        <v>12</v>
      </c>
      <c r="P457" t="s">
        <v>758</v>
      </c>
      <c r="Q457" s="3" t="s">
        <v>173</v>
      </c>
      <c r="R457" s="3" t="s">
        <v>174</v>
      </c>
    </row>
    <row r="458" spans="1:18" ht="35" customHeight="1">
      <c r="A458" t="s">
        <v>759</v>
      </c>
      <c r="B458" s="3" t="s">
        <v>43</v>
      </c>
      <c r="C458">
        <v>0</v>
      </c>
      <c r="D458" s="2">
        <v>1</v>
      </c>
      <c r="E458" s="2">
        <v>1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f t="shared" si="21"/>
        <v>0</v>
      </c>
      <c r="L458" s="2">
        <f t="shared" si="22"/>
        <v>7</v>
      </c>
      <c r="M458" s="2">
        <f t="shared" si="23"/>
        <v>7</v>
      </c>
      <c r="N458" s="2">
        <v>7</v>
      </c>
      <c r="O458" s="2">
        <v>13</v>
      </c>
      <c r="P458" t="s">
        <v>128</v>
      </c>
      <c r="Q458" s="3" t="s">
        <v>122</v>
      </c>
      <c r="R458" s="3" t="s">
        <v>123</v>
      </c>
    </row>
    <row r="459" spans="1:18" ht="35" customHeight="1">
      <c r="A459" t="s">
        <v>760</v>
      </c>
      <c r="B459" s="3" t="s">
        <v>761</v>
      </c>
      <c r="C459">
        <v>6</v>
      </c>
      <c r="D459" s="2">
        <v>1</v>
      </c>
      <c r="E459" s="2">
        <v>1</v>
      </c>
      <c r="F459" s="2">
        <v>0</v>
      </c>
      <c r="G459" s="2">
        <v>1</v>
      </c>
      <c r="H459" s="2">
        <v>1</v>
      </c>
      <c r="I459" s="2">
        <v>1</v>
      </c>
      <c r="J459" s="2">
        <v>1</v>
      </c>
      <c r="K459" s="2">
        <f t="shared" si="21"/>
        <v>1</v>
      </c>
      <c r="L459" s="2">
        <f t="shared" si="22"/>
        <v>6</v>
      </c>
      <c r="M459" s="2">
        <f t="shared" si="23"/>
        <v>6</v>
      </c>
      <c r="N459" s="2">
        <v>0</v>
      </c>
      <c r="O459" s="2">
        <v>12</v>
      </c>
      <c r="P459" t="s">
        <v>77</v>
      </c>
      <c r="Q459" s="3" t="s">
        <v>761</v>
      </c>
      <c r="R459" s="3" t="s">
        <v>762</v>
      </c>
    </row>
    <row r="460" spans="1:18" ht="35" customHeight="1">
      <c r="A460" t="s">
        <v>763</v>
      </c>
      <c r="B460" s="3" t="s">
        <v>43</v>
      </c>
      <c r="C460">
        <v>0</v>
      </c>
      <c r="D460" s="2">
        <v>1</v>
      </c>
      <c r="E460" s="2">
        <v>1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f t="shared" si="21"/>
        <v>0</v>
      </c>
      <c r="L460" s="2">
        <f t="shared" si="22"/>
        <v>7</v>
      </c>
      <c r="M460" s="2">
        <f t="shared" si="23"/>
        <v>7</v>
      </c>
      <c r="N460" s="2">
        <v>7</v>
      </c>
      <c r="O460" s="2">
        <v>12</v>
      </c>
      <c r="P460" t="s">
        <v>186</v>
      </c>
      <c r="Q460" s="3" t="s">
        <v>122</v>
      </c>
      <c r="R460" s="3" t="s">
        <v>123</v>
      </c>
    </row>
    <row r="461" spans="1:18" ht="35" customHeight="1">
      <c r="A461" t="s">
        <v>135</v>
      </c>
      <c r="B461" s="3" t="s">
        <v>43</v>
      </c>
      <c r="C461">
        <v>0</v>
      </c>
      <c r="D461" s="2">
        <v>1</v>
      </c>
      <c r="E461" s="2">
        <v>1</v>
      </c>
      <c r="F461" s="2">
        <v>1</v>
      </c>
      <c r="G461" s="2">
        <v>1</v>
      </c>
      <c r="H461" s="2">
        <v>1</v>
      </c>
      <c r="I461" s="2">
        <v>0</v>
      </c>
      <c r="J461" s="2">
        <v>2</v>
      </c>
      <c r="K461" s="2">
        <f t="shared" si="21"/>
        <v>2</v>
      </c>
      <c r="L461" s="2">
        <f t="shared" si="22"/>
        <v>6</v>
      </c>
      <c r="M461" s="2">
        <f t="shared" si="23"/>
        <v>7</v>
      </c>
      <c r="N461" s="2">
        <v>7</v>
      </c>
      <c r="O461" s="2">
        <v>2</v>
      </c>
      <c r="P461" t="s">
        <v>92</v>
      </c>
      <c r="Q461" s="3" t="s">
        <v>122</v>
      </c>
      <c r="R461" s="3" t="s">
        <v>123</v>
      </c>
    </row>
    <row r="462" spans="1:18" ht="35" customHeight="1">
      <c r="A462" t="s">
        <v>764</v>
      </c>
      <c r="B462" s="3" t="s">
        <v>43</v>
      </c>
      <c r="C462">
        <v>0</v>
      </c>
      <c r="D462" s="2">
        <v>1</v>
      </c>
      <c r="E462" s="2">
        <v>1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f t="shared" si="21"/>
        <v>0</v>
      </c>
      <c r="L462" s="2">
        <f t="shared" si="22"/>
        <v>7</v>
      </c>
      <c r="M462" s="2">
        <f t="shared" si="23"/>
        <v>7</v>
      </c>
      <c r="N462" s="2">
        <v>7</v>
      </c>
      <c r="O462" s="2">
        <v>12</v>
      </c>
      <c r="P462" t="s">
        <v>765</v>
      </c>
      <c r="Q462" s="3" t="s">
        <v>122</v>
      </c>
      <c r="R462" s="3" t="s">
        <v>123</v>
      </c>
    </row>
    <row r="463" spans="1:18" ht="35" customHeight="1">
      <c r="A463" t="s">
        <v>47</v>
      </c>
      <c r="B463" s="3" t="s">
        <v>43</v>
      </c>
      <c r="C463">
        <v>0</v>
      </c>
      <c r="D463" s="2">
        <v>4</v>
      </c>
      <c r="E463" s="2">
        <v>1</v>
      </c>
      <c r="F463" s="2">
        <v>2</v>
      </c>
      <c r="G463" s="2">
        <v>2</v>
      </c>
      <c r="H463" s="2">
        <v>1</v>
      </c>
      <c r="I463" s="2">
        <v>1</v>
      </c>
      <c r="J463" s="2">
        <v>3</v>
      </c>
      <c r="K463" s="2">
        <f t="shared" si="21"/>
        <v>3</v>
      </c>
      <c r="L463" s="2">
        <f t="shared" si="22"/>
        <v>7</v>
      </c>
      <c r="M463" s="2">
        <f t="shared" si="23"/>
        <v>14</v>
      </c>
      <c r="N463" s="2">
        <v>14</v>
      </c>
      <c r="O463" s="2">
        <v>3</v>
      </c>
      <c r="P463" t="s">
        <v>48</v>
      </c>
      <c r="Q463" s="3" t="s">
        <v>49</v>
      </c>
      <c r="R463" s="3" t="s">
        <v>50</v>
      </c>
    </row>
    <row r="464" spans="1:18" ht="35" customHeight="1">
      <c r="A464" t="s">
        <v>766</v>
      </c>
      <c r="B464" s="3" t="s">
        <v>43</v>
      </c>
      <c r="C464">
        <v>0</v>
      </c>
      <c r="D464" s="2">
        <v>1</v>
      </c>
      <c r="E464" s="2">
        <v>2</v>
      </c>
      <c r="F464" s="2">
        <v>2</v>
      </c>
      <c r="G464" s="2">
        <v>1</v>
      </c>
      <c r="H464" s="2">
        <v>2</v>
      </c>
      <c r="I464" s="2">
        <v>1</v>
      </c>
      <c r="J464" s="2">
        <v>2</v>
      </c>
      <c r="K464" s="2">
        <f t="shared" si="21"/>
        <v>1</v>
      </c>
      <c r="L464" s="2">
        <f t="shared" si="22"/>
        <v>7</v>
      </c>
      <c r="M464" s="2">
        <f t="shared" si="23"/>
        <v>11</v>
      </c>
      <c r="N464" s="2">
        <v>11</v>
      </c>
      <c r="O464" s="2">
        <v>4</v>
      </c>
      <c r="P464" t="s">
        <v>767</v>
      </c>
      <c r="Q464" s="3" t="s">
        <v>768</v>
      </c>
      <c r="R464" s="3" t="s">
        <v>769</v>
      </c>
    </row>
    <row r="465" spans="1:18" ht="35" customHeight="1">
      <c r="A465" t="s">
        <v>770</v>
      </c>
      <c r="B465" s="3" t="s">
        <v>43</v>
      </c>
      <c r="C465">
        <v>0</v>
      </c>
      <c r="D465" s="2">
        <v>0</v>
      </c>
      <c r="E465" s="2">
        <v>1</v>
      </c>
      <c r="F465" s="2">
        <v>1</v>
      </c>
      <c r="G465" s="2">
        <v>1</v>
      </c>
      <c r="H465" s="2">
        <v>1</v>
      </c>
      <c r="I465" s="2">
        <v>1</v>
      </c>
      <c r="J465" s="2">
        <v>0</v>
      </c>
      <c r="K465" s="2">
        <f t="shared" si="21"/>
        <v>1</v>
      </c>
      <c r="L465" s="2">
        <f t="shared" si="22"/>
        <v>5</v>
      </c>
      <c r="M465" s="2">
        <f t="shared" si="23"/>
        <v>5</v>
      </c>
      <c r="N465" s="2">
        <v>5</v>
      </c>
      <c r="O465" s="2">
        <v>11</v>
      </c>
      <c r="P465" t="s">
        <v>433</v>
      </c>
      <c r="Q465" s="3" t="s">
        <v>139</v>
      </c>
      <c r="R465" s="3" t="s">
        <v>140</v>
      </c>
    </row>
    <row r="466" spans="1:18" ht="35" customHeight="1">
      <c r="A466" t="s">
        <v>771</v>
      </c>
      <c r="B466" s="3" t="s">
        <v>772</v>
      </c>
      <c r="C466">
        <v>7</v>
      </c>
      <c r="D466" s="2">
        <v>1</v>
      </c>
      <c r="E466" s="2">
        <v>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f t="shared" si="21"/>
        <v>0</v>
      </c>
      <c r="L466" s="2">
        <f t="shared" si="22"/>
        <v>7</v>
      </c>
      <c r="M466" s="2">
        <f t="shared" si="23"/>
        <v>7</v>
      </c>
      <c r="N466" s="2">
        <v>0</v>
      </c>
      <c r="O466" s="2">
        <v>12</v>
      </c>
      <c r="P466" t="s">
        <v>362</v>
      </c>
      <c r="Q466" s="3" t="s">
        <v>772</v>
      </c>
      <c r="R466" s="3" t="s">
        <v>171</v>
      </c>
    </row>
    <row r="467" spans="1:18" ht="35" customHeight="1">
      <c r="A467" t="s">
        <v>773</v>
      </c>
      <c r="B467" s="3" t="s">
        <v>43</v>
      </c>
      <c r="C467">
        <v>0</v>
      </c>
      <c r="D467" s="2">
        <v>0</v>
      </c>
      <c r="E467" s="2">
        <v>1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f t="shared" si="21"/>
        <v>1</v>
      </c>
      <c r="L467" s="2">
        <f t="shared" si="22"/>
        <v>1</v>
      </c>
      <c r="M467" s="2">
        <f t="shared" si="23"/>
        <v>1</v>
      </c>
      <c r="N467" s="2">
        <v>1</v>
      </c>
      <c r="O467" s="2">
        <v>12</v>
      </c>
      <c r="P467" t="s">
        <v>774</v>
      </c>
      <c r="Q467" s="3" t="s">
        <v>271</v>
      </c>
      <c r="R467" s="3" t="s">
        <v>272</v>
      </c>
    </row>
    <row r="468" spans="1:18" ht="35" customHeight="1">
      <c r="A468" t="s">
        <v>775</v>
      </c>
      <c r="B468" s="3" t="s">
        <v>43</v>
      </c>
      <c r="C468">
        <v>0</v>
      </c>
      <c r="D468" s="2">
        <v>1</v>
      </c>
      <c r="E468" s="2">
        <v>1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f t="shared" si="21"/>
        <v>0</v>
      </c>
      <c r="L468" s="2">
        <f t="shared" si="22"/>
        <v>7</v>
      </c>
      <c r="M468" s="2">
        <f t="shared" si="23"/>
        <v>7</v>
      </c>
      <c r="N468" s="2">
        <v>7</v>
      </c>
      <c r="O468" s="2">
        <v>12</v>
      </c>
      <c r="P468" t="s">
        <v>186</v>
      </c>
      <c r="Q468" s="3" t="s">
        <v>122</v>
      </c>
      <c r="R468" s="3" t="s">
        <v>123</v>
      </c>
    </row>
    <row r="469" spans="1:18" ht="35" customHeight="1">
      <c r="A469" t="s">
        <v>776</v>
      </c>
      <c r="B469" s="3" t="s">
        <v>43</v>
      </c>
      <c r="C469">
        <v>0</v>
      </c>
      <c r="D469" s="2">
        <v>1</v>
      </c>
      <c r="E469" s="2">
        <v>1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f t="shared" si="21"/>
        <v>0</v>
      </c>
      <c r="L469" s="2">
        <f t="shared" si="22"/>
        <v>7</v>
      </c>
      <c r="M469" s="2">
        <f t="shared" si="23"/>
        <v>7</v>
      </c>
      <c r="N469" s="2">
        <v>7</v>
      </c>
      <c r="O469" s="2">
        <v>10</v>
      </c>
      <c r="P469" t="s">
        <v>777</v>
      </c>
      <c r="Q469" s="3" t="s">
        <v>122</v>
      </c>
      <c r="R469" s="3" t="s">
        <v>123</v>
      </c>
    </row>
    <row r="470" spans="1:18" ht="35" customHeight="1">
      <c r="A470" t="s">
        <v>778</v>
      </c>
      <c r="B470" s="3" t="s">
        <v>779</v>
      </c>
      <c r="C470">
        <v>3</v>
      </c>
      <c r="D470" s="2">
        <v>1</v>
      </c>
      <c r="E470" s="2">
        <v>2</v>
      </c>
      <c r="F470" s="2">
        <v>2</v>
      </c>
      <c r="G470" s="2">
        <v>2</v>
      </c>
      <c r="H470" s="2">
        <v>2</v>
      </c>
      <c r="I470" s="2">
        <v>2</v>
      </c>
      <c r="J470" s="2">
        <v>1</v>
      </c>
      <c r="K470" s="2">
        <f t="shared" si="21"/>
        <v>1</v>
      </c>
      <c r="L470" s="2">
        <f t="shared" si="22"/>
        <v>7</v>
      </c>
      <c r="M470" s="2">
        <f t="shared" si="23"/>
        <v>12</v>
      </c>
      <c r="N470" s="2">
        <v>9</v>
      </c>
      <c r="O470" s="2">
        <v>2</v>
      </c>
      <c r="P470" t="s">
        <v>92</v>
      </c>
      <c r="Q470" s="3" t="s">
        <v>780</v>
      </c>
      <c r="R470" s="3" t="s">
        <v>781</v>
      </c>
    </row>
    <row r="471" spans="1:18" ht="35" customHeight="1">
      <c r="A471" t="s">
        <v>782</v>
      </c>
      <c r="B471" s="3" t="s">
        <v>202</v>
      </c>
      <c r="C471">
        <v>7</v>
      </c>
      <c r="D471" s="2">
        <v>1</v>
      </c>
      <c r="E471" s="2">
        <v>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f t="shared" si="21"/>
        <v>0</v>
      </c>
      <c r="L471" s="2">
        <f t="shared" si="22"/>
        <v>7</v>
      </c>
      <c r="M471" s="2">
        <f t="shared" si="23"/>
        <v>7</v>
      </c>
      <c r="N471" s="2">
        <v>0</v>
      </c>
      <c r="O471" s="2">
        <v>9</v>
      </c>
      <c r="P471" t="s">
        <v>783</v>
      </c>
      <c r="Q471" s="3" t="s">
        <v>202</v>
      </c>
      <c r="R471" s="3" t="s">
        <v>171</v>
      </c>
    </row>
    <row r="472" spans="1:18" ht="35" customHeight="1">
      <c r="A472" t="s">
        <v>784</v>
      </c>
      <c r="B472" s="3" t="s">
        <v>43</v>
      </c>
      <c r="C472">
        <v>0</v>
      </c>
      <c r="D472" s="2">
        <v>1</v>
      </c>
      <c r="E472" s="2">
        <v>1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f t="shared" si="21"/>
        <v>0</v>
      </c>
      <c r="L472" s="2">
        <f t="shared" si="22"/>
        <v>7</v>
      </c>
      <c r="M472" s="2">
        <f t="shared" si="23"/>
        <v>7</v>
      </c>
      <c r="N472" s="2">
        <v>7</v>
      </c>
      <c r="O472" s="2">
        <v>5</v>
      </c>
      <c r="P472" t="s">
        <v>785</v>
      </c>
      <c r="Q472" s="3" t="s">
        <v>122</v>
      </c>
      <c r="R472" s="3" t="s">
        <v>123</v>
      </c>
    </row>
    <row r="473" spans="1:18" ht="35" customHeight="1">
      <c r="A473" t="s">
        <v>90</v>
      </c>
      <c r="B473" s="3" t="s">
        <v>91</v>
      </c>
      <c r="C473">
        <v>14</v>
      </c>
      <c r="D473" s="2">
        <v>2</v>
      </c>
      <c r="E473" s="2">
        <v>2</v>
      </c>
      <c r="F473" s="2">
        <v>2</v>
      </c>
      <c r="G473" s="2">
        <v>3</v>
      </c>
      <c r="H473" s="2">
        <v>2</v>
      </c>
      <c r="I473" s="2">
        <v>1</v>
      </c>
      <c r="J473" s="2">
        <v>2</v>
      </c>
      <c r="K473" s="2">
        <f t="shared" si="21"/>
        <v>2</v>
      </c>
      <c r="L473" s="2">
        <f t="shared" si="22"/>
        <v>7</v>
      </c>
      <c r="M473" s="2">
        <f t="shared" si="23"/>
        <v>14</v>
      </c>
      <c r="N473" s="2">
        <v>0</v>
      </c>
      <c r="O473" s="2">
        <v>2</v>
      </c>
      <c r="P473" t="s">
        <v>92</v>
      </c>
      <c r="Q473" s="3" t="s">
        <v>91</v>
      </c>
      <c r="R473" s="3" t="s">
        <v>93</v>
      </c>
    </row>
    <row r="474" spans="1:18" ht="35" customHeight="1">
      <c r="A474" t="s">
        <v>786</v>
      </c>
      <c r="B474" s="3" t="s">
        <v>43</v>
      </c>
      <c r="C474">
        <v>0</v>
      </c>
      <c r="D474" s="2">
        <v>1</v>
      </c>
      <c r="E474" s="2">
        <v>1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f t="shared" si="21"/>
        <v>0</v>
      </c>
      <c r="L474" s="2">
        <f t="shared" si="22"/>
        <v>7</v>
      </c>
      <c r="M474" s="2">
        <f t="shared" si="23"/>
        <v>7</v>
      </c>
      <c r="N474" s="2">
        <v>7</v>
      </c>
      <c r="O474" s="2">
        <v>11</v>
      </c>
      <c r="P474" t="s">
        <v>787</v>
      </c>
      <c r="Q474" s="3" t="s">
        <v>122</v>
      </c>
      <c r="R474" s="3" t="s">
        <v>123</v>
      </c>
    </row>
    <row r="475" spans="1:18" ht="35" customHeight="1">
      <c r="A475" t="s">
        <v>788</v>
      </c>
      <c r="B475" s="3" t="s">
        <v>43</v>
      </c>
      <c r="C475">
        <v>0</v>
      </c>
      <c r="D475" s="2">
        <v>0</v>
      </c>
      <c r="E475" s="2">
        <v>1</v>
      </c>
      <c r="F475" s="2">
        <v>0</v>
      </c>
      <c r="G475" s="2">
        <v>0</v>
      </c>
      <c r="H475" s="2">
        <v>1</v>
      </c>
      <c r="I475" s="2">
        <v>0</v>
      </c>
      <c r="J475" s="2">
        <v>0</v>
      </c>
      <c r="K475" s="2">
        <f t="shared" si="21"/>
        <v>1</v>
      </c>
      <c r="L475" s="2">
        <f t="shared" si="22"/>
        <v>2</v>
      </c>
      <c r="M475" s="2">
        <f t="shared" si="23"/>
        <v>2</v>
      </c>
      <c r="N475" s="2">
        <v>2</v>
      </c>
      <c r="O475" s="2">
        <v>11</v>
      </c>
      <c r="P475" t="s">
        <v>789</v>
      </c>
      <c r="Q475" s="3" t="s">
        <v>152</v>
      </c>
      <c r="R475" s="3" t="s">
        <v>153</v>
      </c>
    </row>
    <row r="476" spans="1:18" ht="35" customHeight="1">
      <c r="A476" t="s">
        <v>790</v>
      </c>
      <c r="B476" s="3" t="s">
        <v>43</v>
      </c>
      <c r="C476">
        <v>0</v>
      </c>
      <c r="D476" s="2">
        <v>1</v>
      </c>
      <c r="E476" s="2">
        <v>0</v>
      </c>
      <c r="F476" s="2">
        <v>0</v>
      </c>
      <c r="G476" s="2">
        <v>1</v>
      </c>
      <c r="H476" s="2">
        <v>0</v>
      </c>
      <c r="I476" s="2">
        <v>1</v>
      </c>
      <c r="J476" s="2">
        <v>1</v>
      </c>
      <c r="K476" s="2">
        <f t="shared" si="21"/>
        <v>1</v>
      </c>
      <c r="L476" s="2">
        <f t="shared" si="22"/>
        <v>4</v>
      </c>
      <c r="M476" s="2">
        <f t="shared" si="23"/>
        <v>4</v>
      </c>
      <c r="N476" s="2">
        <v>4</v>
      </c>
      <c r="O476" s="2">
        <v>10</v>
      </c>
      <c r="P476" t="s">
        <v>791</v>
      </c>
      <c r="Q476" s="3" t="s">
        <v>142</v>
      </c>
      <c r="R476" s="3" t="s">
        <v>143</v>
      </c>
    </row>
    <row r="477" spans="1:18" ht="35" customHeight="1">
      <c r="A477" t="s">
        <v>792</v>
      </c>
      <c r="B477" s="3" t="s">
        <v>793</v>
      </c>
      <c r="C477">
        <v>13</v>
      </c>
      <c r="D477" s="2">
        <v>2</v>
      </c>
      <c r="E477" s="2">
        <v>1</v>
      </c>
      <c r="F477" s="2">
        <v>2</v>
      </c>
      <c r="G477" s="2">
        <v>2</v>
      </c>
      <c r="H477" s="2">
        <v>2</v>
      </c>
      <c r="I477" s="2">
        <v>2</v>
      </c>
      <c r="J477" s="2">
        <v>2</v>
      </c>
      <c r="K477" s="2">
        <f t="shared" si="21"/>
        <v>1</v>
      </c>
      <c r="L477" s="2">
        <f t="shared" si="22"/>
        <v>7</v>
      </c>
      <c r="M477" s="2">
        <f t="shared" si="23"/>
        <v>13</v>
      </c>
      <c r="N477" s="2">
        <v>0</v>
      </c>
      <c r="O477" s="2">
        <v>3</v>
      </c>
      <c r="P477" t="s">
        <v>64</v>
      </c>
      <c r="Q477" s="3" t="s">
        <v>793</v>
      </c>
      <c r="R477" s="3" t="s">
        <v>233</v>
      </c>
    </row>
    <row r="478" spans="1:18" ht="35" customHeight="1">
      <c r="A478" t="s">
        <v>794</v>
      </c>
      <c r="B478" s="3" t="s">
        <v>43</v>
      </c>
      <c r="C478">
        <v>0</v>
      </c>
      <c r="D478" s="2">
        <v>2</v>
      </c>
      <c r="E478" s="2">
        <v>2</v>
      </c>
      <c r="F478" s="2">
        <v>2</v>
      </c>
      <c r="G478" s="2">
        <v>2</v>
      </c>
      <c r="H478" s="2">
        <v>2</v>
      </c>
      <c r="I478" s="2">
        <v>2</v>
      </c>
      <c r="J478" s="2">
        <v>2</v>
      </c>
      <c r="K478" s="2">
        <f t="shared" si="21"/>
        <v>0</v>
      </c>
      <c r="L478" s="2">
        <f t="shared" si="22"/>
        <v>7</v>
      </c>
      <c r="M478" s="2">
        <f t="shared" si="23"/>
        <v>14</v>
      </c>
      <c r="N478" s="2">
        <v>14</v>
      </c>
      <c r="O478" s="2">
        <v>2</v>
      </c>
      <c r="P478" t="s">
        <v>795</v>
      </c>
      <c r="Q478" s="3" t="s">
        <v>49</v>
      </c>
      <c r="R478" s="3" t="s">
        <v>50</v>
      </c>
    </row>
    <row r="479" spans="1:18" ht="35" customHeight="1">
      <c r="A479" t="s">
        <v>796</v>
      </c>
      <c r="B479" s="3" t="s">
        <v>43</v>
      </c>
      <c r="C479">
        <v>0</v>
      </c>
      <c r="D479" s="2">
        <v>1</v>
      </c>
      <c r="E479" s="2">
        <v>1</v>
      </c>
      <c r="F479" s="2">
        <v>0</v>
      </c>
      <c r="G479" s="2">
        <v>1</v>
      </c>
      <c r="H479" s="2">
        <v>1</v>
      </c>
      <c r="I479" s="2">
        <v>0</v>
      </c>
      <c r="J479" s="2">
        <v>0</v>
      </c>
      <c r="K479" s="2">
        <f t="shared" si="21"/>
        <v>1</v>
      </c>
      <c r="L479" s="2">
        <f t="shared" si="22"/>
        <v>4</v>
      </c>
      <c r="M479" s="2">
        <f t="shared" si="23"/>
        <v>4</v>
      </c>
      <c r="N479" s="2">
        <v>4</v>
      </c>
      <c r="O479" s="2">
        <v>11</v>
      </c>
      <c r="P479" t="s">
        <v>797</v>
      </c>
      <c r="Q479" s="3" t="s">
        <v>142</v>
      </c>
      <c r="R479" s="3" t="s">
        <v>143</v>
      </c>
    </row>
    <row r="480" spans="1:18" ht="35" customHeight="1">
      <c r="A480" t="s">
        <v>798</v>
      </c>
      <c r="B480" s="3" t="s">
        <v>799</v>
      </c>
      <c r="C480">
        <v>6</v>
      </c>
      <c r="D480" s="2">
        <v>1</v>
      </c>
      <c r="E480" s="2">
        <v>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f t="shared" si="21"/>
        <v>1</v>
      </c>
      <c r="L480" s="2">
        <f t="shared" si="22"/>
        <v>6</v>
      </c>
      <c r="M480" s="2">
        <f t="shared" si="23"/>
        <v>6</v>
      </c>
      <c r="N480" s="2">
        <v>0</v>
      </c>
      <c r="O480" s="2">
        <v>12</v>
      </c>
      <c r="P480" t="s">
        <v>77</v>
      </c>
      <c r="Q480" s="3" t="s">
        <v>799</v>
      </c>
      <c r="R480" s="3" t="s">
        <v>800</v>
      </c>
    </row>
    <row r="481" spans="1:18" ht="35" customHeight="1">
      <c r="A481" t="s">
        <v>801</v>
      </c>
      <c r="B481" s="3" t="s">
        <v>43</v>
      </c>
      <c r="C481">
        <v>0</v>
      </c>
      <c r="D481" s="2">
        <v>0</v>
      </c>
      <c r="E481" s="2">
        <v>1</v>
      </c>
      <c r="F481" s="2">
        <v>1</v>
      </c>
      <c r="G481" s="2">
        <v>0</v>
      </c>
      <c r="H481" s="2">
        <v>0</v>
      </c>
      <c r="I481" s="2">
        <v>1</v>
      </c>
      <c r="J481" s="2">
        <v>0</v>
      </c>
      <c r="K481" s="2">
        <f t="shared" si="21"/>
        <v>1</v>
      </c>
      <c r="L481" s="2">
        <f t="shared" si="22"/>
        <v>3</v>
      </c>
      <c r="M481" s="2">
        <f t="shared" si="23"/>
        <v>3</v>
      </c>
      <c r="N481" s="2">
        <v>3</v>
      </c>
      <c r="O481" s="2">
        <v>10</v>
      </c>
      <c r="P481" t="s">
        <v>777</v>
      </c>
      <c r="Q481" s="3" t="s">
        <v>145</v>
      </c>
      <c r="R481" s="3" t="s">
        <v>146</v>
      </c>
    </row>
    <row r="482" spans="1:18" ht="35" customHeight="1">
      <c r="A482" t="s">
        <v>802</v>
      </c>
      <c r="B482" s="3" t="s">
        <v>43</v>
      </c>
      <c r="C482">
        <v>0</v>
      </c>
      <c r="D482" s="2">
        <v>1</v>
      </c>
      <c r="E482" s="2">
        <v>1</v>
      </c>
      <c r="F482" s="2">
        <v>2</v>
      </c>
      <c r="G482" s="2">
        <v>2</v>
      </c>
      <c r="H482" s="2">
        <v>1</v>
      </c>
      <c r="I482" s="2">
        <v>1</v>
      </c>
      <c r="J482" s="2">
        <v>1</v>
      </c>
      <c r="K482" s="2">
        <f t="shared" si="21"/>
        <v>1</v>
      </c>
      <c r="L482" s="2">
        <f t="shared" si="22"/>
        <v>7</v>
      </c>
      <c r="M482" s="2">
        <f t="shared" si="23"/>
        <v>9</v>
      </c>
      <c r="N482" s="2">
        <v>9</v>
      </c>
      <c r="O482" s="2">
        <v>3</v>
      </c>
      <c r="P482" t="s">
        <v>133</v>
      </c>
      <c r="Q482" s="3" t="s">
        <v>113</v>
      </c>
      <c r="R482" s="3" t="s">
        <v>114</v>
      </c>
    </row>
    <row r="483" spans="1:18" ht="35" customHeight="1">
      <c r="A483" t="s">
        <v>803</v>
      </c>
      <c r="B483" s="3" t="s">
        <v>804</v>
      </c>
      <c r="C483">
        <v>1</v>
      </c>
      <c r="D483" s="2">
        <v>1</v>
      </c>
      <c r="E483" s="2">
        <v>1</v>
      </c>
      <c r="F483" s="2">
        <v>1</v>
      </c>
      <c r="G483" s="2">
        <v>1</v>
      </c>
      <c r="H483" s="2">
        <v>0</v>
      </c>
      <c r="I483" s="2">
        <v>1</v>
      </c>
      <c r="J483" s="2">
        <v>1</v>
      </c>
      <c r="K483" s="2">
        <f t="shared" si="21"/>
        <v>1</v>
      </c>
      <c r="L483" s="2">
        <f t="shared" si="22"/>
        <v>6</v>
      </c>
      <c r="M483" s="2">
        <f t="shared" si="23"/>
        <v>6</v>
      </c>
      <c r="N483" s="2">
        <v>5</v>
      </c>
      <c r="O483" s="2">
        <v>6</v>
      </c>
      <c r="P483" t="s">
        <v>805</v>
      </c>
      <c r="Q483" s="3" t="s">
        <v>806</v>
      </c>
      <c r="R483" s="3" t="s">
        <v>807</v>
      </c>
    </row>
    <row r="484" spans="1:18" ht="35" customHeight="1">
      <c r="A484" t="s">
        <v>808</v>
      </c>
      <c r="B484" s="3" t="s">
        <v>43</v>
      </c>
      <c r="C484">
        <v>0</v>
      </c>
      <c r="D484" s="2">
        <v>1</v>
      </c>
      <c r="E484" s="2">
        <v>1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f t="shared" si="21"/>
        <v>0</v>
      </c>
      <c r="L484" s="2">
        <f t="shared" si="22"/>
        <v>7</v>
      </c>
      <c r="M484" s="2">
        <f t="shared" si="23"/>
        <v>7</v>
      </c>
      <c r="N484" s="2">
        <v>7</v>
      </c>
      <c r="O484" s="2">
        <v>10</v>
      </c>
      <c r="P484" t="s">
        <v>809</v>
      </c>
      <c r="Q484" s="3" t="s">
        <v>122</v>
      </c>
      <c r="R484" s="3" t="s">
        <v>123</v>
      </c>
    </row>
    <row r="485" spans="1:18" ht="35" customHeight="1">
      <c r="A485" t="s">
        <v>810</v>
      </c>
      <c r="B485" s="3" t="s">
        <v>43</v>
      </c>
      <c r="C485">
        <v>0</v>
      </c>
      <c r="D485" s="2">
        <v>1</v>
      </c>
      <c r="E485" s="2">
        <v>1</v>
      </c>
      <c r="F485" s="2">
        <v>1</v>
      </c>
      <c r="G485" s="2">
        <v>1</v>
      </c>
      <c r="H485" s="2">
        <v>0</v>
      </c>
      <c r="I485" s="2">
        <v>1</v>
      </c>
      <c r="J485" s="2">
        <v>1</v>
      </c>
      <c r="K485" s="2">
        <f t="shared" si="21"/>
        <v>1</v>
      </c>
      <c r="L485" s="2">
        <f t="shared" si="22"/>
        <v>6</v>
      </c>
      <c r="M485" s="2">
        <f t="shared" si="23"/>
        <v>6</v>
      </c>
      <c r="N485" s="2">
        <v>6</v>
      </c>
      <c r="O485" s="2">
        <v>11</v>
      </c>
      <c r="P485" t="s">
        <v>116</v>
      </c>
      <c r="Q485" s="3" t="s">
        <v>173</v>
      </c>
      <c r="R485" s="3" t="s">
        <v>174</v>
      </c>
    </row>
    <row r="486" spans="1:18" ht="35" customHeight="1">
      <c r="A486" t="s">
        <v>117</v>
      </c>
      <c r="B486" s="3" t="s">
        <v>43</v>
      </c>
      <c r="C486">
        <v>0</v>
      </c>
      <c r="D486" s="2">
        <v>2</v>
      </c>
      <c r="E486" s="2">
        <v>1</v>
      </c>
      <c r="F486" s="2">
        <v>1</v>
      </c>
      <c r="G486" s="2">
        <v>0</v>
      </c>
      <c r="H486" s="2">
        <v>1</v>
      </c>
      <c r="I486" s="2">
        <v>1</v>
      </c>
      <c r="J486" s="2">
        <v>2</v>
      </c>
      <c r="K486" s="2">
        <f t="shared" si="21"/>
        <v>2</v>
      </c>
      <c r="L486" s="2">
        <f t="shared" si="22"/>
        <v>6</v>
      </c>
      <c r="M486" s="2">
        <f t="shared" si="23"/>
        <v>8</v>
      </c>
      <c r="N486" s="2">
        <v>8</v>
      </c>
      <c r="O486" s="2">
        <v>5</v>
      </c>
      <c r="P486" t="s">
        <v>118</v>
      </c>
      <c r="Q486" s="3" t="s">
        <v>119</v>
      </c>
      <c r="R486" s="3" t="s">
        <v>120</v>
      </c>
    </row>
    <row r="487" spans="1:18" ht="35" customHeight="1">
      <c r="A487" t="s">
        <v>811</v>
      </c>
      <c r="B487" s="3" t="s">
        <v>43</v>
      </c>
      <c r="C487">
        <v>0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f t="shared" si="21"/>
        <v>1</v>
      </c>
      <c r="L487" s="2">
        <f t="shared" si="22"/>
        <v>1</v>
      </c>
      <c r="M487" s="2">
        <f t="shared" si="23"/>
        <v>1</v>
      </c>
      <c r="N487" s="2">
        <v>1</v>
      </c>
      <c r="O487" s="2">
        <v>12</v>
      </c>
      <c r="P487" t="s">
        <v>52</v>
      </c>
      <c r="Q487" s="3" t="s">
        <v>271</v>
      </c>
      <c r="R487" s="3" t="s">
        <v>272</v>
      </c>
    </row>
    <row r="488" spans="1:18" ht="35" customHeight="1">
      <c r="A488" t="s">
        <v>812</v>
      </c>
      <c r="B488" s="3" t="s">
        <v>43</v>
      </c>
      <c r="C488">
        <v>0</v>
      </c>
      <c r="D488" s="2">
        <v>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1</v>
      </c>
      <c r="K488" s="2">
        <f t="shared" si="21"/>
        <v>1</v>
      </c>
      <c r="L488" s="2">
        <f t="shared" si="22"/>
        <v>2</v>
      </c>
      <c r="M488" s="2">
        <f t="shared" si="23"/>
        <v>2</v>
      </c>
      <c r="N488" s="2">
        <v>2</v>
      </c>
      <c r="O488" s="2">
        <v>9</v>
      </c>
      <c r="P488" t="s">
        <v>813</v>
      </c>
      <c r="Q488" s="3" t="s">
        <v>152</v>
      </c>
      <c r="R488" s="3" t="s">
        <v>153</v>
      </c>
    </row>
    <row r="489" spans="1:18" ht="35" customHeight="1">
      <c r="A489" t="s">
        <v>814</v>
      </c>
      <c r="B489" s="3" t="s">
        <v>43</v>
      </c>
      <c r="C489">
        <v>0</v>
      </c>
      <c r="D489" s="2">
        <v>2</v>
      </c>
      <c r="E489" s="2">
        <v>2</v>
      </c>
      <c r="F489" s="2">
        <v>1</v>
      </c>
      <c r="G489" s="2">
        <v>2</v>
      </c>
      <c r="H489" s="2">
        <v>2</v>
      </c>
      <c r="I489" s="2">
        <v>2</v>
      </c>
      <c r="J489" s="2">
        <v>1</v>
      </c>
      <c r="K489" s="2">
        <f t="shared" si="21"/>
        <v>1</v>
      </c>
      <c r="L489" s="2">
        <f t="shared" si="22"/>
        <v>7</v>
      </c>
      <c r="M489" s="2">
        <f t="shared" si="23"/>
        <v>12</v>
      </c>
      <c r="N489" s="2">
        <v>12</v>
      </c>
      <c r="O489" s="2">
        <v>2</v>
      </c>
      <c r="P489" t="s">
        <v>92</v>
      </c>
      <c r="Q489" s="3" t="s">
        <v>98</v>
      </c>
      <c r="R489" s="3" t="s">
        <v>99</v>
      </c>
    </row>
    <row r="490" spans="1:18" ht="35" customHeight="1">
      <c r="A490" t="s">
        <v>815</v>
      </c>
      <c r="B490" s="3" t="s">
        <v>43</v>
      </c>
      <c r="C490">
        <v>0</v>
      </c>
      <c r="D490" s="2">
        <v>0</v>
      </c>
      <c r="E490" s="2">
        <v>1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f t="shared" si="21"/>
        <v>1</v>
      </c>
      <c r="L490" s="2">
        <f t="shared" si="22"/>
        <v>1</v>
      </c>
      <c r="M490" s="2">
        <f t="shared" si="23"/>
        <v>1</v>
      </c>
      <c r="N490" s="2">
        <v>1</v>
      </c>
      <c r="O490" s="2">
        <v>4</v>
      </c>
      <c r="P490" t="s">
        <v>754</v>
      </c>
      <c r="Q490" s="3" t="s">
        <v>271</v>
      </c>
      <c r="R490" s="3" t="s">
        <v>272</v>
      </c>
    </row>
    <row r="491" spans="1:18" ht="35" customHeight="1">
      <c r="A491" t="s">
        <v>816</v>
      </c>
      <c r="B491" s="3" t="s">
        <v>43</v>
      </c>
      <c r="C491">
        <v>0</v>
      </c>
      <c r="D491" s="2">
        <v>1</v>
      </c>
      <c r="E491" s="2">
        <v>1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f t="shared" si="21"/>
        <v>0</v>
      </c>
      <c r="L491" s="2">
        <f t="shared" si="22"/>
        <v>7</v>
      </c>
      <c r="M491" s="2">
        <f t="shared" si="23"/>
        <v>7</v>
      </c>
      <c r="N491" s="2">
        <v>7</v>
      </c>
      <c r="O491" s="2">
        <v>8</v>
      </c>
      <c r="P491" t="s">
        <v>817</v>
      </c>
      <c r="Q491" s="3" t="s">
        <v>122</v>
      </c>
      <c r="R491" s="3" t="s">
        <v>123</v>
      </c>
    </row>
    <row r="492" spans="1:18" ht="35" customHeight="1">
      <c r="A492" t="s">
        <v>818</v>
      </c>
      <c r="B492" s="3" t="s">
        <v>43</v>
      </c>
      <c r="C492">
        <v>0</v>
      </c>
      <c r="D492" s="2">
        <v>1</v>
      </c>
      <c r="E492" s="2">
        <v>1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f t="shared" si="21"/>
        <v>0</v>
      </c>
      <c r="L492" s="2">
        <f t="shared" si="22"/>
        <v>7</v>
      </c>
      <c r="M492" s="2">
        <f t="shared" si="23"/>
        <v>7</v>
      </c>
      <c r="N492" s="2">
        <v>7</v>
      </c>
      <c r="O492" s="2">
        <v>1</v>
      </c>
      <c r="P492" t="s">
        <v>22</v>
      </c>
      <c r="Q492" s="3" t="s">
        <v>122</v>
      </c>
      <c r="R492" s="3" t="s">
        <v>123</v>
      </c>
    </row>
    <row r="493" spans="1:18" ht="35" customHeight="1">
      <c r="A493" t="s">
        <v>819</v>
      </c>
      <c r="B493" s="3" t="s">
        <v>43</v>
      </c>
      <c r="C493">
        <v>0</v>
      </c>
      <c r="D493" s="2">
        <v>1</v>
      </c>
      <c r="E493" s="2">
        <v>1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f t="shared" si="21"/>
        <v>0</v>
      </c>
      <c r="L493" s="2">
        <f t="shared" si="22"/>
        <v>7</v>
      </c>
      <c r="M493" s="2">
        <f t="shared" si="23"/>
        <v>7</v>
      </c>
      <c r="N493" s="2">
        <v>7</v>
      </c>
      <c r="O493" s="2">
        <v>5</v>
      </c>
      <c r="P493" t="s">
        <v>820</v>
      </c>
      <c r="Q493" s="3" t="s">
        <v>122</v>
      </c>
      <c r="R493" s="3" t="s">
        <v>123</v>
      </c>
    </row>
    <row r="494" spans="1:18" ht="35" customHeight="1">
      <c r="A494" t="s">
        <v>821</v>
      </c>
      <c r="B494" s="3" t="s">
        <v>43</v>
      </c>
      <c r="C494">
        <v>0</v>
      </c>
      <c r="D494" s="2">
        <v>1</v>
      </c>
      <c r="E494" s="2">
        <v>1</v>
      </c>
      <c r="F494" s="2">
        <v>0</v>
      </c>
      <c r="G494" s="2">
        <v>1</v>
      </c>
      <c r="H494" s="2">
        <v>1</v>
      </c>
      <c r="I494" s="2">
        <v>1</v>
      </c>
      <c r="J494" s="2">
        <v>1</v>
      </c>
      <c r="K494" s="2">
        <f t="shared" si="21"/>
        <v>1</v>
      </c>
      <c r="L494" s="2">
        <f t="shared" si="22"/>
        <v>6</v>
      </c>
      <c r="M494" s="2">
        <f t="shared" si="23"/>
        <v>6</v>
      </c>
      <c r="N494" s="2">
        <v>6</v>
      </c>
      <c r="O494" s="2">
        <v>5</v>
      </c>
      <c r="P494" t="s">
        <v>118</v>
      </c>
      <c r="Q494" s="3" t="s">
        <v>173</v>
      </c>
      <c r="R494" s="3" t="s">
        <v>174</v>
      </c>
    </row>
    <row r="495" spans="1:18" ht="35" customHeight="1">
      <c r="A495" t="s">
        <v>105</v>
      </c>
      <c r="B495" s="3" t="s">
        <v>106</v>
      </c>
      <c r="C495">
        <v>12</v>
      </c>
      <c r="D495" s="2">
        <v>2</v>
      </c>
      <c r="E495" s="2">
        <v>2</v>
      </c>
      <c r="F495" s="2">
        <v>2</v>
      </c>
      <c r="G495" s="2">
        <v>2</v>
      </c>
      <c r="H495" s="2">
        <v>2</v>
      </c>
      <c r="I495" s="2">
        <v>0</v>
      </c>
      <c r="J495" s="2">
        <v>2</v>
      </c>
      <c r="K495" s="2">
        <f t="shared" si="21"/>
        <v>2</v>
      </c>
      <c r="L495" s="2">
        <f t="shared" si="22"/>
        <v>6</v>
      </c>
      <c r="M495" s="2">
        <f t="shared" si="23"/>
        <v>12</v>
      </c>
      <c r="N495" s="2">
        <v>0</v>
      </c>
      <c r="O495" s="2">
        <v>1</v>
      </c>
      <c r="P495" t="s">
        <v>22</v>
      </c>
      <c r="Q495" s="3" t="s">
        <v>106</v>
      </c>
      <c r="R495" s="3" t="s">
        <v>107</v>
      </c>
    </row>
    <row r="496" spans="1:18" ht="35" customHeight="1">
      <c r="A496" t="s">
        <v>822</v>
      </c>
      <c r="B496" s="3" t="s">
        <v>43</v>
      </c>
      <c r="C496">
        <v>0</v>
      </c>
      <c r="D496" s="2">
        <v>1</v>
      </c>
      <c r="E496" s="2">
        <v>1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f t="shared" si="21"/>
        <v>0</v>
      </c>
      <c r="L496" s="2">
        <f t="shared" si="22"/>
        <v>7</v>
      </c>
      <c r="M496" s="2">
        <f t="shared" si="23"/>
        <v>7</v>
      </c>
      <c r="N496" s="2">
        <v>7</v>
      </c>
      <c r="O496" s="2">
        <v>4</v>
      </c>
      <c r="P496" t="s">
        <v>628</v>
      </c>
      <c r="Q496" s="3" t="s">
        <v>122</v>
      </c>
      <c r="R496" s="3" t="s">
        <v>123</v>
      </c>
    </row>
    <row r="497" spans="1:18" ht="35" customHeight="1">
      <c r="A497" t="s">
        <v>823</v>
      </c>
      <c r="B497" s="3" t="s">
        <v>43</v>
      </c>
      <c r="C497">
        <v>0</v>
      </c>
      <c r="D497" s="2">
        <v>1</v>
      </c>
      <c r="E497" s="2">
        <v>1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f t="shared" si="21"/>
        <v>0</v>
      </c>
      <c r="L497" s="2">
        <f t="shared" si="22"/>
        <v>7</v>
      </c>
      <c r="M497" s="2">
        <f t="shared" si="23"/>
        <v>7</v>
      </c>
      <c r="N497" s="2">
        <v>7</v>
      </c>
      <c r="O497" s="2">
        <v>6</v>
      </c>
      <c r="P497" t="s">
        <v>824</v>
      </c>
      <c r="Q497" s="3" t="s">
        <v>122</v>
      </c>
      <c r="R497" s="3" t="s">
        <v>123</v>
      </c>
    </row>
    <row r="498" spans="1:18" ht="35" customHeight="1">
      <c r="A498" t="s">
        <v>141</v>
      </c>
      <c r="B498" s="3" t="s">
        <v>43</v>
      </c>
      <c r="C498">
        <v>0</v>
      </c>
      <c r="D498" s="2">
        <v>0</v>
      </c>
      <c r="E498" s="2">
        <v>0</v>
      </c>
      <c r="F498" s="2">
        <v>0</v>
      </c>
      <c r="G498" s="2">
        <v>2</v>
      </c>
      <c r="H498" s="2">
        <v>1</v>
      </c>
      <c r="I498" s="2">
        <v>1</v>
      </c>
      <c r="J498" s="2">
        <v>0</v>
      </c>
      <c r="K498" s="2">
        <f t="shared" si="21"/>
        <v>2</v>
      </c>
      <c r="L498" s="2">
        <f t="shared" si="22"/>
        <v>3</v>
      </c>
      <c r="M498" s="2">
        <f t="shared" si="23"/>
        <v>4</v>
      </c>
      <c r="N498" s="2">
        <v>4</v>
      </c>
      <c r="O498" s="2">
        <v>2</v>
      </c>
      <c r="P498" t="s">
        <v>92</v>
      </c>
      <c r="Q498" s="3" t="s">
        <v>142</v>
      </c>
      <c r="R498" s="3" t="s">
        <v>143</v>
      </c>
    </row>
    <row r="499" spans="1:18" ht="35" customHeight="1">
      <c r="A499" t="s">
        <v>825</v>
      </c>
      <c r="B499" s="3" t="s">
        <v>43</v>
      </c>
      <c r="C499">
        <v>0</v>
      </c>
      <c r="D499" s="2">
        <v>1</v>
      </c>
      <c r="E499" s="2">
        <v>0</v>
      </c>
      <c r="F499" s="2">
        <v>1</v>
      </c>
      <c r="G499" s="2">
        <v>0</v>
      </c>
      <c r="H499" s="2">
        <v>0</v>
      </c>
      <c r="I499" s="2">
        <v>0</v>
      </c>
      <c r="J499" s="2">
        <v>1</v>
      </c>
      <c r="K499" s="2">
        <f t="shared" si="21"/>
        <v>1</v>
      </c>
      <c r="L499" s="2">
        <f t="shared" si="22"/>
        <v>3</v>
      </c>
      <c r="M499" s="2">
        <f t="shared" si="23"/>
        <v>3</v>
      </c>
      <c r="N499" s="2">
        <v>3</v>
      </c>
      <c r="O499" s="2">
        <v>7</v>
      </c>
      <c r="P499" t="s">
        <v>826</v>
      </c>
      <c r="Q499" s="3" t="s">
        <v>145</v>
      </c>
      <c r="R499" s="3" t="s">
        <v>146</v>
      </c>
    </row>
    <row r="500" spans="1:18" ht="35" customHeight="1">
      <c r="A500" t="s">
        <v>108</v>
      </c>
      <c r="B500" s="3" t="s">
        <v>109</v>
      </c>
      <c r="C500">
        <v>10</v>
      </c>
      <c r="D500" s="2">
        <v>2</v>
      </c>
      <c r="E500" s="2">
        <v>0</v>
      </c>
      <c r="F500" s="2">
        <v>2</v>
      </c>
      <c r="G500" s="2">
        <v>2</v>
      </c>
      <c r="H500" s="2">
        <v>2</v>
      </c>
      <c r="I500" s="2">
        <v>2</v>
      </c>
      <c r="J500" s="2">
        <v>2</v>
      </c>
      <c r="K500" s="2">
        <f t="shared" si="21"/>
        <v>2</v>
      </c>
      <c r="L500" s="2">
        <f t="shared" si="22"/>
        <v>6</v>
      </c>
      <c r="M500" s="2">
        <f t="shared" si="23"/>
        <v>12</v>
      </c>
      <c r="N500" s="2">
        <v>2</v>
      </c>
      <c r="O500" s="2">
        <v>0</v>
      </c>
      <c r="Q500" s="3" t="s">
        <v>110</v>
      </c>
      <c r="R500" s="3" t="s">
        <v>111</v>
      </c>
    </row>
    <row r="501" spans="1:18" ht="35" customHeight="1">
      <c r="A501" t="s">
        <v>827</v>
      </c>
      <c r="B501" s="3" t="s">
        <v>43</v>
      </c>
      <c r="C501">
        <v>0</v>
      </c>
      <c r="D501" s="2">
        <v>1</v>
      </c>
      <c r="E501" s="2">
        <v>2</v>
      </c>
      <c r="F501" s="2">
        <v>1</v>
      </c>
      <c r="G501" s="2">
        <v>2</v>
      </c>
      <c r="H501" s="2">
        <v>1</v>
      </c>
      <c r="I501" s="2">
        <v>2</v>
      </c>
      <c r="J501" s="2">
        <v>1</v>
      </c>
      <c r="K501" s="2">
        <f t="shared" si="21"/>
        <v>1</v>
      </c>
      <c r="L501" s="2">
        <f t="shared" si="22"/>
        <v>7</v>
      </c>
      <c r="M501" s="2">
        <f t="shared" si="23"/>
        <v>10</v>
      </c>
      <c r="N501" s="2">
        <v>10</v>
      </c>
      <c r="O501" s="2">
        <v>2</v>
      </c>
      <c r="P501" t="s">
        <v>92</v>
      </c>
      <c r="Q501" s="3" t="s">
        <v>828</v>
      </c>
      <c r="R501" s="3" t="s">
        <v>829</v>
      </c>
    </row>
    <row r="502" spans="1:18" ht="35" customHeight="1">
      <c r="A502" t="s">
        <v>830</v>
      </c>
      <c r="B502" s="3" t="s">
        <v>43</v>
      </c>
      <c r="C502">
        <v>0</v>
      </c>
      <c r="D502" s="2">
        <v>1</v>
      </c>
      <c r="E502" s="2">
        <v>1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f t="shared" si="21"/>
        <v>0</v>
      </c>
      <c r="L502" s="2">
        <f t="shared" si="22"/>
        <v>7</v>
      </c>
      <c r="M502" s="2">
        <f t="shared" si="23"/>
        <v>7</v>
      </c>
      <c r="N502" s="2">
        <v>7</v>
      </c>
      <c r="O502" s="2">
        <v>4</v>
      </c>
      <c r="P502" t="s">
        <v>754</v>
      </c>
      <c r="Q502" s="3" t="s">
        <v>122</v>
      </c>
      <c r="R502" s="3" t="s">
        <v>123</v>
      </c>
    </row>
    <row r="503" spans="1:18" ht="35" customHeight="1">
      <c r="A503" t="s">
        <v>831</v>
      </c>
      <c r="B503" s="3" t="s">
        <v>43</v>
      </c>
      <c r="C503">
        <v>0</v>
      </c>
      <c r="D503" s="2">
        <v>0</v>
      </c>
      <c r="E503" s="2">
        <v>0</v>
      </c>
      <c r="F503" s="2">
        <v>0</v>
      </c>
      <c r="G503" s="2">
        <v>1</v>
      </c>
      <c r="H503" s="2">
        <v>1</v>
      </c>
      <c r="I503" s="2">
        <v>1</v>
      </c>
      <c r="J503" s="2">
        <v>0</v>
      </c>
      <c r="K503" s="2">
        <f t="shared" si="21"/>
        <v>1</v>
      </c>
      <c r="L503" s="2">
        <f t="shared" si="22"/>
        <v>3</v>
      </c>
      <c r="M503" s="2">
        <f t="shared" si="23"/>
        <v>3</v>
      </c>
      <c r="N503" s="2">
        <v>3</v>
      </c>
      <c r="O503" s="2">
        <v>2</v>
      </c>
      <c r="P503" t="s">
        <v>92</v>
      </c>
      <c r="Q503" s="3" t="s">
        <v>145</v>
      </c>
      <c r="R503" s="3" t="s">
        <v>146</v>
      </c>
    </row>
    <row r="504" spans="1:18" ht="35" customHeight="1">
      <c r="A504" t="s">
        <v>832</v>
      </c>
      <c r="B504" s="3" t="s">
        <v>833</v>
      </c>
      <c r="C504">
        <v>8</v>
      </c>
      <c r="D504" s="2">
        <v>2</v>
      </c>
      <c r="E504" s="2">
        <v>1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f t="shared" si="21"/>
        <v>1</v>
      </c>
      <c r="L504" s="2">
        <f t="shared" si="22"/>
        <v>7</v>
      </c>
      <c r="M504" s="2">
        <f t="shared" si="23"/>
        <v>8</v>
      </c>
      <c r="N504" s="2">
        <v>0</v>
      </c>
      <c r="O504" s="2">
        <v>2</v>
      </c>
      <c r="P504" t="s">
        <v>92</v>
      </c>
      <c r="Q504" s="3" t="s">
        <v>833</v>
      </c>
      <c r="R504" s="3" t="s">
        <v>581</v>
      </c>
    </row>
    <row r="505" spans="1:18" ht="35" customHeight="1">
      <c r="A505" t="s">
        <v>834</v>
      </c>
      <c r="B505" s="3" t="s">
        <v>43</v>
      </c>
      <c r="C505">
        <v>0</v>
      </c>
      <c r="D505" s="2">
        <v>1</v>
      </c>
      <c r="E505" s="2">
        <v>1</v>
      </c>
      <c r="F505" s="2">
        <v>1</v>
      </c>
      <c r="G505" s="2">
        <v>1</v>
      </c>
      <c r="H505" s="2">
        <v>1</v>
      </c>
      <c r="I505" s="2">
        <v>1</v>
      </c>
      <c r="J505" s="2">
        <v>0</v>
      </c>
      <c r="K505" s="2">
        <f t="shared" si="21"/>
        <v>1</v>
      </c>
      <c r="L505" s="2">
        <f t="shared" si="22"/>
        <v>6</v>
      </c>
      <c r="M505" s="2">
        <f t="shared" si="23"/>
        <v>6</v>
      </c>
      <c r="N505" s="2">
        <v>6</v>
      </c>
      <c r="O505" s="2">
        <v>4</v>
      </c>
      <c r="P505" t="s">
        <v>835</v>
      </c>
      <c r="Q505" s="3" t="s">
        <v>173</v>
      </c>
      <c r="R505" s="3" t="s">
        <v>174</v>
      </c>
    </row>
    <row r="506" spans="1:18" ht="35" customHeight="1">
      <c r="A506" t="s">
        <v>836</v>
      </c>
      <c r="B506" s="3" t="s">
        <v>772</v>
      </c>
      <c r="C506">
        <v>7</v>
      </c>
      <c r="D506" s="2">
        <v>1</v>
      </c>
      <c r="E506" s="2">
        <v>1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f t="shared" si="21"/>
        <v>0</v>
      </c>
      <c r="L506" s="2">
        <f t="shared" si="22"/>
        <v>7</v>
      </c>
      <c r="M506" s="2">
        <f t="shared" si="23"/>
        <v>7</v>
      </c>
      <c r="N506" s="2">
        <v>0</v>
      </c>
      <c r="O506" s="2">
        <v>4</v>
      </c>
      <c r="P506" t="s">
        <v>837</v>
      </c>
      <c r="Q506" s="3" t="s">
        <v>772</v>
      </c>
      <c r="R506" s="3" t="s">
        <v>171</v>
      </c>
    </row>
    <row r="507" spans="1:18" ht="35" customHeight="1">
      <c r="A507" t="s">
        <v>838</v>
      </c>
      <c r="B507" s="3" t="s">
        <v>43</v>
      </c>
      <c r="C507">
        <v>0</v>
      </c>
      <c r="D507" s="2">
        <v>1</v>
      </c>
      <c r="E507" s="2">
        <v>1</v>
      </c>
      <c r="F507" s="2">
        <v>1</v>
      </c>
      <c r="G507" s="2">
        <v>0</v>
      </c>
      <c r="H507" s="2">
        <v>1</v>
      </c>
      <c r="I507" s="2">
        <v>1</v>
      </c>
      <c r="J507" s="2">
        <v>1</v>
      </c>
      <c r="K507" s="2">
        <f t="shared" si="21"/>
        <v>1</v>
      </c>
      <c r="L507" s="2">
        <f t="shared" si="22"/>
        <v>6</v>
      </c>
      <c r="M507" s="2">
        <f t="shared" si="23"/>
        <v>6</v>
      </c>
      <c r="N507" s="2">
        <v>6</v>
      </c>
      <c r="O507" s="2">
        <v>2</v>
      </c>
      <c r="P507" t="s">
        <v>839</v>
      </c>
      <c r="Q507" s="3" t="s">
        <v>173</v>
      </c>
      <c r="R507" s="3" t="s">
        <v>174</v>
      </c>
    </row>
    <row r="508" spans="1:18" ht="35" customHeight="1">
      <c r="A508" t="s">
        <v>840</v>
      </c>
      <c r="B508" s="3" t="s">
        <v>43</v>
      </c>
      <c r="C508">
        <v>0</v>
      </c>
      <c r="D508" s="2">
        <v>1</v>
      </c>
      <c r="E508" s="2">
        <v>1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f t="shared" si="21"/>
        <v>0</v>
      </c>
      <c r="L508" s="2">
        <f t="shared" si="22"/>
        <v>7</v>
      </c>
      <c r="M508" s="2">
        <f t="shared" si="23"/>
        <v>7</v>
      </c>
      <c r="N508" s="2">
        <v>7</v>
      </c>
      <c r="O508" s="2">
        <v>3</v>
      </c>
      <c r="P508" t="s">
        <v>80</v>
      </c>
      <c r="Q508" s="3" t="s">
        <v>122</v>
      </c>
      <c r="R508" s="3" t="s">
        <v>123</v>
      </c>
    </row>
    <row r="509" spans="1:18" ht="35" customHeight="1">
      <c r="A509" t="s">
        <v>841</v>
      </c>
      <c r="B509" s="3" t="s">
        <v>43</v>
      </c>
      <c r="C509">
        <v>0</v>
      </c>
      <c r="D509" s="2">
        <v>1</v>
      </c>
      <c r="E509" s="2">
        <v>0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f t="shared" si="21"/>
        <v>1</v>
      </c>
      <c r="L509" s="2">
        <f t="shared" si="22"/>
        <v>6</v>
      </c>
      <c r="M509" s="2">
        <f t="shared" si="23"/>
        <v>6</v>
      </c>
      <c r="N509" s="2">
        <v>6</v>
      </c>
      <c r="O509" s="2">
        <v>4</v>
      </c>
      <c r="P509" t="s">
        <v>842</v>
      </c>
      <c r="Q509" s="3" t="s">
        <v>173</v>
      </c>
      <c r="R509" s="3" t="s">
        <v>174</v>
      </c>
    </row>
    <row r="510" spans="1:18" ht="35" customHeight="1">
      <c r="A510" t="s">
        <v>843</v>
      </c>
      <c r="B510" s="3" t="s">
        <v>43</v>
      </c>
      <c r="C510">
        <v>0</v>
      </c>
      <c r="D510" s="2">
        <v>0</v>
      </c>
      <c r="E510" s="2">
        <v>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f t="shared" si="21"/>
        <v>1</v>
      </c>
      <c r="L510" s="2">
        <f t="shared" si="22"/>
        <v>6</v>
      </c>
      <c r="M510" s="2">
        <f t="shared" si="23"/>
        <v>6</v>
      </c>
      <c r="N510" s="2">
        <v>6</v>
      </c>
      <c r="O510" s="2">
        <v>3</v>
      </c>
      <c r="P510" t="s">
        <v>133</v>
      </c>
      <c r="Q510" s="3" t="s">
        <v>173</v>
      </c>
      <c r="R510" s="3" t="s">
        <v>174</v>
      </c>
    </row>
    <row r="511" spans="1:18" ht="35" customHeight="1">
      <c r="A511" t="s">
        <v>844</v>
      </c>
      <c r="B511" s="3" t="s">
        <v>845</v>
      </c>
      <c r="C511">
        <v>7</v>
      </c>
      <c r="D511" s="2">
        <v>1</v>
      </c>
      <c r="E511" s="2">
        <v>1</v>
      </c>
      <c r="F511" s="2">
        <v>1</v>
      </c>
      <c r="G511" s="2">
        <v>2</v>
      </c>
      <c r="H511" s="2">
        <v>1</v>
      </c>
      <c r="I511" s="2">
        <v>1</v>
      </c>
      <c r="J511" s="2">
        <v>1</v>
      </c>
      <c r="K511" s="2">
        <f t="shared" si="21"/>
        <v>1</v>
      </c>
      <c r="L511" s="2">
        <f t="shared" si="22"/>
        <v>7</v>
      </c>
      <c r="M511" s="2">
        <f t="shared" si="23"/>
        <v>8</v>
      </c>
      <c r="N511" s="2">
        <v>0</v>
      </c>
      <c r="O511" s="2">
        <v>3</v>
      </c>
      <c r="P511" t="s">
        <v>80</v>
      </c>
      <c r="Q511" s="3" t="s">
        <v>846</v>
      </c>
      <c r="R511" s="3" t="s">
        <v>847</v>
      </c>
    </row>
    <row r="512" spans="1:18" ht="35" customHeight="1">
      <c r="A512" t="s">
        <v>848</v>
      </c>
      <c r="B512" s="3" t="s">
        <v>43</v>
      </c>
      <c r="C512">
        <v>0</v>
      </c>
      <c r="D512" s="2">
        <v>1</v>
      </c>
      <c r="E512" s="2">
        <v>1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f t="shared" si="21"/>
        <v>0</v>
      </c>
      <c r="L512" s="2">
        <f t="shared" si="22"/>
        <v>7</v>
      </c>
      <c r="M512" s="2">
        <f t="shared" si="23"/>
        <v>7</v>
      </c>
      <c r="N512" s="2">
        <v>7</v>
      </c>
      <c r="O512" s="2">
        <v>4</v>
      </c>
      <c r="P512" t="s">
        <v>849</v>
      </c>
      <c r="Q512" s="3" t="s">
        <v>122</v>
      </c>
      <c r="R512" s="3" t="s">
        <v>123</v>
      </c>
    </row>
    <row r="513" spans="1:18" ht="35" customHeight="1">
      <c r="A513" t="s">
        <v>850</v>
      </c>
      <c r="B513" s="3" t="s">
        <v>43</v>
      </c>
      <c r="C513">
        <v>0</v>
      </c>
      <c r="D513" s="2">
        <v>1</v>
      </c>
      <c r="E513" s="2">
        <v>1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f t="shared" si="21"/>
        <v>0</v>
      </c>
      <c r="L513" s="2">
        <f t="shared" si="22"/>
        <v>7</v>
      </c>
      <c r="M513" s="2">
        <f t="shared" si="23"/>
        <v>7</v>
      </c>
      <c r="N513" s="2">
        <v>7</v>
      </c>
      <c r="O513" s="2">
        <v>2</v>
      </c>
      <c r="P513" t="s">
        <v>92</v>
      </c>
      <c r="Q513" s="3" t="s">
        <v>122</v>
      </c>
      <c r="R513" s="3" t="s">
        <v>123</v>
      </c>
    </row>
    <row r="514" spans="1:18" ht="35" customHeight="1">
      <c r="A514" t="s">
        <v>851</v>
      </c>
      <c r="B514" s="3" t="s">
        <v>43</v>
      </c>
      <c r="C514">
        <v>0</v>
      </c>
      <c r="D514" s="2">
        <v>1</v>
      </c>
      <c r="E514" s="2">
        <v>1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f t="shared" si="21"/>
        <v>0</v>
      </c>
      <c r="L514" s="2">
        <f t="shared" si="22"/>
        <v>7</v>
      </c>
      <c r="M514" s="2">
        <f t="shared" si="23"/>
        <v>7</v>
      </c>
      <c r="N514" s="2">
        <v>7</v>
      </c>
      <c r="O514" s="2">
        <v>2</v>
      </c>
      <c r="P514" t="s">
        <v>92</v>
      </c>
      <c r="Q514" s="3" t="s">
        <v>122</v>
      </c>
      <c r="R514" s="3" t="s">
        <v>123</v>
      </c>
    </row>
    <row r="515" spans="1:18" ht="35" customHeight="1">
      <c r="A515" t="s">
        <v>852</v>
      </c>
      <c r="B515" s="3" t="s">
        <v>43</v>
      </c>
      <c r="C515">
        <v>0</v>
      </c>
      <c r="D515" s="2">
        <v>0</v>
      </c>
      <c r="E515" s="2">
        <v>0</v>
      </c>
      <c r="F515" s="2">
        <v>1</v>
      </c>
      <c r="G515" s="2">
        <v>1</v>
      </c>
      <c r="H515" s="2">
        <v>0</v>
      </c>
      <c r="I515" s="2">
        <v>1</v>
      </c>
      <c r="J515" s="2">
        <v>0</v>
      </c>
      <c r="K515" s="2">
        <f t="shared" ref="K515:K578" si="24">MAX(D515:J515)-MIN(D515:J515)</f>
        <v>1</v>
      </c>
      <c r="L515" s="2">
        <f t="shared" ref="L515:L581" si="25">COUNTIF(D515:J515,"&gt;0")</f>
        <v>3</v>
      </c>
      <c r="M515" s="2">
        <f t="shared" ref="M515:M581" si="26">SUM(D515:J515)</f>
        <v>3</v>
      </c>
      <c r="N515" s="2">
        <v>3</v>
      </c>
      <c r="O515" s="2">
        <v>2</v>
      </c>
      <c r="P515" t="s">
        <v>92</v>
      </c>
      <c r="Q515" s="3" t="s">
        <v>145</v>
      </c>
      <c r="R515" s="3" t="s">
        <v>146</v>
      </c>
    </row>
    <row r="516" spans="1:18" ht="35" customHeight="1">
      <c r="A516" t="s">
        <v>136</v>
      </c>
      <c r="B516" s="3" t="s">
        <v>43</v>
      </c>
      <c r="C516">
        <v>0</v>
      </c>
      <c r="D516" s="2">
        <v>1</v>
      </c>
      <c r="E516" s="2">
        <v>0</v>
      </c>
      <c r="F516" s="2">
        <v>1</v>
      </c>
      <c r="G516" s="2">
        <v>1</v>
      </c>
      <c r="H516" s="2">
        <v>2</v>
      </c>
      <c r="I516" s="2">
        <v>1</v>
      </c>
      <c r="J516" s="2">
        <v>1</v>
      </c>
      <c r="K516" s="2">
        <f t="shared" si="24"/>
        <v>2</v>
      </c>
      <c r="L516" s="2">
        <f t="shared" si="25"/>
        <v>6</v>
      </c>
      <c r="M516" s="2">
        <f t="shared" si="26"/>
        <v>7</v>
      </c>
      <c r="N516" s="2">
        <v>7</v>
      </c>
      <c r="O516" s="2">
        <v>2</v>
      </c>
      <c r="P516" t="s">
        <v>92</v>
      </c>
      <c r="Q516" s="3" t="s">
        <v>122</v>
      </c>
      <c r="R516" s="3" t="s">
        <v>123</v>
      </c>
    </row>
    <row r="517" spans="1:18" ht="35" customHeight="1">
      <c r="A517" t="s">
        <v>853</v>
      </c>
      <c r="B517" s="3" t="s">
        <v>43</v>
      </c>
      <c r="C517">
        <v>0</v>
      </c>
      <c r="D517" s="2">
        <v>1</v>
      </c>
      <c r="E517" s="2">
        <v>1</v>
      </c>
      <c r="F517" s="2">
        <v>1</v>
      </c>
      <c r="G517" s="2">
        <v>1</v>
      </c>
      <c r="H517" s="2">
        <v>0</v>
      </c>
      <c r="I517" s="2">
        <v>1</v>
      </c>
      <c r="J517" s="2">
        <v>1</v>
      </c>
      <c r="K517" s="2">
        <f t="shared" si="24"/>
        <v>1</v>
      </c>
      <c r="L517" s="2">
        <f t="shared" si="25"/>
        <v>6</v>
      </c>
      <c r="M517" s="2">
        <f t="shared" si="26"/>
        <v>6</v>
      </c>
      <c r="N517" s="2">
        <v>6</v>
      </c>
      <c r="O517" s="2">
        <v>4</v>
      </c>
      <c r="P517" t="s">
        <v>835</v>
      </c>
      <c r="Q517" s="3" t="s">
        <v>173</v>
      </c>
      <c r="R517" s="3" t="s">
        <v>174</v>
      </c>
    </row>
    <row r="518" spans="1:18" ht="35" customHeight="1">
      <c r="A518" t="s">
        <v>854</v>
      </c>
      <c r="B518" s="3" t="s">
        <v>43</v>
      </c>
      <c r="C518">
        <v>0</v>
      </c>
      <c r="D518" s="2">
        <v>1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f t="shared" si="24"/>
        <v>0</v>
      </c>
      <c r="L518" s="2">
        <f t="shared" si="25"/>
        <v>7</v>
      </c>
      <c r="M518" s="2">
        <f t="shared" si="26"/>
        <v>7</v>
      </c>
      <c r="N518" s="2">
        <v>7</v>
      </c>
      <c r="O518" s="2">
        <v>2</v>
      </c>
      <c r="P518" t="s">
        <v>92</v>
      </c>
      <c r="Q518" s="3" t="s">
        <v>122</v>
      </c>
      <c r="R518" s="3" t="s">
        <v>123</v>
      </c>
    </row>
    <row r="519" spans="1:18" ht="35" customHeight="1">
      <c r="A519" t="s">
        <v>855</v>
      </c>
      <c r="B519" s="3" t="s">
        <v>856</v>
      </c>
      <c r="C519">
        <v>8</v>
      </c>
      <c r="D519" s="2">
        <v>1</v>
      </c>
      <c r="E519" s="2">
        <v>2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f t="shared" si="24"/>
        <v>1</v>
      </c>
      <c r="L519" s="2">
        <f t="shared" si="25"/>
        <v>7</v>
      </c>
      <c r="M519" s="2">
        <f t="shared" si="26"/>
        <v>8</v>
      </c>
      <c r="N519" s="2">
        <v>0</v>
      </c>
      <c r="O519" s="2">
        <v>1</v>
      </c>
      <c r="P519" t="s">
        <v>857</v>
      </c>
      <c r="Q519" s="3" t="s">
        <v>856</v>
      </c>
      <c r="R519" s="3" t="s">
        <v>581</v>
      </c>
    </row>
    <row r="520" spans="1:18" ht="35" customHeight="1">
      <c r="A520" t="s">
        <v>858</v>
      </c>
      <c r="B520" s="3" t="s">
        <v>859</v>
      </c>
      <c r="C520">
        <v>7</v>
      </c>
      <c r="D520" s="2">
        <v>1</v>
      </c>
      <c r="E520" s="2">
        <v>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f t="shared" si="24"/>
        <v>0</v>
      </c>
      <c r="L520" s="2">
        <f t="shared" si="25"/>
        <v>7</v>
      </c>
      <c r="M520" s="2">
        <f t="shared" si="26"/>
        <v>7</v>
      </c>
      <c r="N520" s="2">
        <v>0</v>
      </c>
      <c r="O520" s="2">
        <v>1</v>
      </c>
      <c r="P520" t="s">
        <v>22</v>
      </c>
      <c r="Q520" s="3" t="s">
        <v>859</v>
      </c>
      <c r="R520" s="3" t="s">
        <v>171</v>
      </c>
    </row>
    <row r="521" spans="1:18" ht="35" customHeight="1">
      <c r="A521" t="s">
        <v>860</v>
      </c>
      <c r="B521" s="3" t="s">
        <v>43</v>
      </c>
      <c r="C521">
        <v>0</v>
      </c>
      <c r="D521" s="2">
        <v>1</v>
      </c>
      <c r="E521" s="2">
        <v>1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f t="shared" si="24"/>
        <v>0</v>
      </c>
      <c r="L521" s="2">
        <f t="shared" si="25"/>
        <v>7</v>
      </c>
      <c r="M521" s="2">
        <f t="shared" si="26"/>
        <v>7</v>
      </c>
      <c r="N521" s="2">
        <v>7</v>
      </c>
      <c r="O521" s="2">
        <v>3</v>
      </c>
      <c r="P521" t="s">
        <v>133</v>
      </c>
      <c r="Q521" s="3" t="s">
        <v>122</v>
      </c>
      <c r="R521" s="3" t="s">
        <v>123</v>
      </c>
    </row>
    <row r="522" spans="1:18" ht="35" customHeight="1">
      <c r="A522" t="s">
        <v>861</v>
      </c>
      <c r="B522" s="3" t="s">
        <v>43</v>
      </c>
      <c r="C522">
        <v>0</v>
      </c>
      <c r="D522" s="2">
        <v>1</v>
      </c>
      <c r="E522" s="2">
        <v>1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f t="shared" si="24"/>
        <v>0</v>
      </c>
      <c r="L522" s="2">
        <f t="shared" si="25"/>
        <v>7</v>
      </c>
      <c r="M522" s="2">
        <f t="shared" si="26"/>
        <v>7</v>
      </c>
      <c r="N522" s="2">
        <v>7</v>
      </c>
      <c r="O522" s="2">
        <v>3</v>
      </c>
      <c r="P522" t="s">
        <v>80</v>
      </c>
      <c r="Q522" s="3" t="s">
        <v>122</v>
      </c>
      <c r="R522" s="3" t="s">
        <v>123</v>
      </c>
    </row>
    <row r="523" spans="1:18" ht="35" customHeight="1">
      <c r="A523" t="s">
        <v>862</v>
      </c>
      <c r="B523" s="3" t="s">
        <v>863</v>
      </c>
      <c r="C523">
        <v>7</v>
      </c>
      <c r="D523" s="2">
        <v>1</v>
      </c>
      <c r="E523" s="2">
        <v>1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f t="shared" si="24"/>
        <v>0</v>
      </c>
      <c r="L523" s="2">
        <f t="shared" si="25"/>
        <v>7</v>
      </c>
      <c r="M523" s="2">
        <f t="shared" si="26"/>
        <v>7</v>
      </c>
      <c r="N523" s="2">
        <v>0</v>
      </c>
      <c r="O523" s="2">
        <v>3</v>
      </c>
      <c r="P523" t="s">
        <v>80</v>
      </c>
      <c r="Q523" s="3" t="s">
        <v>863</v>
      </c>
      <c r="R523" s="3" t="s">
        <v>171</v>
      </c>
    </row>
    <row r="524" spans="1:18" ht="35" customHeight="1">
      <c r="A524" t="s">
        <v>864</v>
      </c>
      <c r="B524" s="3" t="s">
        <v>43</v>
      </c>
      <c r="C524">
        <v>0</v>
      </c>
      <c r="D524" s="2">
        <v>1</v>
      </c>
      <c r="E524" s="2">
        <v>1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f t="shared" si="24"/>
        <v>0</v>
      </c>
      <c r="L524" s="2">
        <f t="shared" si="25"/>
        <v>7</v>
      </c>
      <c r="M524" s="2">
        <f t="shared" si="26"/>
        <v>7</v>
      </c>
      <c r="N524" s="2">
        <v>7</v>
      </c>
      <c r="O524" s="2">
        <v>3</v>
      </c>
      <c r="P524" t="s">
        <v>133</v>
      </c>
      <c r="Q524" s="3" t="s">
        <v>122</v>
      </c>
      <c r="R524" s="3" t="s">
        <v>123</v>
      </c>
    </row>
    <row r="525" spans="1:18" ht="35" customHeight="1">
      <c r="A525" t="s">
        <v>865</v>
      </c>
      <c r="B525" s="3" t="s">
        <v>845</v>
      </c>
      <c r="C525">
        <v>7</v>
      </c>
      <c r="D525" s="2">
        <v>1</v>
      </c>
      <c r="E525" s="2">
        <v>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f t="shared" si="24"/>
        <v>0</v>
      </c>
      <c r="L525" s="2">
        <f t="shared" si="25"/>
        <v>7</v>
      </c>
      <c r="M525" s="2">
        <f t="shared" si="26"/>
        <v>7</v>
      </c>
      <c r="N525" s="2">
        <v>0</v>
      </c>
      <c r="O525" s="2">
        <v>3</v>
      </c>
      <c r="P525" t="s">
        <v>80</v>
      </c>
      <c r="Q525" s="3" t="s">
        <v>845</v>
      </c>
      <c r="R525" s="3" t="s">
        <v>171</v>
      </c>
    </row>
    <row r="526" spans="1:18" ht="35" customHeight="1">
      <c r="A526" t="s">
        <v>866</v>
      </c>
      <c r="B526" s="3" t="s">
        <v>867</v>
      </c>
      <c r="C526">
        <v>7</v>
      </c>
      <c r="D526" s="2">
        <v>1</v>
      </c>
      <c r="E526" s="2">
        <v>1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f t="shared" si="24"/>
        <v>0</v>
      </c>
      <c r="L526" s="2">
        <f t="shared" si="25"/>
        <v>7</v>
      </c>
      <c r="M526" s="2">
        <f t="shared" si="26"/>
        <v>7</v>
      </c>
      <c r="N526" s="2">
        <v>0</v>
      </c>
      <c r="O526" s="2">
        <v>3</v>
      </c>
      <c r="P526" t="s">
        <v>80</v>
      </c>
      <c r="Q526" s="3" t="s">
        <v>867</v>
      </c>
      <c r="R526" s="3" t="s">
        <v>171</v>
      </c>
    </row>
    <row r="527" spans="1:18" ht="35" customHeight="1">
      <c r="A527" t="s">
        <v>868</v>
      </c>
      <c r="B527" s="3" t="s">
        <v>225</v>
      </c>
      <c r="C527">
        <v>6</v>
      </c>
      <c r="D527" s="2">
        <v>1</v>
      </c>
      <c r="E527" s="2">
        <v>0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f t="shared" si="24"/>
        <v>1</v>
      </c>
      <c r="L527" s="2">
        <f t="shared" si="25"/>
        <v>6</v>
      </c>
      <c r="M527" s="2">
        <f t="shared" si="26"/>
        <v>6</v>
      </c>
      <c r="N527" s="2">
        <v>0</v>
      </c>
      <c r="O527" s="2">
        <v>3</v>
      </c>
      <c r="P527" t="s">
        <v>80</v>
      </c>
      <c r="Q527" s="3" t="s">
        <v>225</v>
      </c>
      <c r="R527" s="3" t="s">
        <v>168</v>
      </c>
    </row>
    <row r="528" spans="1:18" ht="35" customHeight="1">
      <c r="A528" t="s">
        <v>869</v>
      </c>
      <c r="B528" s="3" t="s">
        <v>43</v>
      </c>
      <c r="C528">
        <v>0</v>
      </c>
      <c r="D528" s="2">
        <v>1</v>
      </c>
      <c r="E528" s="2">
        <v>0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f t="shared" si="24"/>
        <v>1</v>
      </c>
      <c r="L528" s="2">
        <f t="shared" si="25"/>
        <v>6</v>
      </c>
      <c r="M528" s="2">
        <f t="shared" si="26"/>
        <v>6</v>
      </c>
      <c r="N528" s="2">
        <v>6</v>
      </c>
      <c r="O528" s="2">
        <v>2</v>
      </c>
      <c r="P528" t="s">
        <v>92</v>
      </c>
      <c r="Q528" s="3" t="s">
        <v>173</v>
      </c>
      <c r="R528" s="3" t="s">
        <v>174</v>
      </c>
    </row>
    <row r="529" spans="1:18" ht="35" customHeight="1">
      <c r="A529" t="s">
        <v>870</v>
      </c>
      <c r="B529" s="3" t="s">
        <v>871</v>
      </c>
      <c r="C529">
        <v>6</v>
      </c>
      <c r="D529" s="2">
        <v>1</v>
      </c>
      <c r="E529" s="2">
        <v>1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f t="shared" si="24"/>
        <v>0</v>
      </c>
      <c r="L529" s="2">
        <f t="shared" si="25"/>
        <v>7</v>
      </c>
      <c r="M529" s="2">
        <f t="shared" si="26"/>
        <v>7</v>
      </c>
      <c r="N529" s="2">
        <v>1</v>
      </c>
      <c r="O529" s="2">
        <v>1</v>
      </c>
      <c r="P529" t="s">
        <v>22</v>
      </c>
      <c r="Q529" s="3" t="s">
        <v>872</v>
      </c>
      <c r="R529" s="3" t="s">
        <v>873</v>
      </c>
    </row>
    <row r="530" spans="1:18" ht="35" customHeight="1">
      <c r="A530" t="s">
        <v>874</v>
      </c>
      <c r="B530" s="3" t="s">
        <v>43</v>
      </c>
      <c r="C530">
        <v>0</v>
      </c>
      <c r="D530" s="2">
        <v>1</v>
      </c>
      <c r="E530" s="2">
        <v>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f t="shared" si="24"/>
        <v>0</v>
      </c>
      <c r="L530" s="2">
        <f t="shared" si="25"/>
        <v>7</v>
      </c>
      <c r="M530" s="2">
        <f t="shared" si="26"/>
        <v>7</v>
      </c>
      <c r="N530" s="2">
        <v>7</v>
      </c>
      <c r="O530" s="2">
        <v>2</v>
      </c>
      <c r="P530" t="s">
        <v>92</v>
      </c>
      <c r="Q530" s="3" t="s">
        <v>122</v>
      </c>
      <c r="R530" s="3" t="s">
        <v>123</v>
      </c>
    </row>
    <row r="531" spans="1:18" ht="35" customHeight="1">
      <c r="A531" t="s">
        <v>875</v>
      </c>
      <c r="B531" s="3" t="s">
        <v>43</v>
      </c>
      <c r="C531">
        <v>0</v>
      </c>
      <c r="D531" s="2">
        <v>1</v>
      </c>
      <c r="E531" s="2">
        <v>1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f t="shared" si="24"/>
        <v>0</v>
      </c>
      <c r="L531" s="2">
        <f t="shared" si="25"/>
        <v>7</v>
      </c>
      <c r="M531" s="2">
        <f t="shared" si="26"/>
        <v>7</v>
      </c>
      <c r="N531" s="2">
        <v>7</v>
      </c>
      <c r="O531" s="2">
        <v>2</v>
      </c>
      <c r="P531" t="s">
        <v>92</v>
      </c>
      <c r="Q531" s="3" t="s">
        <v>122</v>
      </c>
      <c r="R531" s="3" t="s">
        <v>123</v>
      </c>
    </row>
    <row r="532" spans="1:18" ht="35" customHeight="1">
      <c r="A532" t="s">
        <v>876</v>
      </c>
      <c r="B532" s="3" t="s">
        <v>43</v>
      </c>
      <c r="C532">
        <v>0</v>
      </c>
      <c r="D532" s="2">
        <v>1</v>
      </c>
      <c r="E532" s="2">
        <v>1</v>
      </c>
      <c r="F532" s="2">
        <v>1</v>
      </c>
      <c r="G532" s="2">
        <v>1</v>
      </c>
      <c r="H532" s="2">
        <v>1</v>
      </c>
      <c r="I532" s="2">
        <v>1</v>
      </c>
      <c r="J532" s="2">
        <v>0</v>
      </c>
      <c r="K532" s="2">
        <f t="shared" si="24"/>
        <v>1</v>
      </c>
      <c r="L532" s="2">
        <f t="shared" si="25"/>
        <v>6</v>
      </c>
      <c r="M532" s="2">
        <f t="shared" si="26"/>
        <v>6</v>
      </c>
      <c r="N532" s="2">
        <v>6</v>
      </c>
      <c r="O532" s="2">
        <v>2</v>
      </c>
      <c r="P532" t="s">
        <v>839</v>
      </c>
      <c r="Q532" s="3" t="s">
        <v>173</v>
      </c>
      <c r="R532" s="3" t="s">
        <v>174</v>
      </c>
    </row>
    <row r="533" spans="1:18" ht="35" customHeight="1">
      <c r="A533" t="s">
        <v>877</v>
      </c>
      <c r="B533" s="3" t="s">
        <v>867</v>
      </c>
      <c r="C533">
        <v>7</v>
      </c>
      <c r="D533" s="2">
        <v>1</v>
      </c>
      <c r="E533" s="2">
        <v>1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f t="shared" si="24"/>
        <v>0</v>
      </c>
      <c r="L533" s="2">
        <f t="shared" si="25"/>
        <v>7</v>
      </c>
      <c r="M533" s="2">
        <f t="shared" si="26"/>
        <v>7</v>
      </c>
      <c r="N533" s="2">
        <v>0</v>
      </c>
      <c r="O533" s="2">
        <v>2</v>
      </c>
      <c r="P533" t="s">
        <v>795</v>
      </c>
      <c r="Q533" s="3" t="s">
        <v>867</v>
      </c>
      <c r="R533" s="3" t="s">
        <v>171</v>
      </c>
    </row>
    <row r="534" spans="1:18" ht="35" customHeight="1">
      <c r="A534" t="s">
        <v>878</v>
      </c>
      <c r="B534" s="3" t="s">
        <v>43</v>
      </c>
      <c r="C534">
        <v>0</v>
      </c>
      <c r="D534" s="2">
        <v>1</v>
      </c>
      <c r="E534" s="2">
        <v>1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f t="shared" si="24"/>
        <v>0</v>
      </c>
      <c r="L534" s="2">
        <f t="shared" si="25"/>
        <v>7</v>
      </c>
      <c r="M534" s="2">
        <f t="shared" si="26"/>
        <v>7</v>
      </c>
      <c r="N534" s="2">
        <v>7</v>
      </c>
      <c r="O534" s="2">
        <v>2</v>
      </c>
      <c r="P534" t="s">
        <v>795</v>
      </c>
      <c r="Q534" s="3" t="s">
        <v>122</v>
      </c>
      <c r="R534" s="3" t="s">
        <v>123</v>
      </c>
    </row>
    <row r="535" spans="1:18" ht="35" customHeight="1">
      <c r="A535" t="s">
        <v>879</v>
      </c>
      <c r="B535" s="3" t="s">
        <v>43</v>
      </c>
      <c r="C535">
        <v>0</v>
      </c>
      <c r="D535" s="2">
        <v>1</v>
      </c>
      <c r="E535" s="2">
        <v>0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f t="shared" si="24"/>
        <v>1</v>
      </c>
      <c r="L535" s="2">
        <f t="shared" si="25"/>
        <v>6</v>
      </c>
      <c r="M535" s="2">
        <f t="shared" si="26"/>
        <v>6</v>
      </c>
      <c r="N535" s="2">
        <v>6</v>
      </c>
      <c r="O535" s="2">
        <v>3</v>
      </c>
      <c r="P535" t="s">
        <v>64</v>
      </c>
      <c r="Q535" s="3" t="s">
        <v>173</v>
      </c>
      <c r="R535" s="3" t="s">
        <v>174</v>
      </c>
    </row>
    <row r="536" spans="1:18" ht="35" customHeight="1">
      <c r="A536" t="s">
        <v>880</v>
      </c>
      <c r="B536" s="3" t="s">
        <v>43</v>
      </c>
      <c r="C536">
        <v>0</v>
      </c>
      <c r="D536" s="2">
        <v>1</v>
      </c>
      <c r="E536" s="2">
        <v>1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f t="shared" si="24"/>
        <v>0</v>
      </c>
      <c r="L536" s="2">
        <f t="shared" si="25"/>
        <v>7</v>
      </c>
      <c r="M536" s="2">
        <f t="shared" si="26"/>
        <v>7</v>
      </c>
      <c r="N536" s="2">
        <v>7</v>
      </c>
      <c r="O536" s="2">
        <v>2</v>
      </c>
      <c r="P536" t="s">
        <v>92</v>
      </c>
      <c r="Q536" s="3" t="s">
        <v>122</v>
      </c>
      <c r="R536" s="3" t="s">
        <v>123</v>
      </c>
    </row>
    <row r="537" spans="1:18" ht="35" customHeight="1">
      <c r="A537" t="s">
        <v>881</v>
      </c>
      <c r="B537" s="3" t="s">
        <v>43</v>
      </c>
      <c r="C537">
        <v>0</v>
      </c>
      <c r="D537" s="2">
        <v>0</v>
      </c>
      <c r="E537" s="2">
        <v>1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f t="shared" si="24"/>
        <v>1</v>
      </c>
      <c r="L537" s="2">
        <f t="shared" si="25"/>
        <v>6</v>
      </c>
      <c r="M537" s="2">
        <f t="shared" si="26"/>
        <v>6</v>
      </c>
      <c r="N537" s="2">
        <v>6</v>
      </c>
      <c r="O537" s="2">
        <v>2</v>
      </c>
      <c r="P537" t="s">
        <v>92</v>
      </c>
      <c r="Q537" s="3" t="s">
        <v>173</v>
      </c>
      <c r="R537" s="3" t="s">
        <v>174</v>
      </c>
    </row>
    <row r="538" spans="1:18" ht="35" customHeight="1">
      <c r="A538" t="s">
        <v>882</v>
      </c>
      <c r="B538" s="3" t="s">
        <v>43</v>
      </c>
      <c r="C538">
        <v>0</v>
      </c>
      <c r="D538" s="2">
        <v>0</v>
      </c>
      <c r="E538" s="2">
        <v>1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f t="shared" si="24"/>
        <v>1</v>
      </c>
      <c r="L538" s="2">
        <f t="shared" si="25"/>
        <v>1</v>
      </c>
      <c r="M538" s="2">
        <f t="shared" si="26"/>
        <v>1</v>
      </c>
      <c r="N538" s="2">
        <v>1</v>
      </c>
      <c r="O538" s="2">
        <v>2</v>
      </c>
      <c r="P538" t="s">
        <v>92</v>
      </c>
      <c r="Q538" s="3" t="s">
        <v>271</v>
      </c>
      <c r="R538" s="3" t="s">
        <v>272</v>
      </c>
    </row>
    <row r="539" spans="1:18" ht="35" customHeight="1">
      <c r="A539" t="s">
        <v>883</v>
      </c>
      <c r="B539" s="3" t="s">
        <v>43</v>
      </c>
      <c r="C539">
        <v>0</v>
      </c>
      <c r="D539" s="2">
        <v>1</v>
      </c>
      <c r="E539" s="2">
        <v>1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f t="shared" si="24"/>
        <v>0</v>
      </c>
      <c r="L539" s="2">
        <f t="shared" si="25"/>
        <v>7</v>
      </c>
      <c r="M539" s="2">
        <f t="shared" si="26"/>
        <v>7</v>
      </c>
      <c r="N539" s="2">
        <v>7</v>
      </c>
      <c r="O539" s="2">
        <v>2</v>
      </c>
      <c r="P539" t="s">
        <v>92</v>
      </c>
      <c r="Q539" s="3" t="s">
        <v>122</v>
      </c>
      <c r="R539" s="3" t="s">
        <v>123</v>
      </c>
    </row>
    <row r="540" spans="1:18" ht="35" customHeight="1">
      <c r="A540" t="s">
        <v>884</v>
      </c>
      <c r="B540" s="3" t="s">
        <v>43</v>
      </c>
      <c r="C540">
        <v>0</v>
      </c>
      <c r="D540" s="2">
        <v>0</v>
      </c>
      <c r="E540" s="2">
        <v>0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  <c r="K540" s="2">
        <f t="shared" si="24"/>
        <v>1</v>
      </c>
      <c r="L540" s="2">
        <f t="shared" si="25"/>
        <v>1</v>
      </c>
      <c r="M540" s="2">
        <f t="shared" si="26"/>
        <v>1</v>
      </c>
      <c r="N540" s="2">
        <v>1</v>
      </c>
      <c r="O540" s="2">
        <v>1</v>
      </c>
      <c r="P540" t="s">
        <v>22</v>
      </c>
      <c r="Q540" s="3" t="s">
        <v>271</v>
      </c>
      <c r="R540" s="3" t="s">
        <v>272</v>
      </c>
    </row>
    <row r="541" spans="1:18" ht="35" customHeight="1">
      <c r="A541" t="s">
        <v>885</v>
      </c>
      <c r="B541" s="3" t="s">
        <v>43</v>
      </c>
      <c r="C541">
        <v>0</v>
      </c>
      <c r="D541" s="2">
        <v>1</v>
      </c>
      <c r="E541" s="2">
        <v>1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f t="shared" si="24"/>
        <v>0</v>
      </c>
      <c r="L541" s="2">
        <f t="shared" si="25"/>
        <v>7</v>
      </c>
      <c r="M541" s="2">
        <f t="shared" si="26"/>
        <v>7</v>
      </c>
      <c r="N541" s="2">
        <v>7</v>
      </c>
      <c r="O541" s="2">
        <v>2</v>
      </c>
      <c r="P541" t="s">
        <v>92</v>
      </c>
      <c r="Q541" s="3" t="s">
        <v>122</v>
      </c>
      <c r="R541" s="3" t="s">
        <v>123</v>
      </c>
    </row>
    <row r="542" spans="1:18" ht="35" customHeight="1">
      <c r="A542" t="s">
        <v>886</v>
      </c>
      <c r="B542" s="3" t="s">
        <v>225</v>
      </c>
      <c r="C542">
        <v>6</v>
      </c>
      <c r="D542" s="2">
        <v>1</v>
      </c>
      <c r="E542" s="2">
        <v>1</v>
      </c>
      <c r="F542" s="2">
        <v>1</v>
      </c>
      <c r="G542" s="2">
        <v>1</v>
      </c>
      <c r="H542" s="2">
        <v>0</v>
      </c>
      <c r="I542" s="2">
        <v>1</v>
      </c>
      <c r="J542" s="2">
        <v>1</v>
      </c>
      <c r="K542" s="2">
        <f t="shared" si="24"/>
        <v>1</v>
      </c>
      <c r="L542" s="2">
        <f t="shared" si="25"/>
        <v>6</v>
      </c>
      <c r="M542" s="2">
        <f t="shared" si="26"/>
        <v>6</v>
      </c>
      <c r="N542" s="2">
        <v>0</v>
      </c>
      <c r="O542" s="2">
        <v>1</v>
      </c>
      <c r="P542" t="s">
        <v>22</v>
      </c>
      <c r="Q542" s="3" t="s">
        <v>225</v>
      </c>
      <c r="R542" s="3" t="s">
        <v>168</v>
      </c>
    </row>
    <row r="543" spans="1:18" ht="35" customHeight="1">
      <c r="A543" t="s">
        <v>887</v>
      </c>
      <c r="B543" s="3" t="s">
        <v>43</v>
      </c>
      <c r="C543">
        <v>0</v>
      </c>
      <c r="D543" s="2">
        <v>1</v>
      </c>
      <c r="E543" s="2">
        <v>0</v>
      </c>
      <c r="F543" s="2">
        <v>0</v>
      </c>
      <c r="G543" s="2">
        <v>1</v>
      </c>
      <c r="H543" s="2">
        <v>1</v>
      </c>
      <c r="I543" s="2">
        <v>1</v>
      </c>
      <c r="J543" s="2">
        <v>1</v>
      </c>
      <c r="K543" s="2">
        <f t="shared" si="24"/>
        <v>1</v>
      </c>
      <c r="L543" s="2">
        <f t="shared" si="25"/>
        <v>5</v>
      </c>
      <c r="M543" s="2">
        <f t="shared" si="26"/>
        <v>5</v>
      </c>
      <c r="N543" s="2">
        <v>5</v>
      </c>
      <c r="O543" s="2">
        <v>2</v>
      </c>
      <c r="P543" t="s">
        <v>92</v>
      </c>
      <c r="Q543" s="3" t="s">
        <v>139</v>
      </c>
      <c r="R543" s="3" t="s">
        <v>140</v>
      </c>
    </row>
    <row r="544" spans="1:18" ht="35" customHeight="1">
      <c r="A544" t="s">
        <v>888</v>
      </c>
      <c r="B544" s="3" t="s">
        <v>43</v>
      </c>
      <c r="C544">
        <v>0</v>
      </c>
      <c r="D544" s="2">
        <v>1</v>
      </c>
      <c r="E544" s="2">
        <v>1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f t="shared" si="24"/>
        <v>0</v>
      </c>
      <c r="L544" s="2">
        <f t="shared" si="25"/>
        <v>7</v>
      </c>
      <c r="M544" s="2">
        <f t="shared" si="26"/>
        <v>7</v>
      </c>
      <c r="N544" s="2">
        <v>7</v>
      </c>
      <c r="O544" s="2">
        <v>2</v>
      </c>
      <c r="P544" t="s">
        <v>92</v>
      </c>
      <c r="Q544" s="3" t="s">
        <v>122</v>
      </c>
      <c r="R544" s="3" t="s">
        <v>123</v>
      </c>
    </row>
    <row r="545" spans="1:18" ht="35" customHeight="1">
      <c r="A545" t="s">
        <v>889</v>
      </c>
      <c r="B545" s="3" t="s">
        <v>43</v>
      </c>
      <c r="C545">
        <v>0</v>
      </c>
      <c r="D545" s="2">
        <v>1</v>
      </c>
      <c r="E545" s="2">
        <v>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f t="shared" si="24"/>
        <v>0</v>
      </c>
      <c r="L545" s="2">
        <f t="shared" si="25"/>
        <v>7</v>
      </c>
      <c r="M545" s="2">
        <f t="shared" si="26"/>
        <v>7</v>
      </c>
      <c r="N545" s="2">
        <v>7</v>
      </c>
      <c r="O545" s="2">
        <v>2</v>
      </c>
      <c r="P545" t="s">
        <v>92</v>
      </c>
      <c r="Q545" s="3" t="s">
        <v>122</v>
      </c>
      <c r="R545" s="3" t="s">
        <v>123</v>
      </c>
    </row>
    <row r="546" spans="1:18" ht="35" customHeight="1">
      <c r="A546" t="s">
        <v>890</v>
      </c>
      <c r="B546" s="3" t="s">
        <v>43</v>
      </c>
      <c r="C546">
        <v>0</v>
      </c>
      <c r="D546" s="2">
        <v>0</v>
      </c>
      <c r="E546" s="2">
        <v>1</v>
      </c>
      <c r="F546" s="2">
        <v>1</v>
      </c>
      <c r="G546" s="2">
        <v>1</v>
      </c>
      <c r="H546" s="2">
        <v>1</v>
      </c>
      <c r="I546" s="2">
        <v>1</v>
      </c>
      <c r="J546" s="2">
        <v>0</v>
      </c>
      <c r="K546" s="2">
        <f t="shared" si="24"/>
        <v>1</v>
      </c>
      <c r="L546" s="2">
        <f t="shared" si="25"/>
        <v>5</v>
      </c>
      <c r="M546" s="2">
        <f t="shared" si="26"/>
        <v>5</v>
      </c>
      <c r="N546" s="2">
        <v>5</v>
      </c>
      <c r="O546" s="2">
        <v>2</v>
      </c>
      <c r="P546" t="s">
        <v>92</v>
      </c>
      <c r="Q546" s="3" t="s">
        <v>139</v>
      </c>
      <c r="R546" s="3" t="s">
        <v>140</v>
      </c>
    </row>
    <row r="547" spans="1:18" ht="35" customHeight="1">
      <c r="A547" t="s">
        <v>891</v>
      </c>
      <c r="B547" s="3" t="s">
        <v>43</v>
      </c>
      <c r="C547">
        <v>0</v>
      </c>
      <c r="D547" s="2">
        <v>1</v>
      </c>
      <c r="E547" s="2">
        <v>1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f t="shared" si="24"/>
        <v>0</v>
      </c>
      <c r="L547" s="2">
        <f t="shared" si="25"/>
        <v>7</v>
      </c>
      <c r="M547" s="2">
        <f t="shared" si="26"/>
        <v>7</v>
      </c>
      <c r="N547" s="2">
        <v>7</v>
      </c>
      <c r="O547" s="2">
        <v>2</v>
      </c>
      <c r="P547" t="s">
        <v>92</v>
      </c>
      <c r="Q547" s="3" t="s">
        <v>122</v>
      </c>
      <c r="R547" s="3" t="s">
        <v>123</v>
      </c>
    </row>
    <row r="548" spans="1:18" ht="35" customHeight="1">
      <c r="A548" t="s">
        <v>892</v>
      </c>
      <c r="B548" s="3" t="s">
        <v>43</v>
      </c>
      <c r="C548">
        <v>0</v>
      </c>
      <c r="D548" s="2">
        <v>1</v>
      </c>
      <c r="E548" s="2">
        <v>1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f t="shared" si="24"/>
        <v>0</v>
      </c>
      <c r="L548" s="2">
        <f t="shared" si="25"/>
        <v>7</v>
      </c>
      <c r="M548" s="2">
        <f t="shared" si="26"/>
        <v>7</v>
      </c>
      <c r="N548" s="2">
        <v>7</v>
      </c>
      <c r="O548" s="2">
        <v>2</v>
      </c>
      <c r="P548" t="s">
        <v>92</v>
      </c>
      <c r="Q548" s="3" t="s">
        <v>122</v>
      </c>
      <c r="R548" s="3" t="s">
        <v>123</v>
      </c>
    </row>
    <row r="549" spans="1:18" ht="35" customHeight="1">
      <c r="A549" t="s">
        <v>893</v>
      </c>
      <c r="B549" s="3" t="s">
        <v>43</v>
      </c>
      <c r="C549">
        <v>0</v>
      </c>
      <c r="D549" s="2">
        <v>1</v>
      </c>
      <c r="E549" s="2">
        <v>1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f t="shared" si="24"/>
        <v>0</v>
      </c>
      <c r="L549" s="2">
        <f t="shared" si="25"/>
        <v>7</v>
      </c>
      <c r="M549" s="2">
        <f t="shared" si="26"/>
        <v>7</v>
      </c>
      <c r="N549" s="2">
        <v>7</v>
      </c>
      <c r="O549" s="2">
        <v>2</v>
      </c>
      <c r="P549" t="s">
        <v>92</v>
      </c>
      <c r="Q549" s="3" t="s">
        <v>122</v>
      </c>
      <c r="R549" s="3" t="s">
        <v>123</v>
      </c>
    </row>
    <row r="550" spans="1:18" ht="35" customHeight="1">
      <c r="A550" t="s">
        <v>894</v>
      </c>
      <c r="B550" s="3" t="s">
        <v>43</v>
      </c>
      <c r="C550">
        <v>0</v>
      </c>
      <c r="D550" s="2">
        <v>1</v>
      </c>
      <c r="E550" s="2">
        <v>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f t="shared" si="24"/>
        <v>0</v>
      </c>
      <c r="L550" s="2">
        <f t="shared" si="25"/>
        <v>7</v>
      </c>
      <c r="M550" s="2">
        <f t="shared" si="26"/>
        <v>7</v>
      </c>
      <c r="N550" s="2">
        <v>7</v>
      </c>
      <c r="O550" s="2">
        <v>2</v>
      </c>
      <c r="P550" t="s">
        <v>92</v>
      </c>
      <c r="Q550" s="3" t="s">
        <v>122</v>
      </c>
      <c r="R550" s="3" t="s">
        <v>123</v>
      </c>
    </row>
    <row r="551" spans="1:18" ht="35" customHeight="1">
      <c r="A551" t="s">
        <v>895</v>
      </c>
      <c r="B551" s="3" t="s">
        <v>43</v>
      </c>
      <c r="C551">
        <v>0</v>
      </c>
      <c r="D551" s="2">
        <v>1</v>
      </c>
      <c r="E551" s="2">
        <v>0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f t="shared" si="24"/>
        <v>1</v>
      </c>
      <c r="L551" s="2">
        <f t="shared" si="25"/>
        <v>6</v>
      </c>
      <c r="M551" s="2">
        <f t="shared" si="26"/>
        <v>6</v>
      </c>
      <c r="N551" s="2">
        <v>6</v>
      </c>
      <c r="O551" s="2">
        <v>2</v>
      </c>
      <c r="P551" t="s">
        <v>92</v>
      </c>
      <c r="Q551" s="3" t="s">
        <v>173</v>
      </c>
      <c r="R551" s="3" t="s">
        <v>174</v>
      </c>
    </row>
    <row r="552" spans="1:18" ht="35" customHeight="1">
      <c r="A552" t="s">
        <v>896</v>
      </c>
      <c r="B552" s="3" t="s">
        <v>43</v>
      </c>
      <c r="C552">
        <v>0</v>
      </c>
      <c r="D552" s="2">
        <v>1</v>
      </c>
      <c r="E552" s="2">
        <v>1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f t="shared" si="24"/>
        <v>0</v>
      </c>
      <c r="L552" s="2">
        <f t="shared" si="25"/>
        <v>7</v>
      </c>
      <c r="M552" s="2">
        <f t="shared" si="26"/>
        <v>7</v>
      </c>
      <c r="N552" s="2">
        <v>7</v>
      </c>
      <c r="O552" s="2">
        <v>2</v>
      </c>
      <c r="P552" t="s">
        <v>92</v>
      </c>
      <c r="Q552" s="3" t="s">
        <v>122</v>
      </c>
      <c r="R552" s="3" t="s">
        <v>123</v>
      </c>
    </row>
    <row r="553" spans="1:18" ht="35" customHeight="1">
      <c r="A553" t="s">
        <v>897</v>
      </c>
      <c r="B553" s="3" t="s">
        <v>43</v>
      </c>
      <c r="C553">
        <v>0</v>
      </c>
      <c r="D553" s="2">
        <v>1</v>
      </c>
      <c r="E553" s="2">
        <v>1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f t="shared" si="24"/>
        <v>0</v>
      </c>
      <c r="L553" s="2">
        <f t="shared" si="25"/>
        <v>7</v>
      </c>
      <c r="M553" s="2">
        <f t="shared" si="26"/>
        <v>7</v>
      </c>
      <c r="N553" s="2">
        <v>7</v>
      </c>
      <c r="O553" s="2">
        <v>2</v>
      </c>
      <c r="P553" t="s">
        <v>92</v>
      </c>
      <c r="Q553" s="3" t="s">
        <v>122</v>
      </c>
      <c r="R553" s="3" t="s">
        <v>123</v>
      </c>
    </row>
    <row r="554" spans="1:18" ht="35" customHeight="1">
      <c r="A554" t="s">
        <v>898</v>
      </c>
      <c r="B554" s="3" t="s">
        <v>43</v>
      </c>
      <c r="C554">
        <v>0</v>
      </c>
      <c r="D554" s="2">
        <v>0</v>
      </c>
      <c r="E554" s="2">
        <v>0</v>
      </c>
      <c r="F554" s="2">
        <v>1</v>
      </c>
      <c r="G554" s="2">
        <v>0</v>
      </c>
      <c r="H554" s="2">
        <v>0</v>
      </c>
      <c r="I554" s="2">
        <v>0</v>
      </c>
      <c r="J554" s="2">
        <v>0</v>
      </c>
      <c r="K554" s="2">
        <f t="shared" si="24"/>
        <v>1</v>
      </c>
      <c r="L554" s="2">
        <f t="shared" si="25"/>
        <v>1</v>
      </c>
      <c r="M554" s="2">
        <f t="shared" si="26"/>
        <v>1</v>
      </c>
      <c r="N554" s="2">
        <v>1</v>
      </c>
      <c r="O554" s="2">
        <v>1</v>
      </c>
      <c r="P554" t="s">
        <v>22</v>
      </c>
      <c r="Q554" s="3" t="s">
        <v>271</v>
      </c>
      <c r="R554" s="3" t="s">
        <v>272</v>
      </c>
    </row>
    <row r="555" spans="1:18" ht="35" customHeight="1">
      <c r="A555" t="s">
        <v>899</v>
      </c>
      <c r="B555" s="3" t="s">
        <v>43</v>
      </c>
      <c r="C555">
        <v>0</v>
      </c>
      <c r="D555" s="2">
        <v>1</v>
      </c>
      <c r="E555" s="2">
        <v>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f t="shared" si="24"/>
        <v>0</v>
      </c>
      <c r="L555" s="2">
        <f t="shared" si="25"/>
        <v>7</v>
      </c>
      <c r="M555" s="2">
        <f t="shared" si="26"/>
        <v>7</v>
      </c>
      <c r="N555" s="2">
        <v>7</v>
      </c>
      <c r="O555" s="2">
        <v>1</v>
      </c>
      <c r="P555" t="s">
        <v>22</v>
      </c>
      <c r="Q555" s="3" t="s">
        <v>122</v>
      </c>
      <c r="R555" s="3" t="s">
        <v>123</v>
      </c>
    </row>
    <row r="556" spans="1:18" ht="35" customHeight="1">
      <c r="A556" t="s">
        <v>900</v>
      </c>
      <c r="B556" s="3" t="s">
        <v>43</v>
      </c>
      <c r="C556">
        <v>0</v>
      </c>
      <c r="D556" s="2">
        <v>0</v>
      </c>
      <c r="E556" s="2">
        <v>0</v>
      </c>
      <c r="F556" s="2">
        <v>1</v>
      </c>
      <c r="G556" s="2">
        <v>0</v>
      </c>
      <c r="H556" s="2">
        <v>0</v>
      </c>
      <c r="I556" s="2">
        <v>1</v>
      </c>
      <c r="J556" s="2">
        <v>0</v>
      </c>
      <c r="K556" s="2">
        <f t="shared" si="24"/>
        <v>1</v>
      </c>
      <c r="L556" s="2">
        <f t="shared" si="25"/>
        <v>2</v>
      </c>
      <c r="M556" s="2">
        <f t="shared" si="26"/>
        <v>2</v>
      </c>
      <c r="N556" s="2">
        <v>2</v>
      </c>
      <c r="O556" s="2">
        <v>3</v>
      </c>
      <c r="P556" t="s">
        <v>901</v>
      </c>
      <c r="Q556" s="3" t="s">
        <v>152</v>
      </c>
      <c r="R556" s="3" t="s">
        <v>153</v>
      </c>
    </row>
    <row r="557" spans="1:18" ht="35" customHeight="1">
      <c r="A557" t="s">
        <v>902</v>
      </c>
      <c r="B557" s="3" t="s">
        <v>43</v>
      </c>
      <c r="C557">
        <v>0</v>
      </c>
      <c r="D557" s="2">
        <v>0</v>
      </c>
      <c r="E557" s="2">
        <v>1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f t="shared" si="24"/>
        <v>1</v>
      </c>
      <c r="L557" s="2">
        <f t="shared" si="25"/>
        <v>1</v>
      </c>
      <c r="M557" s="2">
        <f t="shared" si="26"/>
        <v>1</v>
      </c>
      <c r="N557" s="2">
        <v>1</v>
      </c>
      <c r="O557" s="2">
        <v>7</v>
      </c>
      <c r="P557" t="s">
        <v>903</v>
      </c>
      <c r="Q557" s="3" t="s">
        <v>271</v>
      </c>
      <c r="R557" s="3" t="s">
        <v>272</v>
      </c>
    </row>
    <row r="558" spans="1:18" ht="35" customHeight="1">
      <c r="A558" t="s">
        <v>904</v>
      </c>
      <c r="B558" s="3" t="s">
        <v>43</v>
      </c>
      <c r="C558">
        <v>0</v>
      </c>
      <c r="D558" s="2">
        <v>1</v>
      </c>
      <c r="E558" s="2">
        <v>1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f t="shared" si="24"/>
        <v>0</v>
      </c>
      <c r="L558" s="2">
        <f t="shared" si="25"/>
        <v>7</v>
      </c>
      <c r="M558" s="2">
        <f t="shared" si="26"/>
        <v>7</v>
      </c>
      <c r="N558" s="2">
        <v>7</v>
      </c>
      <c r="O558" s="2">
        <v>1</v>
      </c>
      <c r="P558" t="s">
        <v>22</v>
      </c>
      <c r="Q558" s="3" t="s">
        <v>122</v>
      </c>
      <c r="R558" s="3" t="s">
        <v>123</v>
      </c>
    </row>
    <row r="559" spans="1:18" ht="35" customHeight="1">
      <c r="A559" t="s">
        <v>905</v>
      </c>
      <c r="B559" s="3" t="s">
        <v>43</v>
      </c>
      <c r="C559">
        <v>0</v>
      </c>
      <c r="D559" s="2">
        <v>1</v>
      </c>
      <c r="E559" s="2">
        <v>1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f t="shared" si="24"/>
        <v>0</v>
      </c>
      <c r="L559" s="2">
        <f t="shared" si="25"/>
        <v>7</v>
      </c>
      <c r="M559" s="2">
        <f t="shared" si="26"/>
        <v>7</v>
      </c>
      <c r="N559" s="2">
        <v>7</v>
      </c>
      <c r="O559" s="2">
        <v>1</v>
      </c>
      <c r="P559" t="s">
        <v>22</v>
      </c>
      <c r="Q559" s="3" t="s">
        <v>122</v>
      </c>
      <c r="R559" s="3" t="s">
        <v>123</v>
      </c>
    </row>
    <row r="560" spans="1:18" ht="35" customHeight="1">
      <c r="A560" t="s">
        <v>906</v>
      </c>
      <c r="B560" s="3" t="s">
        <v>43</v>
      </c>
      <c r="C560">
        <v>0</v>
      </c>
      <c r="D560" s="2">
        <v>1</v>
      </c>
      <c r="E560" s="2">
        <v>1</v>
      </c>
      <c r="F560" s="2">
        <v>1</v>
      </c>
      <c r="G560" s="2">
        <v>1</v>
      </c>
      <c r="H560" s="2">
        <v>0</v>
      </c>
      <c r="I560" s="2">
        <v>1</v>
      </c>
      <c r="J560" s="2">
        <v>0</v>
      </c>
      <c r="K560" s="2">
        <f t="shared" si="24"/>
        <v>1</v>
      </c>
      <c r="L560" s="2">
        <f t="shared" si="25"/>
        <v>5</v>
      </c>
      <c r="M560" s="2">
        <f t="shared" si="26"/>
        <v>5</v>
      </c>
      <c r="N560" s="2">
        <v>5</v>
      </c>
      <c r="O560" s="2">
        <v>2</v>
      </c>
      <c r="P560" t="s">
        <v>839</v>
      </c>
      <c r="Q560" s="3" t="s">
        <v>139</v>
      </c>
      <c r="R560" s="3" t="s">
        <v>140</v>
      </c>
    </row>
    <row r="561" spans="1:18" ht="35" customHeight="1">
      <c r="A561" t="s">
        <v>907</v>
      </c>
      <c r="B561" s="3" t="s">
        <v>43</v>
      </c>
      <c r="C561">
        <v>0</v>
      </c>
      <c r="D561" s="2">
        <v>1</v>
      </c>
      <c r="E561" s="2">
        <v>1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f t="shared" si="24"/>
        <v>0</v>
      </c>
      <c r="L561" s="2">
        <f t="shared" si="25"/>
        <v>7</v>
      </c>
      <c r="M561" s="2">
        <f t="shared" si="26"/>
        <v>7</v>
      </c>
      <c r="N561" s="2">
        <v>7</v>
      </c>
      <c r="O561" s="2">
        <v>1</v>
      </c>
      <c r="P561" t="s">
        <v>22</v>
      </c>
      <c r="Q561" s="3" t="s">
        <v>122</v>
      </c>
      <c r="R561" s="3" t="s">
        <v>123</v>
      </c>
    </row>
    <row r="562" spans="1:18" ht="35" customHeight="1">
      <c r="A562" t="s">
        <v>908</v>
      </c>
      <c r="B562" s="3" t="s">
        <v>43</v>
      </c>
      <c r="C562">
        <v>0</v>
      </c>
      <c r="D562" s="2">
        <v>1</v>
      </c>
      <c r="E562" s="2">
        <v>1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f t="shared" si="24"/>
        <v>0</v>
      </c>
      <c r="L562" s="2">
        <f t="shared" si="25"/>
        <v>7</v>
      </c>
      <c r="M562" s="2">
        <f t="shared" si="26"/>
        <v>7</v>
      </c>
      <c r="N562" s="2">
        <v>7</v>
      </c>
      <c r="O562" s="2">
        <v>1</v>
      </c>
      <c r="P562" t="s">
        <v>22</v>
      </c>
      <c r="Q562" s="3" t="s">
        <v>122</v>
      </c>
      <c r="R562" s="3" t="s">
        <v>123</v>
      </c>
    </row>
    <row r="563" spans="1:18" ht="35" customHeight="1">
      <c r="A563" t="s">
        <v>909</v>
      </c>
      <c r="B563" s="3" t="s">
        <v>43</v>
      </c>
      <c r="C563">
        <v>0</v>
      </c>
      <c r="D563" s="2">
        <v>1</v>
      </c>
      <c r="E563" s="2">
        <v>1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f t="shared" si="24"/>
        <v>0</v>
      </c>
      <c r="L563" s="2">
        <f t="shared" si="25"/>
        <v>7</v>
      </c>
      <c r="M563" s="2">
        <f t="shared" si="26"/>
        <v>7</v>
      </c>
      <c r="N563" s="2">
        <v>7</v>
      </c>
      <c r="O563" s="2">
        <v>1</v>
      </c>
      <c r="P563" t="s">
        <v>22</v>
      </c>
      <c r="Q563" s="3" t="s">
        <v>122</v>
      </c>
      <c r="R563" s="3" t="s">
        <v>123</v>
      </c>
    </row>
    <row r="564" spans="1:18" ht="35" customHeight="1">
      <c r="A564" t="s">
        <v>910</v>
      </c>
      <c r="B564" s="3" t="s">
        <v>225</v>
      </c>
      <c r="C564">
        <v>6</v>
      </c>
      <c r="D564" s="2">
        <v>1</v>
      </c>
      <c r="E564" s="2">
        <v>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f t="shared" si="24"/>
        <v>1</v>
      </c>
      <c r="L564" s="2">
        <f t="shared" si="25"/>
        <v>6</v>
      </c>
      <c r="M564" s="2">
        <f t="shared" si="26"/>
        <v>6</v>
      </c>
      <c r="N564" s="2">
        <v>0</v>
      </c>
      <c r="O564" s="2">
        <v>1</v>
      </c>
      <c r="P564" t="s">
        <v>22</v>
      </c>
      <c r="Q564" s="3" t="s">
        <v>225</v>
      </c>
      <c r="R564" s="3" t="s">
        <v>168</v>
      </c>
    </row>
    <row r="565" spans="1:18" ht="35" customHeight="1">
      <c r="A565" t="s">
        <v>911</v>
      </c>
      <c r="B565" s="3" t="s">
        <v>43</v>
      </c>
      <c r="C565">
        <v>0</v>
      </c>
      <c r="D565" s="2">
        <v>1</v>
      </c>
      <c r="E565" s="2">
        <v>1</v>
      </c>
      <c r="F565" s="2">
        <v>1</v>
      </c>
      <c r="G565" s="2">
        <v>0</v>
      </c>
      <c r="H565" s="2">
        <v>1</v>
      </c>
      <c r="I565" s="2">
        <v>1</v>
      </c>
      <c r="J565" s="2">
        <v>1</v>
      </c>
      <c r="K565" s="2">
        <f t="shared" si="24"/>
        <v>1</v>
      </c>
      <c r="L565" s="2">
        <f t="shared" si="25"/>
        <v>6</v>
      </c>
      <c r="M565" s="2">
        <f t="shared" si="26"/>
        <v>6</v>
      </c>
      <c r="N565" s="2">
        <v>6</v>
      </c>
      <c r="O565" s="2">
        <v>1</v>
      </c>
      <c r="P565" t="s">
        <v>22</v>
      </c>
      <c r="Q565" s="3" t="s">
        <v>173</v>
      </c>
      <c r="R565" s="3" t="s">
        <v>174</v>
      </c>
    </row>
    <row r="566" spans="1:18" ht="35" customHeight="1">
      <c r="A566" t="s">
        <v>912</v>
      </c>
      <c r="B566" s="3" t="s">
        <v>43</v>
      </c>
      <c r="C566">
        <v>0</v>
      </c>
      <c r="D566" s="2">
        <v>1</v>
      </c>
      <c r="E566" s="2">
        <v>1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f t="shared" si="24"/>
        <v>0</v>
      </c>
      <c r="L566" s="2">
        <f t="shared" si="25"/>
        <v>7</v>
      </c>
      <c r="M566" s="2">
        <f t="shared" si="26"/>
        <v>7</v>
      </c>
      <c r="N566" s="2">
        <v>7</v>
      </c>
      <c r="O566" s="2">
        <v>1</v>
      </c>
      <c r="P566" t="s">
        <v>22</v>
      </c>
      <c r="Q566" s="3" t="s">
        <v>122</v>
      </c>
      <c r="R566" s="3" t="s">
        <v>123</v>
      </c>
    </row>
    <row r="567" spans="1:18" ht="35" customHeight="1">
      <c r="A567" t="s">
        <v>913</v>
      </c>
      <c r="B567" s="3" t="s">
        <v>43</v>
      </c>
      <c r="C567">
        <v>0</v>
      </c>
      <c r="D567" s="2">
        <v>1</v>
      </c>
      <c r="E567" s="2">
        <v>1</v>
      </c>
      <c r="F567" s="2">
        <v>0</v>
      </c>
      <c r="G567" s="2">
        <v>1</v>
      </c>
      <c r="H567" s="2">
        <v>1</v>
      </c>
      <c r="I567" s="2">
        <v>1</v>
      </c>
      <c r="J567" s="2">
        <v>1</v>
      </c>
      <c r="K567" s="2">
        <f t="shared" si="24"/>
        <v>1</v>
      </c>
      <c r="L567" s="2">
        <f t="shared" si="25"/>
        <v>6</v>
      </c>
      <c r="M567" s="2">
        <f t="shared" si="26"/>
        <v>6</v>
      </c>
      <c r="N567" s="2">
        <v>6</v>
      </c>
      <c r="O567" s="2">
        <v>1</v>
      </c>
      <c r="P567" t="s">
        <v>22</v>
      </c>
      <c r="Q567" s="3" t="s">
        <v>173</v>
      </c>
      <c r="R567" s="3" t="s">
        <v>174</v>
      </c>
    </row>
    <row r="568" spans="1:18" ht="35" customHeight="1">
      <c r="A568" t="s">
        <v>914</v>
      </c>
      <c r="B568" s="3" t="s">
        <v>43</v>
      </c>
      <c r="C568">
        <v>0</v>
      </c>
      <c r="D568" s="2">
        <v>0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2">
        <v>0</v>
      </c>
      <c r="K568" s="2">
        <f t="shared" si="24"/>
        <v>1</v>
      </c>
      <c r="L568" s="2">
        <f t="shared" si="25"/>
        <v>1</v>
      </c>
      <c r="M568" s="2">
        <f t="shared" si="26"/>
        <v>1</v>
      </c>
      <c r="N568" s="2">
        <v>1</v>
      </c>
      <c r="O568" s="2">
        <v>1</v>
      </c>
      <c r="P568" t="s">
        <v>22</v>
      </c>
      <c r="Q568" s="3" t="s">
        <v>271</v>
      </c>
      <c r="R568" s="3" t="s">
        <v>272</v>
      </c>
    </row>
    <row r="569" spans="1:18" ht="35" customHeight="1">
      <c r="A569" t="s">
        <v>915</v>
      </c>
      <c r="B569" s="3" t="s">
        <v>43</v>
      </c>
      <c r="C569">
        <v>0</v>
      </c>
      <c r="D569" s="2">
        <v>1</v>
      </c>
      <c r="E569" s="2">
        <v>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f t="shared" si="24"/>
        <v>0</v>
      </c>
      <c r="L569" s="2">
        <f t="shared" si="25"/>
        <v>7</v>
      </c>
      <c r="M569" s="2">
        <f t="shared" si="26"/>
        <v>7</v>
      </c>
      <c r="N569" s="2">
        <v>7</v>
      </c>
      <c r="O569" s="2">
        <v>1</v>
      </c>
      <c r="P569" t="s">
        <v>22</v>
      </c>
      <c r="Q569" s="3" t="s">
        <v>122</v>
      </c>
      <c r="R569" s="3" t="s">
        <v>123</v>
      </c>
    </row>
    <row r="570" spans="1:18" ht="35" customHeight="1">
      <c r="A570" t="s">
        <v>916</v>
      </c>
      <c r="B570" s="3" t="s">
        <v>43</v>
      </c>
      <c r="C570">
        <v>0</v>
      </c>
      <c r="D570" s="2">
        <v>1</v>
      </c>
      <c r="E570" s="2">
        <v>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f t="shared" si="24"/>
        <v>0</v>
      </c>
      <c r="L570" s="2">
        <f t="shared" si="25"/>
        <v>7</v>
      </c>
      <c r="M570" s="2">
        <f t="shared" si="26"/>
        <v>7</v>
      </c>
      <c r="N570" s="2">
        <v>7</v>
      </c>
      <c r="O570" s="2">
        <v>0</v>
      </c>
      <c r="Q570" s="3" t="s">
        <v>122</v>
      </c>
      <c r="R570" s="3" t="s">
        <v>123</v>
      </c>
    </row>
    <row r="571" spans="1:18" ht="35" customHeight="1">
      <c r="A571" t="s">
        <v>917</v>
      </c>
      <c r="B571" s="3" t="s">
        <v>43</v>
      </c>
      <c r="C571">
        <v>0</v>
      </c>
      <c r="D571" s="2">
        <v>1</v>
      </c>
      <c r="E571" s="2">
        <v>1</v>
      </c>
      <c r="F571" s="2">
        <v>0</v>
      </c>
      <c r="G571" s="2">
        <v>1</v>
      </c>
      <c r="H571" s="2">
        <v>1</v>
      </c>
      <c r="I571" s="2">
        <v>1</v>
      </c>
      <c r="J571" s="2">
        <v>1</v>
      </c>
      <c r="K571" s="2">
        <f t="shared" si="24"/>
        <v>1</v>
      </c>
      <c r="L571" s="2">
        <f t="shared" si="25"/>
        <v>6</v>
      </c>
      <c r="M571" s="2">
        <f t="shared" si="26"/>
        <v>6</v>
      </c>
      <c r="N571" s="2">
        <v>6</v>
      </c>
      <c r="O571" s="2">
        <v>1</v>
      </c>
      <c r="P571" t="s">
        <v>22</v>
      </c>
      <c r="Q571" s="3" t="s">
        <v>173</v>
      </c>
      <c r="R571" s="3" t="s">
        <v>174</v>
      </c>
    </row>
    <row r="572" spans="1:18" ht="35" customHeight="1">
      <c r="A572" t="s">
        <v>918</v>
      </c>
      <c r="B572" s="3" t="s">
        <v>43</v>
      </c>
      <c r="C572">
        <v>0</v>
      </c>
      <c r="D572" s="2">
        <v>1</v>
      </c>
      <c r="E572" s="2">
        <v>0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f t="shared" si="24"/>
        <v>1</v>
      </c>
      <c r="L572" s="2">
        <f t="shared" si="25"/>
        <v>6</v>
      </c>
      <c r="M572" s="2">
        <f t="shared" si="26"/>
        <v>6</v>
      </c>
      <c r="N572" s="2">
        <v>6</v>
      </c>
      <c r="O572" s="2">
        <v>1</v>
      </c>
      <c r="P572" t="s">
        <v>22</v>
      </c>
      <c r="Q572" s="3" t="s">
        <v>173</v>
      </c>
      <c r="R572" s="3" t="s">
        <v>174</v>
      </c>
    </row>
    <row r="573" spans="1:18" ht="35" customHeight="1">
      <c r="A573" t="s">
        <v>919</v>
      </c>
      <c r="B573" s="3" t="s">
        <v>43</v>
      </c>
      <c r="C573">
        <v>0</v>
      </c>
      <c r="D573" s="2">
        <v>1</v>
      </c>
      <c r="E573" s="2">
        <v>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f t="shared" si="24"/>
        <v>0</v>
      </c>
      <c r="L573" s="2">
        <f t="shared" si="25"/>
        <v>7</v>
      </c>
      <c r="M573" s="2">
        <f t="shared" si="26"/>
        <v>7</v>
      </c>
      <c r="N573" s="2">
        <v>7</v>
      </c>
      <c r="O573" s="2">
        <v>0</v>
      </c>
      <c r="Q573" s="3" t="s">
        <v>122</v>
      </c>
      <c r="R573" s="3" t="s">
        <v>123</v>
      </c>
    </row>
    <row r="574" spans="1:18" ht="35" customHeight="1">
      <c r="A574" t="s">
        <v>920</v>
      </c>
      <c r="B574" s="3" t="s">
        <v>43</v>
      </c>
      <c r="C574">
        <v>0</v>
      </c>
      <c r="D574" s="2">
        <v>1</v>
      </c>
      <c r="E574" s="2">
        <v>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f t="shared" si="24"/>
        <v>0</v>
      </c>
      <c r="L574" s="2">
        <f t="shared" si="25"/>
        <v>7</v>
      </c>
      <c r="M574" s="2">
        <f t="shared" si="26"/>
        <v>7</v>
      </c>
      <c r="N574" s="2">
        <v>7</v>
      </c>
      <c r="O574" s="2">
        <v>0</v>
      </c>
      <c r="Q574" s="3" t="s">
        <v>122</v>
      </c>
      <c r="R574" s="3" t="s">
        <v>123</v>
      </c>
    </row>
    <row r="575" spans="1:18" ht="35" customHeight="1">
      <c r="A575" t="s">
        <v>921</v>
      </c>
      <c r="B575" s="3" t="s">
        <v>43</v>
      </c>
      <c r="C575">
        <v>0</v>
      </c>
      <c r="D575" s="2">
        <v>1</v>
      </c>
      <c r="E575" s="2">
        <v>1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f t="shared" si="24"/>
        <v>0</v>
      </c>
      <c r="L575" s="2">
        <f t="shared" si="25"/>
        <v>7</v>
      </c>
      <c r="M575" s="2">
        <f t="shared" si="26"/>
        <v>7</v>
      </c>
      <c r="N575" s="2">
        <v>7</v>
      </c>
      <c r="O575" s="2">
        <v>0</v>
      </c>
      <c r="Q575" s="3" t="s">
        <v>122</v>
      </c>
      <c r="R575" s="3" t="s">
        <v>123</v>
      </c>
    </row>
    <row r="576" spans="1:18" ht="35" customHeight="1">
      <c r="A576" t="s">
        <v>922</v>
      </c>
      <c r="B576" s="3" t="s">
        <v>923</v>
      </c>
      <c r="C576">
        <v>6</v>
      </c>
      <c r="D576" s="2">
        <v>1</v>
      </c>
      <c r="E576" s="2">
        <v>1</v>
      </c>
      <c r="F576" s="2">
        <v>0</v>
      </c>
      <c r="G576" s="2">
        <v>1</v>
      </c>
      <c r="H576" s="2">
        <v>1</v>
      </c>
      <c r="I576" s="2">
        <v>1</v>
      </c>
      <c r="J576" s="2">
        <v>1</v>
      </c>
      <c r="K576" s="2">
        <f t="shared" si="24"/>
        <v>1</v>
      </c>
      <c r="L576" s="2">
        <f t="shared" si="25"/>
        <v>6</v>
      </c>
      <c r="M576" s="2">
        <f t="shared" si="26"/>
        <v>6</v>
      </c>
      <c r="N576" s="2">
        <v>0</v>
      </c>
      <c r="O576" s="2">
        <v>0</v>
      </c>
      <c r="Q576" s="3" t="s">
        <v>923</v>
      </c>
      <c r="R576" s="3" t="s">
        <v>168</v>
      </c>
    </row>
    <row r="577" spans="1:18" ht="35" customHeight="1">
      <c r="A577" t="s">
        <v>924</v>
      </c>
      <c r="B577" s="3" t="s">
        <v>43</v>
      </c>
      <c r="C577">
        <v>0</v>
      </c>
      <c r="D577" s="2">
        <v>1</v>
      </c>
      <c r="E577" s="2">
        <v>0</v>
      </c>
      <c r="F577" s="2">
        <v>0</v>
      </c>
      <c r="G577" s="2">
        <v>1</v>
      </c>
      <c r="H577" s="2">
        <v>0</v>
      </c>
      <c r="I577" s="2">
        <v>1</v>
      </c>
      <c r="J577" s="2">
        <v>1</v>
      </c>
      <c r="K577" s="2">
        <f t="shared" si="24"/>
        <v>1</v>
      </c>
      <c r="L577" s="2">
        <f t="shared" si="25"/>
        <v>4</v>
      </c>
      <c r="M577" s="2">
        <f t="shared" si="26"/>
        <v>4</v>
      </c>
      <c r="N577" s="2">
        <v>4</v>
      </c>
      <c r="O577" s="2">
        <v>2</v>
      </c>
      <c r="P577" t="s">
        <v>92</v>
      </c>
      <c r="Q577" s="3" t="s">
        <v>142</v>
      </c>
      <c r="R577" s="3" t="s">
        <v>143</v>
      </c>
    </row>
    <row r="578" spans="1:18" ht="35" customHeight="1">
      <c r="A578" t="s">
        <v>925</v>
      </c>
      <c r="B578" s="3" t="s">
        <v>926</v>
      </c>
      <c r="C578">
        <v>4</v>
      </c>
      <c r="D578" s="2">
        <v>1</v>
      </c>
      <c r="E578" s="2">
        <v>0</v>
      </c>
      <c r="F578" s="2">
        <v>0</v>
      </c>
      <c r="G578" s="2">
        <v>1</v>
      </c>
      <c r="H578" s="2">
        <v>1</v>
      </c>
      <c r="I578" s="2">
        <v>0</v>
      </c>
      <c r="J578" s="2">
        <v>1</v>
      </c>
      <c r="K578" s="2">
        <f t="shared" si="24"/>
        <v>1</v>
      </c>
      <c r="L578" s="2">
        <f t="shared" si="25"/>
        <v>4</v>
      </c>
      <c r="M578" s="2">
        <f t="shared" si="26"/>
        <v>4</v>
      </c>
      <c r="N578" s="2">
        <v>0</v>
      </c>
      <c r="O578" s="2">
        <v>0</v>
      </c>
      <c r="Q578" s="3" t="s">
        <v>926</v>
      </c>
      <c r="R578" s="3" t="s">
        <v>927</v>
      </c>
    </row>
    <row r="579" spans="1:18" ht="35" customHeight="1">
      <c r="A579" t="s">
        <v>147</v>
      </c>
      <c r="B579" s="3" t="s">
        <v>148</v>
      </c>
      <c r="C579">
        <v>1</v>
      </c>
      <c r="D579" s="2">
        <v>0</v>
      </c>
      <c r="E579" s="2">
        <v>0</v>
      </c>
      <c r="F579" s="2">
        <v>1</v>
      </c>
      <c r="G579" s="2">
        <v>0</v>
      </c>
      <c r="H579" s="2">
        <v>2</v>
      </c>
      <c r="I579" s="2">
        <v>0</v>
      </c>
      <c r="J579" s="2">
        <v>0</v>
      </c>
      <c r="K579" s="2">
        <f t="shared" ref="K579:K642" si="27">MAX(D579:J579)-MIN(D579:J579)</f>
        <v>2</v>
      </c>
      <c r="L579" s="2">
        <f t="shared" si="25"/>
        <v>2</v>
      </c>
      <c r="M579" s="2">
        <f t="shared" si="26"/>
        <v>3</v>
      </c>
      <c r="N579" s="2">
        <v>2</v>
      </c>
      <c r="O579" s="2">
        <v>0</v>
      </c>
      <c r="Q579" s="3" t="s">
        <v>149</v>
      </c>
      <c r="R579" s="3" t="s">
        <v>150</v>
      </c>
    </row>
    <row r="580" spans="1:18" ht="35" customHeight="1">
      <c r="A580" t="s">
        <v>928</v>
      </c>
      <c r="B580" s="3" t="s">
        <v>43</v>
      </c>
      <c r="C580">
        <v>0</v>
      </c>
      <c r="D580" s="2">
        <v>0</v>
      </c>
      <c r="E580" s="2">
        <v>0</v>
      </c>
      <c r="F580" s="2">
        <v>0</v>
      </c>
      <c r="G580" s="2">
        <v>0</v>
      </c>
      <c r="H580" s="2">
        <v>1</v>
      </c>
      <c r="I580" s="2">
        <v>0</v>
      </c>
      <c r="J580" s="2">
        <v>0</v>
      </c>
      <c r="K580" s="2">
        <f t="shared" si="27"/>
        <v>1</v>
      </c>
      <c r="L580" s="2">
        <f t="shared" si="25"/>
        <v>1</v>
      </c>
      <c r="M580" s="2">
        <f t="shared" si="26"/>
        <v>1</v>
      </c>
      <c r="N580" s="2">
        <v>1</v>
      </c>
      <c r="O580" s="2">
        <v>1</v>
      </c>
      <c r="P580" t="s">
        <v>857</v>
      </c>
      <c r="Q580" s="3" t="s">
        <v>271</v>
      </c>
      <c r="R580" s="3" t="s">
        <v>272</v>
      </c>
    </row>
    <row r="581" spans="1:18" ht="35" customHeight="1">
      <c r="A581" t="s">
        <v>929</v>
      </c>
      <c r="B581" s="3" t="s">
        <v>43</v>
      </c>
      <c r="C581">
        <v>0</v>
      </c>
      <c r="D581" s="2">
        <v>0</v>
      </c>
      <c r="E581" s="2">
        <v>1</v>
      </c>
      <c r="F581" s="2">
        <v>1</v>
      </c>
      <c r="G581" s="2">
        <v>0</v>
      </c>
      <c r="H581" s="2">
        <v>0</v>
      </c>
      <c r="I581" s="2">
        <v>0</v>
      </c>
      <c r="J581" s="2">
        <v>0</v>
      </c>
      <c r="K581" s="2">
        <f t="shared" si="27"/>
        <v>1</v>
      </c>
      <c r="L581" s="2">
        <f t="shared" si="25"/>
        <v>2</v>
      </c>
      <c r="M581" s="2">
        <f t="shared" si="26"/>
        <v>2</v>
      </c>
      <c r="N581" s="2">
        <v>2</v>
      </c>
      <c r="O581" s="2">
        <v>0</v>
      </c>
      <c r="Q581" s="3" t="s">
        <v>152</v>
      </c>
      <c r="R581" s="3" t="s">
        <v>153</v>
      </c>
    </row>
  </sheetData>
  <mergeCells count="1">
    <mergeCell ref="A1:R1"/>
  </mergeCells>
  <conditionalFormatting sqref="K3:K581">
    <cfRule type="dataBar" priority="1">
      <dataBar>
        <cfvo type="min"/>
        <cfvo type="max"/>
        <color rgb="FF4A83B6"/>
      </dataBar>
    </cfRule>
    <cfRule type="dataBar" priority="2">
      <dataBar>
        <cfvo type="min"/>
        <cfvo type="max"/>
        <color rgb="FF4A83B6"/>
      </dataBar>
      <extLst>
        <ext xmlns:x14="http://schemas.microsoft.com/office/spreadsheetml/2009/9/main" uri="{B025F937-C7B1-47D3-B67F-A62EFF666E3E}">
          <x14:id>{469D18B8-D746-3302-4BE8-BDBDDFD6E49C}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9D18B8-D746-3302-4BE8-BDBDDFD6E49C}">
            <x14:dataBar>
              <x14:cfvo type="min"/>
              <x14:cfvo type="max"/>
              <x14:negativeFillColor auto="1"/>
              <x14:axisColor auto="1"/>
            </x14:dataBar>
          </x14:cfRule>
          <xm:sqref>K3:K581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Marked differences</vt:lpstr>
      <vt:lpstr>Pronounced differences</vt:lpstr>
      <vt:lpstr>All orthogroups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Asamoah Adu</cp:lastModifiedBy>
  <dcterms:modified xsi:type="dcterms:W3CDTF">2026-10-27T20:15:52Z</dcterms:modified>
</cp:coreProperties>
</file>